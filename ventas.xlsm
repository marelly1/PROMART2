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ELLY\Dropbox\Mi PC (DESKTOP-6MRT7MJ)\Desktop\"/>
    </mc:Choice>
  </mc:AlternateContent>
  <xr:revisionPtr revIDLastSave="0" documentId="13_ncr:1_{5D48FAF7-C5BE-4F23-B1D8-A6F2A71F019F}" xr6:coauthVersionLast="47" xr6:coauthVersionMax="47" xr10:uidLastSave="{00000000-0000-0000-0000-000000000000}"/>
  <bookViews>
    <workbookView xWindow="-120" yWindow="-120" windowWidth="20730" windowHeight="11160" activeTab="3" xr2:uid="{8FA476DD-9194-4243-9E64-9B3779A55EB8}"/>
  </bookViews>
  <sheets>
    <sheet name="Ventas" sheetId="2" r:id="rId1"/>
    <sheet name="PRONOSTICO" sheetId="3" r:id="rId2"/>
    <sheet name="PRONOSTICO.ETS" sheetId="4" r:id="rId3"/>
    <sheet name="PRONOSTICO.ETS.FIN" sheetId="5" r:id="rId4"/>
  </sheets>
  <definedNames>
    <definedName name="DatosExternos_1" localSheetId="0" hidden="1">Ventas!$A$1:$G$3429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31" i="3" l="1"/>
  <c r="B3432" i="3" s="1"/>
  <c r="B3430" i="3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C145" i="5"/>
  <c r="C149" i="5"/>
  <c r="C153" i="5"/>
  <c r="C157" i="5"/>
  <c r="C161" i="5"/>
  <c r="C165" i="5"/>
  <c r="C169" i="5"/>
  <c r="C173" i="5"/>
  <c r="C177" i="5"/>
  <c r="C152" i="5"/>
  <c r="C160" i="5"/>
  <c r="C168" i="5"/>
  <c r="C176" i="5"/>
  <c r="C146" i="5"/>
  <c r="C150" i="5"/>
  <c r="C154" i="5"/>
  <c r="C158" i="5"/>
  <c r="C162" i="5"/>
  <c r="C166" i="5"/>
  <c r="C170" i="5"/>
  <c r="C174" i="5"/>
  <c r="C178" i="5"/>
  <c r="C156" i="5"/>
  <c r="C147" i="5"/>
  <c r="C151" i="5"/>
  <c r="C155" i="5"/>
  <c r="C159" i="5"/>
  <c r="C163" i="5"/>
  <c r="C167" i="5"/>
  <c r="C171" i="5"/>
  <c r="C175" i="5"/>
  <c r="C179" i="5"/>
  <c r="C148" i="5"/>
  <c r="C164" i="5"/>
  <c r="C172" i="5"/>
  <c r="C180" i="5"/>
  <c r="B3433" i="3" l="1"/>
  <c r="B3434" i="3" s="1"/>
  <c r="D180" i="5"/>
  <c r="D164" i="5"/>
  <c r="D179" i="5"/>
  <c r="D171" i="5"/>
  <c r="D163" i="5"/>
  <c r="D155" i="5"/>
  <c r="D147" i="5"/>
  <c r="D178" i="5"/>
  <c r="D170" i="5"/>
  <c r="D162" i="5"/>
  <c r="D154" i="5"/>
  <c r="D146" i="5"/>
  <c r="D168" i="5"/>
  <c r="D152" i="5"/>
  <c r="D173" i="5"/>
  <c r="D165" i="5"/>
  <c r="D157" i="5"/>
  <c r="D149" i="5"/>
  <c r="E157" i="5"/>
  <c r="D145" i="5"/>
  <c r="E175" i="5"/>
  <c r="E159" i="5"/>
  <c r="E174" i="5"/>
  <c r="E158" i="5"/>
  <c r="D176" i="5"/>
  <c r="E161" i="5"/>
  <c r="E180" i="5"/>
  <c r="E164" i="5"/>
  <c r="E179" i="5"/>
  <c r="E171" i="5"/>
  <c r="E163" i="5"/>
  <c r="E155" i="5"/>
  <c r="E147" i="5"/>
  <c r="E178" i="5"/>
  <c r="E170" i="5"/>
  <c r="E162" i="5"/>
  <c r="E154" i="5"/>
  <c r="E146" i="5"/>
  <c r="E168" i="5"/>
  <c r="E152" i="5"/>
  <c r="E173" i="5"/>
  <c r="E165" i="5"/>
  <c r="E149" i="5"/>
  <c r="E172" i="5"/>
  <c r="E156" i="5"/>
  <c r="E150" i="5"/>
  <c r="E177" i="5"/>
  <c r="E153" i="5"/>
  <c r="D172" i="5"/>
  <c r="D148" i="5"/>
  <c r="D175" i="5"/>
  <c r="D167" i="5"/>
  <c r="D159" i="5"/>
  <c r="D151" i="5"/>
  <c r="D156" i="5"/>
  <c r="D174" i="5"/>
  <c r="D166" i="5"/>
  <c r="D158" i="5"/>
  <c r="D150" i="5"/>
  <c r="E176" i="5"/>
  <c r="D160" i="5"/>
  <c r="D177" i="5"/>
  <c r="D169" i="5"/>
  <c r="D161" i="5"/>
  <c r="D153" i="5"/>
  <c r="E148" i="5"/>
  <c r="E167" i="5"/>
  <c r="E151" i="5"/>
  <c r="E166" i="5"/>
  <c r="E160" i="5"/>
  <c r="E169" i="5"/>
  <c r="E14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5C7AF0-A096-4488-968E-1296255AFD7E}" keepAlive="1" name="Consulta - Ventas" description="Conexión a la consulta 'Ventas' en el libro." type="5" refreshedVersion="7" background="1" saveData="1">
    <dbPr connection="Provider=Microsoft.Mashup.OleDb.1;Data Source=$Workbook$;Location=Ventas;Extended Properties=&quot;&quot;" command="SELECT * FROM [Ventas]"/>
  </connection>
</connections>
</file>

<file path=xl/sharedStrings.xml><?xml version="1.0" encoding="utf-8"?>
<sst xmlns="http://schemas.openxmlformats.org/spreadsheetml/2006/main" count="21" uniqueCount="15">
  <si>
    <t>Tienda</t>
  </si>
  <si>
    <t>Fecha_venta</t>
  </si>
  <si>
    <t>Dia_feriado</t>
  </si>
  <si>
    <t>Temperatura</t>
  </si>
  <si>
    <t>Costo_combustible</t>
  </si>
  <si>
    <t>Indice_price_consumidor</t>
  </si>
  <si>
    <t>Venta_por_semana</t>
  </si>
  <si>
    <t>día</t>
  </si>
  <si>
    <t>mes</t>
  </si>
  <si>
    <t>año</t>
  </si>
  <si>
    <t>PRONOSTICO</t>
  </si>
  <si>
    <t>FORECAST</t>
  </si>
  <si>
    <t>Previsión(Venta_por_semana)</t>
  </si>
  <si>
    <t>Límite de confianza inferior(Venta_por_semana)</t>
  </si>
  <si>
    <t>Límite de confianza superior(Venta_por_semana)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</si>
</sst>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14" fontId="0" fillId="3" borderId="1" xfId="0" applyNumberFormat="1" applyFill="1" applyBorder="1"/>
    <xf numFmtId="2" fontId="0" fillId="0" borderId="0" xfId="0" applyNumberFormat="1"/>
  </cellXfs>
  <cellStyles count="1">
    <cellStyle name="Normal" xfId="0" builtinId="0"/>
  </cellStyles>
  <dxfs count="7">
    <dxf>
      <numFmt numFmtId="2" formatCode="0.00"/>
    </dxf>
    <dxf>
      <numFmt numFmtId="2" formatCode="0.00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'PRONOSTICO.ETS.FIN'!$B$1</c:f>
              <c:strCache>
                <c:ptCount val="1"/>
                <c:pt idx="0">
                  <c:v>Venta_por_semana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'PRONOSTICO.ETS.FIN'!$B$2:$B$180</c:f>
              <c:numCache>
                <c:formatCode>General</c:formatCode>
                <c:ptCount val="179"/>
                <c:pt idx="0">
                  <c:v>1309474.3054166669</c:v>
                </c:pt>
                <c:pt idx="1">
                  <c:v>1268295.7745833334</c:v>
                </c:pt>
                <c:pt idx="2">
                  <c:v>1261160.542083333</c:v>
                </c:pt>
                <c:pt idx="3">
                  <c:v>1147407.0099999998</c:v>
                </c:pt>
                <c:pt idx="4">
                  <c:v>1228273.9320833331</c:v>
                </c:pt>
                <c:pt idx="5">
                  <c:v>1186794.2320833334</c:v>
                </c:pt>
                <c:pt idx="6">
                  <c:v>1173436.8274999999</c:v>
                </c:pt>
                <c:pt idx="7">
                  <c:v>1141598.2312500002</c:v>
                </c:pt>
                <c:pt idx="8">
                  <c:v>1322792.0775000004</c:v>
                </c:pt>
                <c:pt idx="9">
                  <c:v>1220757.3087500001</c:v>
                </c:pt>
                <c:pt idx="10">
                  <c:v>1162047.3970833339</c:v>
                </c:pt>
                <c:pt idx="11">
                  <c:v>1158765.571666667</c:v>
                </c:pt>
                <c:pt idx="12">
                  <c:v>1125998.9875</c:v>
                </c:pt>
                <c:pt idx="13">
                  <c:v>1245759.2683333333</c:v>
                </c:pt>
                <c:pt idx="14">
                  <c:v>1165645.4991666663</c:v>
                </c:pt>
                <c:pt idx="15">
                  <c:v>1155533.2670833336</c:v>
                </c:pt>
                <c:pt idx="16">
                  <c:v>1234217.3033333332</c:v>
                </c:pt>
                <c:pt idx="17">
                  <c:v>1295557.6841666668</c:v>
                </c:pt>
                <c:pt idx="18">
                  <c:v>1230333.7816666667</c:v>
                </c:pt>
                <c:pt idx="19">
                  <c:v>1230798.5866666667</c:v>
                </c:pt>
                <c:pt idx="20">
                  <c:v>1209234.0541666667</c:v>
                </c:pt>
                <c:pt idx="21">
                  <c:v>1267025.7945833334</c:v>
                </c:pt>
                <c:pt idx="22">
                  <c:v>1228517.9958333331</c:v>
                </c:pt>
                <c:pt idx="23">
                  <c:v>1191475.9712499999</c:v>
                </c:pt>
                <c:pt idx="24">
                  <c:v>1157486.2266666668</c:v>
                </c:pt>
                <c:pt idx="25">
                  <c:v>1152536.1887500002</c:v>
                </c:pt>
                <c:pt idx="26">
                  <c:v>1232462.3195833333</c:v>
                </c:pt>
                <c:pt idx="27">
                  <c:v>1198168.2620833337</c:v>
                </c:pt>
                <c:pt idx="28">
                  <c:v>1215936.0387500001</c:v>
                </c:pt>
                <c:pt idx="29">
                  <c:v>1200358.7729166667</c:v>
                </c:pt>
                <c:pt idx="30">
                  <c:v>1220269.0308333335</c:v>
                </c:pt>
                <c:pt idx="31">
                  <c:v>1179583.415</c:v>
                </c:pt>
                <c:pt idx="32">
                  <c:v>1114242.8745833335</c:v>
                </c:pt>
                <c:pt idx="33">
                  <c:v>1066800.3070833331</c:v>
                </c:pt>
                <c:pt idx="34">
                  <c:v>1091418.26125</c:v>
                </c:pt>
                <c:pt idx="35">
                  <c:v>1160636.2466666664</c:v>
                </c:pt>
                <c:pt idx="36">
                  <c:v>1110292.9458333335</c:v>
                </c:pt>
                <c:pt idx="37">
                  <c:v>1107012.8254166667</c:v>
                </c:pt>
                <c:pt idx="38">
                  <c:v>1129464.7141666666</c:v>
                </c:pt>
                <c:pt idx="39">
                  <c:v>1188094.5433333332</c:v>
                </c:pt>
                <c:pt idx="40">
                  <c:v>1202318.4545833331</c:v>
                </c:pt>
                <c:pt idx="41">
                  <c:v>1181530.4420833334</c:v>
                </c:pt>
                <c:pt idx="42">
                  <c:v>1728124.5758333334</c:v>
                </c:pt>
                <c:pt idx="43">
                  <c:v>1325720.3116666665</c:v>
                </c:pt>
                <c:pt idx="44">
                  <c:v>1482911.9675</c:v>
                </c:pt>
                <c:pt idx="45">
                  <c:v>1661800.4754166671</c:v>
                </c:pt>
                <c:pt idx="46">
                  <c:v>2193466.4808333335</c:v>
                </c:pt>
                <c:pt idx="47">
                  <c:v>1068073.8558333335</c:v>
                </c:pt>
                <c:pt idx="48">
                  <c:v>1103721.8625</c:v>
                </c:pt>
                <c:pt idx="49">
                  <c:v>1044010.1629166667</c:v>
                </c:pt>
                <c:pt idx="50">
                  <c:v>1048350.2395833335</c:v>
                </c:pt>
                <c:pt idx="51">
                  <c:v>1028095.2695833333</c:v>
                </c:pt>
                <c:pt idx="52">
                  <c:v>1200959.4758333333</c:v>
                </c:pt>
                <c:pt idx="53">
                  <c:v>1245462.4329166666</c:v>
                </c:pt>
                <c:pt idx="54">
                  <c:v>1287948.990833333</c:v>
                </c:pt>
                <c:pt idx="55">
                  <c:v>1152446.0562499999</c:v>
                </c:pt>
                <c:pt idx="56">
                  <c:v>1223086.0841666667</c:v>
                </c:pt>
                <c:pt idx="57">
                  <c:v>1158058.5795833331</c:v>
                </c:pt>
                <c:pt idx="58">
                  <c:v>1173333.3245833335</c:v>
                </c:pt>
                <c:pt idx="59">
                  <c:v>1114200.12375</c:v>
                </c:pt>
                <c:pt idx="60">
                  <c:v>1128430.2887499998</c:v>
                </c:pt>
                <c:pt idx="61">
                  <c:v>1184872.2720833335</c:v>
                </c:pt>
                <c:pt idx="62">
                  <c:v>1164844.0045833334</c:v>
                </c:pt>
                <c:pt idx="63">
                  <c:v>1273636.6954166666</c:v>
                </c:pt>
                <c:pt idx="64">
                  <c:v>1127594.2220833334</c:v>
                </c:pt>
                <c:pt idx="65">
                  <c:v>1205679.2054166668</c:v>
                </c:pt>
                <c:pt idx="66">
                  <c:v>1168726.8929166666</c:v>
                </c:pt>
                <c:pt idx="67">
                  <c:v>1130314.2024999999</c:v>
                </c:pt>
                <c:pt idx="68">
                  <c:v>1166306.1045833335</c:v>
                </c:pt>
                <c:pt idx="69">
                  <c:v>1258282.4191666667</c:v>
                </c:pt>
                <c:pt idx="70">
                  <c:v>1232719.5587499999</c:v>
                </c:pt>
                <c:pt idx="71">
                  <c:v>1201632.2633333334</c:v>
                </c:pt>
                <c:pt idx="72">
                  <c:v>1194716.3016666665</c:v>
                </c:pt>
                <c:pt idx="73">
                  <c:v>1236779.0650000002</c:v>
                </c:pt>
                <c:pt idx="74">
                  <c:v>1233902.0966666667</c:v>
                </c:pt>
                <c:pt idx="75">
                  <c:v>1178921.7420833332</c:v>
                </c:pt>
                <c:pt idx="76">
                  <c:v>1170787.5329166667</c:v>
                </c:pt>
                <c:pt idx="77">
                  <c:v>1090633.7841666667</c:v>
                </c:pt>
                <c:pt idx="78">
                  <c:v>1242610.2233333334</c:v>
                </c:pt>
                <c:pt idx="79">
                  <c:v>1192621.6129166668</c:v>
                </c:pt>
                <c:pt idx="80">
                  <c:v>1214953.6399999999</c:v>
                </c:pt>
                <c:pt idx="81">
                  <c:v>1228665.0029166667</c:v>
                </c:pt>
                <c:pt idx="82">
                  <c:v>1170877.7545833334</c:v>
                </c:pt>
                <c:pt idx="83">
                  <c:v>1208106.0920833333</c:v>
                </c:pt>
                <c:pt idx="84">
                  <c:v>1133889.7316666669</c:v>
                </c:pt>
                <c:pt idx="85">
                  <c:v>1105228.4224999996</c:v>
                </c:pt>
                <c:pt idx="86">
                  <c:v>1090423.4875</c:v>
                </c:pt>
                <c:pt idx="87">
                  <c:v>1175127.8243478262</c:v>
                </c:pt>
                <c:pt idx="88">
                  <c:v>1141489.7954166667</c:v>
                </c:pt>
                <c:pt idx="89">
                  <c:v>1195050.58</c:v>
                </c:pt>
                <c:pt idx="90">
                  <c:v>1194468.0295833333</c:v>
                </c:pt>
                <c:pt idx="91">
                  <c:v>1275708.8787500001</c:v>
                </c:pt>
                <c:pt idx="92">
                  <c:v>1264294.4895833333</c:v>
                </c:pt>
                <c:pt idx="93">
                  <c:v>1209150.0616666665</c:v>
                </c:pt>
                <c:pt idx="94">
                  <c:v>1749563.2575000003</c:v>
                </c:pt>
                <c:pt idx="95">
                  <c:v>1299074.5025000002</c:v>
                </c:pt>
                <c:pt idx="96">
                  <c:v>1474816.7954166664</c:v>
                </c:pt>
                <c:pt idx="97">
                  <c:v>1607092.8379166666</c:v>
                </c:pt>
                <c:pt idx="98">
                  <c:v>2076755.0295833328</c:v>
                </c:pt>
                <c:pt idx="99">
                  <c:v>1212872.385</c:v>
                </c:pt>
                <c:pt idx="100">
                  <c:v>1152964.6204166668</c:v>
                </c:pt>
                <c:pt idx="101">
                  <c:v>1077600.1629166666</c:v>
                </c:pt>
                <c:pt idx="102">
                  <c:v>1083059.7674999998</c:v>
                </c:pt>
                <c:pt idx="103">
                  <c:v>1030525.4045833334</c:v>
                </c:pt>
                <c:pt idx="104">
                  <c:v>1199180.5574999999</c:v>
                </c:pt>
                <c:pt idx="105">
                  <c:v>1322091.5291666666</c:v>
                </c:pt>
                <c:pt idx="106">
                  <c:v>1329127.1837499999</c:v>
                </c:pt>
                <c:pt idx="107">
                  <c:v>1201175.2283333333</c:v>
                </c:pt>
                <c:pt idx="108">
                  <c:v>1227680.7829166667</c:v>
                </c:pt>
                <c:pt idx="109">
                  <c:v>1232996.4720833332</c:v>
                </c:pt>
                <c:pt idx="110">
                  <c:v>1268396.7873913047</c:v>
                </c:pt>
                <c:pt idx="111">
                  <c:v>1159115.2504347826</c:v>
                </c:pt>
                <c:pt idx="112">
                  <c:v>1183851.9612500002</c:v>
                </c:pt>
                <c:pt idx="113">
                  <c:v>1327665.1958333335</c:v>
                </c:pt>
                <c:pt idx="114">
                  <c:v>1131016.8324999998</c:v>
                </c:pt>
                <c:pt idx="115">
                  <c:v>1167713.2304166667</c:v>
                </c:pt>
                <c:pt idx="116">
                  <c:v>1130539.1516666666</c:v>
                </c:pt>
                <c:pt idx="117">
                  <c:v>1217876.0983333336</c:v>
                </c:pt>
                <c:pt idx="118">
                  <c:v>1213129.5895833333</c:v>
                </c:pt>
                <c:pt idx="119">
                  <c:v>1212205.4433333334</c:v>
                </c:pt>
                <c:pt idx="120">
                  <c:v>1240320.7375000003</c:v>
                </c:pt>
                <c:pt idx="121">
                  <c:v>1253139.8783333332</c:v>
                </c:pt>
                <c:pt idx="122">
                  <c:v>1287239.6100000001</c:v>
                </c:pt>
                <c:pt idx="123">
                  <c:v>1259376.4929166669</c:v>
                </c:pt>
                <c:pt idx="124">
                  <c:v>1234836.2891666663</c:v>
                </c:pt>
                <c:pt idx="125">
                  <c:v>1208996.9379166665</c:v>
                </c:pt>
                <c:pt idx="126">
                  <c:v>1322319.9554166666</c:v>
                </c:pt>
                <c:pt idx="127">
                  <c:v>1188552.4570833335</c:v>
                </c:pt>
                <c:pt idx="128">
                  <c:v>1189802.0416666667</c:v>
                </c:pt>
                <c:pt idx="129">
                  <c:v>1133891.4979166666</c:v>
                </c:pt>
                <c:pt idx="130">
                  <c:v>1222217.54</c:v>
                </c:pt>
                <c:pt idx="131">
                  <c:v>1214583.2825</c:v>
                </c:pt>
                <c:pt idx="132">
                  <c:v>1216755.5374999999</c:v>
                </c:pt>
                <c:pt idx="133">
                  <c:v>1224964.4437499999</c:v>
                </c:pt>
                <c:pt idx="134">
                  <c:v>1221310.9695833335</c:v>
                </c:pt>
                <c:pt idx="135">
                  <c:v>1240486.8858333335</c:v>
                </c:pt>
                <c:pt idx="136">
                  <c:v>1138410.8787499999</c:v>
                </c:pt>
                <c:pt idx="137">
                  <c:v>1144068.3354166665</c:v>
                </c:pt>
                <c:pt idx="138">
                  <c:v>1125307.2866666669</c:v>
                </c:pt>
                <c:pt idx="139">
                  <c:v>1227119.4208333332</c:v>
                </c:pt>
                <c:pt idx="140">
                  <c:v>1184621.3670833332</c:v>
                </c:pt>
                <c:pt idx="141">
                  <c:v>1118393.2439130433</c:v>
                </c:pt>
                <c:pt idx="142">
                  <c:v>1171402.0075000001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E1-41EB-AAAA-E555B8F27DA2}"/>
            </c:ext>
          </c:extLst>
        </c:ser>
        <c:ser>
          <c:idx val="1"/>
          <c:order val="1"/>
          <c:tx>
            <c:strRef>
              <c:f>'PRONOSTICO.ETS.FIN'!$C$1</c:f>
              <c:strCache>
                <c:ptCount val="1"/>
                <c:pt idx="0">
                  <c:v>Previsión(Venta_por_semana)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'PRONOSTICO.ETS.FIN'!$A$2:$A$180</c:f>
              <c:numCache>
                <c:formatCode>m/d/yyyy</c:formatCode>
                <c:ptCount val="179"/>
                <c:pt idx="0">
                  <c:v>40214</c:v>
                </c:pt>
                <c:pt idx="1">
                  <c:v>40221</c:v>
                </c:pt>
                <c:pt idx="2">
                  <c:v>40228</c:v>
                </c:pt>
                <c:pt idx="3">
                  <c:v>40235</c:v>
                </c:pt>
                <c:pt idx="4">
                  <c:v>40242</c:v>
                </c:pt>
                <c:pt idx="5">
                  <c:v>40249</c:v>
                </c:pt>
                <c:pt idx="6">
                  <c:v>40256</c:v>
                </c:pt>
                <c:pt idx="7">
                  <c:v>40263</c:v>
                </c:pt>
                <c:pt idx="8">
                  <c:v>40270</c:v>
                </c:pt>
                <c:pt idx="9">
                  <c:v>40277</c:v>
                </c:pt>
                <c:pt idx="10">
                  <c:v>40284</c:v>
                </c:pt>
                <c:pt idx="11">
                  <c:v>40291</c:v>
                </c:pt>
                <c:pt idx="12">
                  <c:v>40298</c:v>
                </c:pt>
                <c:pt idx="13">
                  <c:v>40305</c:v>
                </c:pt>
                <c:pt idx="14">
                  <c:v>40312</c:v>
                </c:pt>
                <c:pt idx="15">
                  <c:v>40319</c:v>
                </c:pt>
                <c:pt idx="16">
                  <c:v>40326</c:v>
                </c:pt>
                <c:pt idx="17">
                  <c:v>40333</c:v>
                </c:pt>
                <c:pt idx="18">
                  <c:v>40340</c:v>
                </c:pt>
                <c:pt idx="19">
                  <c:v>40347</c:v>
                </c:pt>
                <c:pt idx="20">
                  <c:v>40354</c:v>
                </c:pt>
                <c:pt idx="21">
                  <c:v>40361</c:v>
                </c:pt>
                <c:pt idx="22">
                  <c:v>40368</c:v>
                </c:pt>
                <c:pt idx="23">
                  <c:v>40375</c:v>
                </c:pt>
                <c:pt idx="24">
                  <c:v>40382</c:v>
                </c:pt>
                <c:pt idx="25">
                  <c:v>40389</c:v>
                </c:pt>
                <c:pt idx="26">
                  <c:v>40396</c:v>
                </c:pt>
                <c:pt idx="27">
                  <c:v>40403</c:v>
                </c:pt>
                <c:pt idx="28">
                  <c:v>40410</c:v>
                </c:pt>
                <c:pt idx="29">
                  <c:v>40417</c:v>
                </c:pt>
                <c:pt idx="30">
                  <c:v>40424</c:v>
                </c:pt>
                <c:pt idx="31">
                  <c:v>40431</c:v>
                </c:pt>
                <c:pt idx="32">
                  <c:v>40438</c:v>
                </c:pt>
                <c:pt idx="33">
                  <c:v>40445</c:v>
                </c:pt>
                <c:pt idx="34">
                  <c:v>40452</c:v>
                </c:pt>
                <c:pt idx="35">
                  <c:v>40459</c:v>
                </c:pt>
                <c:pt idx="36">
                  <c:v>40466</c:v>
                </c:pt>
                <c:pt idx="37">
                  <c:v>40473</c:v>
                </c:pt>
                <c:pt idx="38">
                  <c:v>40480</c:v>
                </c:pt>
                <c:pt idx="39">
                  <c:v>40487</c:v>
                </c:pt>
                <c:pt idx="40">
                  <c:v>40494</c:v>
                </c:pt>
                <c:pt idx="41">
                  <c:v>40501</c:v>
                </c:pt>
                <c:pt idx="42">
                  <c:v>40508</c:v>
                </c:pt>
                <c:pt idx="43">
                  <c:v>40515</c:v>
                </c:pt>
                <c:pt idx="44">
                  <c:v>40522</c:v>
                </c:pt>
                <c:pt idx="45">
                  <c:v>40529</c:v>
                </c:pt>
                <c:pt idx="46">
                  <c:v>40536</c:v>
                </c:pt>
                <c:pt idx="47">
                  <c:v>40543</c:v>
                </c:pt>
                <c:pt idx="48">
                  <c:v>40550</c:v>
                </c:pt>
                <c:pt idx="49">
                  <c:v>40557</c:v>
                </c:pt>
                <c:pt idx="50">
                  <c:v>40564</c:v>
                </c:pt>
                <c:pt idx="51">
                  <c:v>40571</c:v>
                </c:pt>
                <c:pt idx="52">
                  <c:v>40578</c:v>
                </c:pt>
                <c:pt idx="53">
                  <c:v>40585</c:v>
                </c:pt>
                <c:pt idx="54">
                  <c:v>40592</c:v>
                </c:pt>
                <c:pt idx="55">
                  <c:v>40599</c:v>
                </c:pt>
                <c:pt idx="56">
                  <c:v>40606</c:v>
                </c:pt>
                <c:pt idx="57">
                  <c:v>40613</c:v>
                </c:pt>
                <c:pt idx="58">
                  <c:v>40620</c:v>
                </c:pt>
                <c:pt idx="59">
                  <c:v>40627</c:v>
                </c:pt>
                <c:pt idx="60">
                  <c:v>40634</c:v>
                </c:pt>
                <c:pt idx="61">
                  <c:v>40641</c:v>
                </c:pt>
                <c:pt idx="62">
                  <c:v>40648</c:v>
                </c:pt>
                <c:pt idx="63">
                  <c:v>40655</c:v>
                </c:pt>
                <c:pt idx="64">
                  <c:v>40662</c:v>
                </c:pt>
                <c:pt idx="65">
                  <c:v>40669</c:v>
                </c:pt>
                <c:pt idx="66">
                  <c:v>40676</c:v>
                </c:pt>
                <c:pt idx="67">
                  <c:v>40683</c:v>
                </c:pt>
                <c:pt idx="68">
                  <c:v>40690</c:v>
                </c:pt>
                <c:pt idx="69">
                  <c:v>40697</c:v>
                </c:pt>
                <c:pt idx="70">
                  <c:v>40704</c:v>
                </c:pt>
                <c:pt idx="71">
                  <c:v>40711</c:v>
                </c:pt>
                <c:pt idx="72">
                  <c:v>40718</c:v>
                </c:pt>
                <c:pt idx="73">
                  <c:v>40725</c:v>
                </c:pt>
                <c:pt idx="74">
                  <c:v>40732</c:v>
                </c:pt>
                <c:pt idx="75">
                  <c:v>40739</c:v>
                </c:pt>
                <c:pt idx="76">
                  <c:v>40746</c:v>
                </c:pt>
                <c:pt idx="77">
                  <c:v>40753</c:v>
                </c:pt>
                <c:pt idx="78">
                  <c:v>40760</c:v>
                </c:pt>
                <c:pt idx="79">
                  <c:v>40767</c:v>
                </c:pt>
                <c:pt idx="80">
                  <c:v>40774</c:v>
                </c:pt>
                <c:pt idx="81">
                  <c:v>40781</c:v>
                </c:pt>
                <c:pt idx="82">
                  <c:v>40788</c:v>
                </c:pt>
                <c:pt idx="83">
                  <c:v>40795</c:v>
                </c:pt>
                <c:pt idx="84">
                  <c:v>40802</c:v>
                </c:pt>
                <c:pt idx="85">
                  <c:v>40809</c:v>
                </c:pt>
                <c:pt idx="86">
                  <c:v>40816</c:v>
                </c:pt>
                <c:pt idx="87">
                  <c:v>40823</c:v>
                </c:pt>
                <c:pt idx="88">
                  <c:v>40830</c:v>
                </c:pt>
                <c:pt idx="89">
                  <c:v>40837</c:v>
                </c:pt>
                <c:pt idx="90">
                  <c:v>40844</c:v>
                </c:pt>
                <c:pt idx="91">
                  <c:v>40851</c:v>
                </c:pt>
                <c:pt idx="92">
                  <c:v>40858</c:v>
                </c:pt>
                <c:pt idx="93">
                  <c:v>40865</c:v>
                </c:pt>
                <c:pt idx="94">
                  <c:v>40872</c:v>
                </c:pt>
                <c:pt idx="95">
                  <c:v>40879</c:v>
                </c:pt>
                <c:pt idx="96">
                  <c:v>40886</c:v>
                </c:pt>
                <c:pt idx="97">
                  <c:v>40893</c:v>
                </c:pt>
                <c:pt idx="98">
                  <c:v>40900</c:v>
                </c:pt>
                <c:pt idx="99">
                  <c:v>40907</c:v>
                </c:pt>
                <c:pt idx="100">
                  <c:v>40914</c:v>
                </c:pt>
                <c:pt idx="101">
                  <c:v>40921</c:v>
                </c:pt>
                <c:pt idx="102">
                  <c:v>40928</c:v>
                </c:pt>
                <c:pt idx="103">
                  <c:v>40935</c:v>
                </c:pt>
                <c:pt idx="104">
                  <c:v>40942</c:v>
                </c:pt>
                <c:pt idx="105">
                  <c:v>40949</c:v>
                </c:pt>
                <c:pt idx="106">
                  <c:v>40956</c:v>
                </c:pt>
                <c:pt idx="107">
                  <c:v>40963</c:v>
                </c:pt>
                <c:pt idx="108">
                  <c:v>40970</c:v>
                </c:pt>
                <c:pt idx="109">
                  <c:v>40977</c:v>
                </c:pt>
                <c:pt idx="110">
                  <c:v>40984</c:v>
                </c:pt>
                <c:pt idx="111">
                  <c:v>40991</c:v>
                </c:pt>
                <c:pt idx="112">
                  <c:v>40998</c:v>
                </c:pt>
                <c:pt idx="113">
                  <c:v>41005</c:v>
                </c:pt>
                <c:pt idx="114">
                  <c:v>41012</c:v>
                </c:pt>
                <c:pt idx="115">
                  <c:v>41019</c:v>
                </c:pt>
                <c:pt idx="116">
                  <c:v>41026</c:v>
                </c:pt>
                <c:pt idx="117">
                  <c:v>41033</c:v>
                </c:pt>
                <c:pt idx="118">
                  <c:v>41040</c:v>
                </c:pt>
                <c:pt idx="119">
                  <c:v>41047</c:v>
                </c:pt>
                <c:pt idx="120">
                  <c:v>41054</c:v>
                </c:pt>
                <c:pt idx="121">
                  <c:v>41061</c:v>
                </c:pt>
                <c:pt idx="122">
                  <c:v>41068</c:v>
                </c:pt>
                <c:pt idx="123">
                  <c:v>41075</c:v>
                </c:pt>
                <c:pt idx="124">
                  <c:v>41082</c:v>
                </c:pt>
                <c:pt idx="125">
                  <c:v>41089</c:v>
                </c:pt>
                <c:pt idx="126">
                  <c:v>41096</c:v>
                </c:pt>
                <c:pt idx="127">
                  <c:v>41103</c:v>
                </c:pt>
                <c:pt idx="128">
                  <c:v>41110</c:v>
                </c:pt>
                <c:pt idx="129">
                  <c:v>41117</c:v>
                </c:pt>
                <c:pt idx="130">
                  <c:v>41124</c:v>
                </c:pt>
                <c:pt idx="131">
                  <c:v>41131</c:v>
                </c:pt>
                <c:pt idx="132">
                  <c:v>41138</c:v>
                </c:pt>
                <c:pt idx="133">
                  <c:v>41145</c:v>
                </c:pt>
                <c:pt idx="134">
                  <c:v>41152</c:v>
                </c:pt>
                <c:pt idx="135">
                  <c:v>41159</c:v>
                </c:pt>
                <c:pt idx="136">
                  <c:v>41166</c:v>
                </c:pt>
                <c:pt idx="137">
                  <c:v>41173</c:v>
                </c:pt>
                <c:pt idx="138">
                  <c:v>41180</c:v>
                </c:pt>
                <c:pt idx="139">
                  <c:v>41187</c:v>
                </c:pt>
                <c:pt idx="140">
                  <c:v>41194</c:v>
                </c:pt>
                <c:pt idx="141">
                  <c:v>41201</c:v>
                </c:pt>
                <c:pt idx="142">
                  <c:v>41208</c:v>
                </c:pt>
                <c:pt idx="143">
                  <c:v>41215</c:v>
                </c:pt>
                <c:pt idx="144">
                  <c:v>41222</c:v>
                </c:pt>
                <c:pt idx="145">
                  <c:v>41229</c:v>
                </c:pt>
                <c:pt idx="146">
                  <c:v>41236</c:v>
                </c:pt>
                <c:pt idx="147">
                  <c:v>41243</c:v>
                </c:pt>
                <c:pt idx="148">
                  <c:v>41250</c:v>
                </c:pt>
                <c:pt idx="149">
                  <c:v>41257</c:v>
                </c:pt>
                <c:pt idx="150">
                  <c:v>41264</c:v>
                </c:pt>
                <c:pt idx="151">
                  <c:v>41271</c:v>
                </c:pt>
                <c:pt idx="152">
                  <c:v>41278</c:v>
                </c:pt>
                <c:pt idx="153">
                  <c:v>41285</c:v>
                </c:pt>
                <c:pt idx="154">
                  <c:v>41292</c:v>
                </c:pt>
                <c:pt idx="155">
                  <c:v>41299</c:v>
                </c:pt>
                <c:pt idx="156">
                  <c:v>41306</c:v>
                </c:pt>
                <c:pt idx="157">
                  <c:v>41313</c:v>
                </c:pt>
                <c:pt idx="158">
                  <c:v>41320</c:v>
                </c:pt>
                <c:pt idx="159">
                  <c:v>41327</c:v>
                </c:pt>
                <c:pt idx="160">
                  <c:v>41334</c:v>
                </c:pt>
                <c:pt idx="161">
                  <c:v>41341</c:v>
                </c:pt>
                <c:pt idx="162">
                  <c:v>41348</c:v>
                </c:pt>
                <c:pt idx="163">
                  <c:v>41355</c:v>
                </c:pt>
                <c:pt idx="164">
                  <c:v>41362</c:v>
                </c:pt>
                <c:pt idx="165">
                  <c:v>41369</c:v>
                </c:pt>
                <c:pt idx="166">
                  <c:v>41376</c:v>
                </c:pt>
                <c:pt idx="167">
                  <c:v>41383</c:v>
                </c:pt>
                <c:pt idx="168">
                  <c:v>41390</c:v>
                </c:pt>
                <c:pt idx="169">
                  <c:v>41397</c:v>
                </c:pt>
                <c:pt idx="170">
                  <c:v>41404</c:v>
                </c:pt>
                <c:pt idx="171">
                  <c:v>41411</c:v>
                </c:pt>
                <c:pt idx="172">
                  <c:v>41418</c:v>
                </c:pt>
                <c:pt idx="173">
                  <c:v>41425</c:v>
                </c:pt>
                <c:pt idx="174">
                  <c:v>41432</c:v>
                </c:pt>
                <c:pt idx="175">
                  <c:v>41439</c:v>
                </c:pt>
                <c:pt idx="176">
                  <c:v>41446</c:v>
                </c:pt>
                <c:pt idx="177">
                  <c:v>41453</c:v>
                </c:pt>
                <c:pt idx="178">
                  <c:v>41460</c:v>
                </c:pt>
              </c:numCache>
            </c:numRef>
          </c:cat>
          <c:val>
            <c:numRef>
              <c:f>'PRONOSTICO.ETS.FIN'!$C$2:$C$180</c:f>
              <c:numCache>
                <c:formatCode>General</c:formatCode>
                <c:ptCount val="179"/>
                <c:pt idx="142">
                  <c:v>1171402.0075000001</c:v>
                </c:pt>
                <c:pt idx="143">
                  <c:v>1245734.3543708408</c:v>
                </c:pt>
                <c:pt idx="144">
                  <c:v>1217703.35729499</c:v>
                </c:pt>
                <c:pt idx="145">
                  <c:v>1215412.9941762756</c:v>
                </c:pt>
                <c:pt idx="146">
                  <c:v>1419175.5725506507</c:v>
                </c:pt>
                <c:pt idx="147">
                  <c:v>1313100.0918995165</c:v>
                </c:pt>
                <c:pt idx="148">
                  <c:v>1249794.2380616199</c:v>
                </c:pt>
                <c:pt idx="149">
                  <c:v>1226105.1920690185</c:v>
                </c:pt>
                <c:pt idx="150">
                  <c:v>1193268.4587986206</c:v>
                </c:pt>
                <c:pt idx="151">
                  <c:v>1277509.1517362935</c:v>
                </c:pt>
                <c:pt idx="152">
                  <c:v>1248536.5399479817</c:v>
                </c:pt>
                <c:pt idx="153">
                  <c:v>1199491.2992893939</c:v>
                </c:pt>
                <c:pt idx="154">
                  <c:v>1183610.9008225701</c:v>
                </c:pt>
                <c:pt idx="155">
                  <c:v>1172896.3929309708</c:v>
                </c:pt>
                <c:pt idx="156">
                  <c:v>1247228.7398018118</c:v>
                </c:pt>
                <c:pt idx="157">
                  <c:v>1219197.7427259609</c:v>
                </c:pt>
                <c:pt idx="158">
                  <c:v>1216907.3796072467</c:v>
                </c:pt>
                <c:pt idx="159">
                  <c:v>1420669.9579816218</c:v>
                </c:pt>
                <c:pt idx="160">
                  <c:v>1314594.4773304875</c:v>
                </c:pt>
                <c:pt idx="161">
                  <c:v>1251288.6234925909</c:v>
                </c:pt>
                <c:pt idx="162">
                  <c:v>1227599.5774999894</c:v>
                </c:pt>
                <c:pt idx="163">
                  <c:v>1194762.8442295918</c:v>
                </c:pt>
                <c:pt idx="164">
                  <c:v>1279003.5371672646</c:v>
                </c:pt>
                <c:pt idx="165">
                  <c:v>1250030.9253789526</c:v>
                </c:pt>
                <c:pt idx="166">
                  <c:v>1200985.6847203649</c:v>
                </c:pt>
                <c:pt idx="167">
                  <c:v>1185105.286253541</c:v>
                </c:pt>
                <c:pt idx="168">
                  <c:v>1174390.7783619419</c:v>
                </c:pt>
                <c:pt idx="169">
                  <c:v>1248723.1252327829</c:v>
                </c:pt>
                <c:pt idx="170">
                  <c:v>1220692.1281569321</c:v>
                </c:pt>
                <c:pt idx="171">
                  <c:v>1218401.7650382177</c:v>
                </c:pt>
                <c:pt idx="172">
                  <c:v>1422164.3434125928</c:v>
                </c:pt>
                <c:pt idx="173">
                  <c:v>1316088.8627614586</c:v>
                </c:pt>
                <c:pt idx="174">
                  <c:v>1252783.008923562</c:v>
                </c:pt>
                <c:pt idx="175">
                  <c:v>1229093.9629309606</c:v>
                </c:pt>
                <c:pt idx="176">
                  <c:v>1196257.2296605627</c:v>
                </c:pt>
                <c:pt idx="177">
                  <c:v>1280497.9225982355</c:v>
                </c:pt>
                <c:pt idx="178">
                  <c:v>1251525.3108099238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E1-41EB-AAAA-E555B8F27DA2}"/>
            </c:ext>
          </c:extLst>
        </c:ser>
        <c:ser>
          <c:idx val="2"/>
          <c:order val="2"/>
          <c:tx>
            <c:strRef>
              <c:f>'PRONOSTICO.ETS.FIN'!$D$1</c:f>
              <c:strCache>
                <c:ptCount val="1"/>
                <c:pt idx="0">
                  <c:v>Límite de confianza inferior(Venta_por_semana)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'PRONOSTICO.ETS.FIN'!$A$2:$A$180</c:f>
              <c:numCache>
                <c:formatCode>m/d/yyyy</c:formatCode>
                <c:ptCount val="179"/>
                <c:pt idx="0">
                  <c:v>40214</c:v>
                </c:pt>
                <c:pt idx="1">
                  <c:v>40221</c:v>
                </c:pt>
                <c:pt idx="2">
                  <c:v>40228</c:v>
                </c:pt>
                <c:pt idx="3">
                  <c:v>40235</c:v>
                </c:pt>
                <c:pt idx="4">
                  <c:v>40242</c:v>
                </c:pt>
                <c:pt idx="5">
                  <c:v>40249</c:v>
                </c:pt>
                <c:pt idx="6">
                  <c:v>40256</c:v>
                </c:pt>
                <c:pt idx="7">
                  <c:v>40263</c:v>
                </c:pt>
                <c:pt idx="8">
                  <c:v>40270</c:v>
                </c:pt>
                <c:pt idx="9">
                  <c:v>40277</c:v>
                </c:pt>
                <c:pt idx="10">
                  <c:v>40284</c:v>
                </c:pt>
                <c:pt idx="11">
                  <c:v>40291</c:v>
                </c:pt>
                <c:pt idx="12">
                  <c:v>40298</c:v>
                </c:pt>
                <c:pt idx="13">
                  <c:v>40305</c:v>
                </c:pt>
                <c:pt idx="14">
                  <c:v>40312</c:v>
                </c:pt>
                <c:pt idx="15">
                  <c:v>40319</c:v>
                </c:pt>
                <c:pt idx="16">
                  <c:v>40326</c:v>
                </c:pt>
                <c:pt idx="17">
                  <c:v>40333</c:v>
                </c:pt>
                <c:pt idx="18">
                  <c:v>40340</c:v>
                </c:pt>
                <c:pt idx="19">
                  <c:v>40347</c:v>
                </c:pt>
                <c:pt idx="20">
                  <c:v>40354</c:v>
                </c:pt>
                <c:pt idx="21">
                  <c:v>40361</c:v>
                </c:pt>
                <c:pt idx="22">
                  <c:v>40368</c:v>
                </c:pt>
                <c:pt idx="23">
                  <c:v>40375</c:v>
                </c:pt>
                <c:pt idx="24">
                  <c:v>40382</c:v>
                </c:pt>
                <c:pt idx="25">
                  <c:v>40389</c:v>
                </c:pt>
                <c:pt idx="26">
                  <c:v>40396</c:v>
                </c:pt>
                <c:pt idx="27">
                  <c:v>40403</c:v>
                </c:pt>
                <c:pt idx="28">
                  <c:v>40410</c:v>
                </c:pt>
                <c:pt idx="29">
                  <c:v>40417</c:v>
                </c:pt>
                <c:pt idx="30">
                  <c:v>40424</c:v>
                </c:pt>
                <c:pt idx="31">
                  <c:v>40431</c:v>
                </c:pt>
                <c:pt idx="32">
                  <c:v>40438</c:v>
                </c:pt>
                <c:pt idx="33">
                  <c:v>40445</c:v>
                </c:pt>
                <c:pt idx="34">
                  <c:v>40452</c:v>
                </c:pt>
                <c:pt idx="35">
                  <c:v>40459</c:v>
                </c:pt>
                <c:pt idx="36">
                  <c:v>40466</c:v>
                </c:pt>
                <c:pt idx="37">
                  <c:v>40473</c:v>
                </c:pt>
                <c:pt idx="38">
                  <c:v>40480</c:v>
                </c:pt>
                <c:pt idx="39">
                  <c:v>40487</c:v>
                </c:pt>
                <c:pt idx="40">
                  <c:v>40494</c:v>
                </c:pt>
                <c:pt idx="41">
                  <c:v>40501</c:v>
                </c:pt>
                <c:pt idx="42">
                  <c:v>40508</c:v>
                </c:pt>
                <c:pt idx="43">
                  <c:v>40515</c:v>
                </c:pt>
                <c:pt idx="44">
                  <c:v>40522</c:v>
                </c:pt>
                <c:pt idx="45">
                  <c:v>40529</c:v>
                </c:pt>
                <c:pt idx="46">
                  <c:v>40536</c:v>
                </c:pt>
                <c:pt idx="47">
                  <c:v>40543</c:v>
                </c:pt>
                <c:pt idx="48">
                  <c:v>40550</c:v>
                </c:pt>
                <c:pt idx="49">
                  <c:v>40557</c:v>
                </c:pt>
                <c:pt idx="50">
                  <c:v>40564</c:v>
                </c:pt>
                <c:pt idx="51">
                  <c:v>40571</c:v>
                </c:pt>
                <c:pt idx="52">
                  <c:v>40578</c:v>
                </c:pt>
                <c:pt idx="53">
                  <c:v>40585</c:v>
                </c:pt>
                <c:pt idx="54">
                  <c:v>40592</c:v>
                </c:pt>
                <c:pt idx="55">
                  <c:v>40599</c:v>
                </c:pt>
                <c:pt idx="56">
                  <c:v>40606</c:v>
                </c:pt>
                <c:pt idx="57">
                  <c:v>40613</c:v>
                </c:pt>
                <c:pt idx="58">
                  <c:v>40620</c:v>
                </c:pt>
                <c:pt idx="59">
                  <c:v>40627</c:v>
                </c:pt>
                <c:pt idx="60">
                  <c:v>40634</c:v>
                </c:pt>
                <c:pt idx="61">
                  <c:v>40641</c:v>
                </c:pt>
                <c:pt idx="62">
                  <c:v>40648</c:v>
                </c:pt>
                <c:pt idx="63">
                  <c:v>40655</c:v>
                </c:pt>
                <c:pt idx="64">
                  <c:v>40662</c:v>
                </c:pt>
                <c:pt idx="65">
                  <c:v>40669</c:v>
                </c:pt>
                <c:pt idx="66">
                  <c:v>40676</c:v>
                </c:pt>
                <c:pt idx="67">
                  <c:v>40683</c:v>
                </c:pt>
                <c:pt idx="68">
                  <c:v>40690</c:v>
                </c:pt>
                <c:pt idx="69">
                  <c:v>40697</c:v>
                </c:pt>
                <c:pt idx="70">
                  <c:v>40704</c:v>
                </c:pt>
                <c:pt idx="71">
                  <c:v>40711</c:v>
                </c:pt>
                <c:pt idx="72">
                  <c:v>40718</c:v>
                </c:pt>
                <c:pt idx="73">
                  <c:v>40725</c:v>
                </c:pt>
                <c:pt idx="74">
                  <c:v>40732</c:v>
                </c:pt>
                <c:pt idx="75">
                  <c:v>40739</c:v>
                </c:pt>
                <c:pt idx="76">
                  <c:v>40746</c:v>
                </c:pt>
                <c:pt idx="77">
                  <c:v>40753</c:v>
                </c:pt>
                <c:pt idx="78">
                  <c:v>40760</c:v>
                </c:pt>
                <c:pt idx="79">
                  <c:v>40767</c:v>
                </c:pt>
                <c:pt idx="80">
                  <c:v>40774</c:v>
                </c:pt>
                <c:pt idx="81">
                  <c:v>40781</c:v>
                </c:pt>
                <c:pt idx="82">
                  <c:v>40788</c:v>
                </c:pt>
                <c:pt idx="83">
                  <c:v>40795</c:v>
                </c:pt>
                <c:pt idx="84">
                  <c:v>40802</c:v>
                </c:pt>
                <c:pt idx="85">
                  <c:v>40809</c:v>
                </c:pt>
                <c:pt idx="86">
                  <c:v>40816</c:v>
                </c:pt>
                <c:pt idx="87">
                  <c:v>40823</c:v>
                </c:pt>
                <c:pt idx="88">
                  <c:v>40830</c:v>
                </c:pt>
                <c:pt idx="89">
                  <c:v>40837</c:v>
                </c:pt>
                <c:pt idx="90">
                  <c:v>40844</c:v>
                </c:pt>
                <c:pt idx="91">
                  <c:v>40851</c:v>
                </c:pt>
                <c:pt idx="92">
                  <c:v>40858</c:v>
                </c:pt>
                <c:pt idx="93">
                  <c:v>40865</c:v>
                </c:pt>
                <c:pt idx="94">
                  <c:v>40872</c:v>
                </c:pt>
                <c:pt idx="95">
                  <c:v>40879</c:v>
                </c:pt>
                <c:pt idx="96">
                  <c:v>40886</c:v>
                </c:pt>
                <c:pt idx="97">
                  <c:v>40893</c:v>
                </c:pt>
                <c:pt idx="98">
                  <c:v>40900</c:v>
                </c:pt>
                <c:pt idx="99">
                  <c:v>40907</c:v>
                </c:pt>
                <c:pt idx="100">
                  <c:v>40914</c:v>
                </c:pt>
                <c:pt idx="101">
                  <c:v>40921</c:v>
                </c:pt>
                <c:pt idx="102">
                  <c:v>40928</c:v>
                </c:pt>
                <c:pt idx="103">
                  <c:v>40935</c:v>
                </c:pt>
                <c:pt idx="104">
                  <c:v>40942</c:v>
                </c:pt>
                <c:pt idx="105">
                  <c:v>40949</c:v>
                </c:pt>
                <c:pt idx="106">
                  <c:v>40956</c:v>
                </c:pt>
                <c:pt idx="107">
                  <c:v>40963</c:v>
                </c:pt>
                <c:pt idx="108">
                  <c:v>40970</c:v>
                </c:pt>
                <c:pt idx="109">
                  <c:v>40977</c:v>
                </c:pt>
                <c:pt idx="110">
                  <c:v>40984</c:v>
                </c:pt>
                <c:pt idx="111">
                  <c:v>40991</c:v>
                </c:pt>
                <c:pt idx="112">
                  <c:v>40998</c:v>
                </c:pt>
                <c:pt idx="113">
                  <c:v>41005</c:v>
                </c:pt>
                <c:pt idx="114">
                  <c:v>41012</c:v>
                </c:pt>
                <c:pt idx="115">
                  <c:v>41019</c:v>
                </c:pt>
                <c:pt idx="116">
                  <c:v>41026</c:v>
                </c:pt>
                <c:pt idx="117">
                  <c:v>41033</c:v>
                </c:pt>
                <c:pt idx="118">
                  <c:v>41040</c:v>
                </c:pt>
                <c:pt idx="119">
                  <c:v>41047</c:v>
                </c:pt>
                <c:pt idx="120">
                  <c:v>41054</c:v>
                </c:pt>
                <c:pt idx="121">
                  <c:v>41061</c:v>
                </c:pt>
                <c:pt idx="122">
                  <c:v>41068</c:v>
                </c:pt>
                <c:pt idx="123">
                  <c:v>41075</c:v>
                </c:pt>
                <c:pt idx="124">
                  <c:v>41082</c:v>
                </c:pt>
                <c:pt idx="125">
                  <c:v>41089</c:v>
                </c:pt>
                <c:pt idx="126">
                  <c:v>41096</c:v>
                </c:pt>
                <c:pt idx="127">
                  <c:v>41103</c:v>
                </c:pt>
                <c:pt idx="128">
                  <c:v>41110</c:v>
                </c:pt>
                <c:pt idx="129">
                  <c:v>41117</c:v>
                </c:pt>
                <c:pt idx="130">
                  <c:v>41124</c:v>
                </c:pt>
                <c:pt idx="131">
                  <c:v>41131</c:v>
                </c:pt>
                <c:pt idx="132">
                  <c:v>41138</c:v>
                </c:pt>
                <c:pt idx="133">
                  <c:v>41145</c:v>
                </c:pt>
                <c:pt idx="134">
                  <c:v>41152</c:v>
                </c:pt>
                <c:pt idx="135">
                  <c:v>41159</c:v>
                </c:pt>
                <c:pt idx="136">
                  <c:v>41166</c:v>
                </c:pt>
                <c:pt idx="137">
                  <c:v>41173</c:v>
                </c:pt>
                <c:pt idx="138">
                  <c:v>41180</c:v>
                </c:pt>
                <c:pt idx="139">
                  <c:v>41187</c:v>
                </c:pt>
                <c:pt idx="140">
                  <c:v>41194</c:v>
                </c:pt>
                <c:pt idx="141">
                  <c:v>41201</c:v>
                </c:pt>
                <c:pt idx="142">
                  <c:v>41208</c:v>
                </c:pt>
                <c:pt idx="143">
                  <c:v>41215</c:v>
                </c:pt>
                <c:pt idx="144">
                  <c:v>41222</c:v>
                </c:pt>
                <c:pt idx="145">
                  <c:v>41229</c:v>
                </c:pt>
                <c:pt idx="146">
                  <c:v>41236</c:v>
                </c:pt>
                <c:pt idx="147">
                  <c:v>41243</c:v>
                </c:pt>
                <c:pt idx="148">
                  <c:v>41250</c:v>
                </c:pt>
                <c:pt idx="149">
                  <c:v>41257</c:v>
                </c:pt>
                <c:pt idx="150">
                  <c:v>41264</c:v>
                </c:pt>
                <c:pt idx="151">
                  <c:v>41271</c:v>
                </c:pt>
                <c:pt idx="152">
                  <c:v>41278</c:v>
                </c:pt>
                <c:pt idx="153">
                  <c:v>41285</c:v>
                </c:pt>
                <c:pt idx="154">
                  <c:v>41292</c:v>
                </c:pt>
                <c:pt idx="155">
                  <c:v>41299</c:v>
                </c:pt>
                <c:pt idx="156">
                  <c:v>41306</c:v>
                </c:pt>
                <c:pt idx="157">
                  <c:v>41313</c:v>
                </c:pt>
                <c:pt idx="158">
                  <c:v>41320</c:v>
                </c:pt>
                <c:pt idx="159">
                  <c:v>41327</c:v>
                </c:pt>
                <c:pt idx="160">
                  <c:v>41334</c:v>
                </c:pt>
                <c:pt idx="161">
                  <c:v>41341</c:v>
                </c:pt>
                <c:pt idx="162">
                  <c:v>41348</c:v>
                </c:pt>
                <c:pt idx="163">
                  <c:v>41355</c:v>
                </c:pt>
                <c:pt idx="164">
                  <c:v>41362</c:v>
                </c:pt>
                <c:pt idx="165">
                  <c:v>41369</c:v>
                </c:pt>
                <c:pt idx="166">
                  <c:v>41376</c:v>
                </c:pt>
                <c:pt idx="167">
                  <c:v>41383</c:v>
                </c:pt>
                <c:pt idx="168">
                  <c:v>41390</c:v>
                </c:pt>
                <c:pt idx="169">
                  <c:v>41397</c:v>
                </c:pt>
                <c:pt idx="170">
                  <c:v>41404</c:v>
                </c:pt>
                <c:pt idx="171">
                  <c:v>41411</c:v>
                </c:pt>
                <c:pt idx="172">
                  <c:v>41418</c:v>
                </c:pt>
                <c:pt idx="173">
                  <c:v>41425</c:v>
                </c:pt>
                <c:pt idx="174">
                  <c:v>41432</c:v>
                </c:pt>
                <c:pt idx="175">
                  <c:v>41439</c:v>
                </c:pt>
                <c:pt idx="176">
                  <c:v>41446</c:v>
                </c:pt>
                <c:pt idx="177">
                  <c:v>41453</c:v>
                </c:pt>
                <c:pt idx="178">
                  <c:v>41460</c:v>
                </c:pt>
              </c:numCache>
            </c:numRef>
          </c:cat>
          <c:val>
            <c:numRef>
              <c:f>'PRONOSTICO.ETS.FIN'!$D$2:$D$180</c:f>
              <c:numCache>
                <c:formatCode>General</c:formatCode>
                <c:ptCount val="179"/>
                <c:pt idx="142" formatCode="0.00">
                  <c:v>1171402.0075000001</c:v>
                </c:pt>
                <c:pt idx="143" formatCode="0.00">
                  <c:v>936527.49184802035</c:v>
                </c:pt>
                <c:pt idx="144" formatCode="0.00">
                  <c:v>898829.66695660015</c:v>
                </c:pt>
                <c:pt idx="145" formatCode="0.00">
                  <c:v>887083.49590483634</c:v>
                </c:pt>
                <c:pt idx="146" formatCode="0.00">
                  <c:v>1081583.2708249907</c:v>
                </c:pt>
                <c:pt idx="147" formatCode="0.00">
                  <c:v>966422.24453174288</c:v>
                </c:pt>
                <c:pt idx="148" formatCode="0.00">
                  <c:v>894194.24696725095</c:v>
                </c:pt>
                <c:pt idx="149" formatCode="0.00">
                  <c:v>861734.19317574403</c:v>
                </c:pt>
                <c:pt idx="150" formatCode="0.00">
                  <c:v>820266.66982459568</c:v>
                </c:pt>
                <c:pt idx="151" formatCode="0.00">
                  <c:v>896007.02315231785</c:v>
                </c:pt>
                <c:pt idx="152" formatCode="0.00">
                  <c:v>858655.74449750851</c:v>
                </c:pt>
                <c:pt idx="153" formatCode="0.00">
                  <c:v>801345.58797686535</c:v>
                </c:pt>
                <c:pt idx="154" formatCode="0.00">
                  <c:v>777306.84760839317</c:v>
                </c:pt>
                <c:pt idx="155" formatCode="0.00">
                  <c:v>758534.04601225106</c:v>
                </c:pt>
                <c:pt idx="156" formatCode="0.00">
                  <c:v>824842.31907899084</c:v>
                </c:pt>
                <c:pt idx="157" formatCode="0.00">
                  <c:v>788936.86572448141</c:v>
                </c:pt>
                <c:pt idx="158" formatCode="0.00">
                  <c:v>778855.64240895282</c:v>
                </c:pt>
                <c:pt idx="159" formatCode="0.00">
                  <c:v>974906.35899457347</c:v>
                </c:pt>
                <c:pt idx="160" formatCode="0.00">
                  <c:v>861193.77303661616</c:v>
                </c:pt>
                <c:pt idx="161" formatCode="0.00">
                  <c:v>790321.64734669751</c:v>
                </c:pt>
                <c:pt idx="162" formatCode="0.00">
                  <c:v>759133.52672535367</c:v>
                </c:pt>
                <c:pt idx="163" formatCode="0.00">
                  <c:v>718861.53853078291</c:v>
                </c:pt>
                <c:pt idx="164" formatCode="0.00">
                  <c:v>795727.65278320073</c:v>
                </c:pt>
                <c:pt idx="165" formatCode="0.00">
                  <c:v>759438.20740379253</c:v>
                </c:pt>
                <c:pt idx="166" formatCode="0.00">
                  <c:v>703131.14020684268</c:v>
                </c:pt>
                <c:pt idx="167" formatCode="0.00">
                  <c:v>680041.36026743217</c:v>
                </c:pt>
                <c:pt idx="168" formatCode="0.00">
                  <c:v>662167.51486522448</c:v>
                </c:pt>
                <c:pt idx="169" formatCode="0.00">
                  <c:v>729337.22953937983</c:v>
                </c:pt>
                <c:pt idx="170" formatCode="0.00">
                  <c:v>694241.04246781545</c:v>
                </c:pt>
                <c:pt idx="171" formatCode="0.00">
                  <c:v>684929.14460718317</c:v>
                </c:pt>
                <c:pt idx="172" formatCode="0.00">
                  <c:v>881711.96508317778</c:v>
                </c:pt>
                <c:pt idx="173" formatCode="0.00">
                  <c:v>768696.73063119408</c:v>
                </c:pt>
                <c:pt idx="174" formatCode="0.00">
                  <c:v>698489.45204606233</c:v>
                </c:pt>
                <c:pt idx="175" formatCode="0.00">
                  <c:v>667935.7258061124</c:v>
                </c:pt>
                <c:pt idx="176" formatCode="0.00">
                  <c:v>628269.55617868411</c:v>
                </c:pt>
                <c:pt idx="177" formatCode="0.00">
                  <c:v>705714.63403066865</c:v>
                </c:pt>
                <c:pt idx="178" formatCode="0.00">
                  <c:v>669978.8783744697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E1-41EB-AAAA-E555B8F27DA2}"/>
            </c:ext>
          </c:extLst>
        </c:ser>
        <c:ser>
          <c:idx val="3"/>
          <c:order val="3"/>
          <c:tx>
            <c:strRef>
              <c:f>'PRONOSTICO.ETS.FIN'!$E$1</c:f>
              <c:strCache>
                <c:ptCount val="1"/>
                <c:pt idx="0">
                  <c:v>Límite de confianza superior(Venta_por_semana)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'PRONOSTICO.ETS.FIN'!$A$2:$A$180</c:f>
              <c:numCache>
                <c:formatCode>m/d/yyyy</c:formatCode>
                <c:ptCount val="179"/>
                <c:pt idx="0">
                  <c:v>40214</c:v>
                </c:pt>
                <c:pt idx="1">
                  <c:v>40221</c:v>
                </c:pt>
                <c:pt idx="2">
                  <c:v>40228</c:v>
                </c:pt>
                <c:pt idx="3">
                  <c:v>40235</c:v>
                </c:pt>
                <c:pt idx="4">
                  <c:v>40242</c:v>
                </c:pt>
                <c:pt idx="5">
                  <c:v>40249</c:v>
                </c:pt>
                <c:pt idx="6">
                  <c:v>40256</c:v>
                </c:pt>
                <c:pt idx="7">
                  <c:v>40263</c:v>
                </c:pt>
                <c:pt idx="8">
                  <c:v>40270</c:v>
                </c:pt>
                <c:pt idx="9">
                  <c:v>40277</c:v>
                </c:pt>
                <c:pt idx="10">
                  <c:v>40284</c:v>
                </c:pt>
                <c:pt idx="11">
                  <c:v>40291</c:v>
                </c:pt>
                <c:pt idx="12">
                  <c:v>40298</c:v>
                </c:pt>
                <c:pt idx="13">
                  <c:v>40305</c:v>
                </c:pt>
                <c:pt idx="14">
                  <c:v>40312</c:v>
                </c:pt>
                <c:pt idx="15">
                  <c:v>40319</c:v>
                </c:pt>
                <c:pt idx="16">
                  <c:v>40326</c:v>
                </c:pt>
                <c:pt idx="17">
                  <c:v>40333</c:v>
                </c:pt>
                <c:pt idx="18">
                  <c:v>40340</c:v>
                </c:pt>
                <c:pt idx="19">
                  <c:v>40347</c:v>
                </c:pt>
                <c:pt idx="20">
                  <c:v>40354</c:v>
                </c:pt>
                <c:pt idx="21">
                  <c:v>40361</c:v>
                </c:pt>
                <c:pt idx="22">
                  <c:v>40368</c:v>
                </c:pt>
                <c:pt idx="23">
                  <c:v>40375</c:v>
                </c:pt>
                <c:pt idx="24">
                  <c:v>40382</c:v>
                </c:pt>
                <c:pt idx="25">
                  <c:v>40389</c:v>
                </c:pt>
                <c:pt idx="26">
                  <c:v>40396</c:v>
                </c:pt>
                <c:pt idx="27">
                  <c:v>40403</c:v>
                </c:pt>
                <c:pt idx="28">
                  <c:v>40410</c:v>
                </c:pt>
                <c:pt idx="29">
                  <c:v>40417</c:v>
                </c:pt>
                <c:pt idx="30">
                  <c:v>40424</c:v>
                </c:pt>
                <c:pt idx="31">
                  <c:v>40431</c:v>
                </c:pt>
                <c:pt idx="32">
                  <c:v>40438</c:v>
                </c:pt>
                <c:pt idx="33">
                  <c:v>40445</c:v>
                </c:pt>
                <c:pt idx="34">
                  <c:v>40452</c:v>
                </c:pt>
                <c:pt idx="35">
                  <c:v>40459</c:v>
                </c:pt>
                <c:pt idx="36">
                  <c:v>40466</c:v>
                </c:pt>
                <c:pt idx="37">
                  <c:v>40473</c:v>
                </c:pt>
                <c:pt idx="38">
                  <c:v>40480</c:v>
                </c:pt>
                <c:pt idx="39">
                  <c:v>40487</c:v>
                </c:pt>
                <c:pt idx="40">
                  <c:v>40494</c:v>
                </c:pt>
                <c:pt idx="41">
                  <c:v>40501</c:v>
                </c:pt>
                <c:pt idx="42">
                  <c:v>40508</c:v>
                </c:pt>
                <c:pt idx="43">
                  <c:v>40515</c:v>
                </c:pt>
                <c:pt idx="44">
                  <c:v>40522</c:v>
                </c:pt>
                <c:pt idx="45">
                  <c:v>40529</c:v>
                </c:pt>
                <c:pt idx="46">
                  <c:v>40536</c:v>
                </c:pt>
                <c:pt idx="47">
                  <c:v>40543</c:v>
                </c:pt>
                <c:pt idx="48">
                  <c:v>40550</c:v>
                </c:pt>
                <c:pt idx="49">
                  <c:v>40557</c:v>
                </c:pt>
                <c:pt idx="50">
                  <c:v>40564</c:v>
                </c:pt>
                <c:pt idx="51">
                  <c:v>40571</c:v>
                </c:pt>
                <c:pt idx="52">
                  <c:v>40578</c:v>
                </c:pt>
                <c:pt idx="53">
                  <c:v>40585</c:v>
                </c:pt>
                <c:pt idx="54">
                  <c:v>40592</c:v>
                </c:pt>
                <c:pt idx="55">
                  <c:v>40599</c:v>
                </c:pt>
                <c:pt idx="56">
                  <c:v>40606</c:v>
                </c:pt>
                <c:pt idx="57">
                  <c:v>40613</c:v>
                </c:pt>
                <c:pt idx="58">
                  <c:v>40620</c:v>
                </c:pt>
                <c:pt idx="59">
                  <c:v>40627</c:v>
                </c:pt>
                <c:pt idx="60">
                  <c:v>40634</c:v>
                </c:pt>
                <c:pt idx="61">
                  <c:v>40641</c:v>
                </c:pt>
                <c:pt idx="62">
                  <c:v>40648</c:v>
                </c:pt>
                <c:pt idx="63">
                  <c:v>40655</c:v>
                </c:pt>
                <c:pt idx="64">
                  <c:v>40662</c:v>
                </c:pt>
                <c:pt idx="65">
                  <c:v>40669</c:v>
                </c:pt>
                <c:pt idx="66">
                  <c:v>40676</c:v>
                </c:pt>
                <c:pt idx="67">
                  <c:v>40683</c:v>
                </c:pt>
                <c:pt idx="68">
                  <c:v>40690</c:v>
                </c:pt>
                <c:pt idx="69">
                  <c:v>40697</c:v>
                </c:pt>
                <c:pt idx="70">
                  <c:v>40704</c:v>
                </c:pt>
                <c:pt idx="71">
                  <c:v>40711</c:v>
                </c:pt>
                <c:pt idx="72">
                  <c:v>40718</c:v>
                </c:pt>
                <c:pt idx="73">
                  <c:v>40725</c:v>
                </c:pt>
                <c:pt idx="74">
                  <c:v>40732</c:v>
                </c:pt>
                <c:pt idx="75">
                  <c:v>40739</c:v>
                </c:pt>
                <c:pt idx="76">
                  <c:v>40746</c:v>
                </c:pt>
                <c:pt idx="77">
                  <c:v>40753</c:v>
                </c:pt>
                <c:pt idx="78">
                  <c:v>40760</c:v>
                </c:pt>
                <c:pt idx="79">
                  <c:v>40767</c:v>
                </c:pt>
                <c:pt idx="80">
                  <c:v>40774</c:v>
                </c:pt>
                <c:pt idx="81">
                  <c:v>40781</c:v>
                </c:pt>
                <c:pt idx="82">
                  <c:v>40788</c:v>
                </c:pt>
                <c:pt idx="83">
                  <c:v>40795</c:v>
                </c:pt>
                <c:pt idx="84">
                  <c:v>40802</c:v>
                </c:pt>
                <c:pt idx="85">
                  <c:v>40809</c:v>
                </c:pt>
                <c:pt idx="86">
                  <c:v>40816</c:v>
                </c:pt>
                <c:pt idx="87">
                  <c:v>40823</c:v>
                </c:pt>
                <c:pt idx="88">
                  <c:v>40830</c:v>
                </c:pt>
                <c:pt idx="89">
                  <c:v>40837</c:v>
                </c:pt>
                <c:pt idx="90">
                  <c:v>40844</c:v>
                </c:pt>
                <c:pt idx="91">
                  <c:v>40851</c:v>
                </c:pt>
                <c:pt idx="92">
                  <c:v>40858</c:v>
                </c:pt>
                <c:pt idx="93">
                  <c:v>40865</c:v>
                </c:pt>
                <c:pt idx="94">
                  <c:v>40872</c:v>
                </c:pt>
                <c:pt idx="95">
                  <c:v>40879</c:v>
                </c:pt>
                <c:pt idx="96">
                  <c:v>40886</c:v>
                </c:pt>
                <c:pt idx="97">
                  <c:v>40893</c:v>
                </c:pt>
                <c:pt idx="98">
                  <c:v>40900</c:v>
                </c:pt>
                <c:pt idx="99">
                  <c:v>40907</c:v>
                </c:pt>
                <c:pt idx="100">
                  <c:v>40914</c:v>
                </c:pt>
                <c:pt idx="101">
                  <c:v>40921</c:v>
                </c:pt>
                <c:pt idx="102">
                  <c:v>40928</c:v>
                </c:pt>
                <c:pt idx="103">
                  <c:v>40935</c:v>
                </c:pt>
                <c:pt idx="104">
                  <c:v>40942</c:v>
                </c:pt>
                <c:pt idx="105">
                  <c:v>40949</c:v>
                </c:pt>
                <c:pt idx="106">
                  <c:v>40956</c:v>
                </c:pt>
                <c:pt idx="107">
                  <c:v>40963</c:v>
                </c:pt>
                <c:pt idx="108">
                  <c:v>40970</c:v>
                </c:pt>
                <c:pt idx="109">
                  <c:v>40977</c:v>
                </c:pt>
                <c:pt idx="110">
                  <c:v>40984</c:v>
                </c:pt>
                <c:pt idx="111">
                  <c:v>40991</c:v>
                </c:pt>
                <c:pt idx="112">
                  <c:v>40998</c:v>
                </c:pt>
                <c:pt idx="113">
                  <c:v>41005</c:v>
                </c:pt>
                <c:pt idx="114">
                  <c:v>41012</c:v>
                </c:pt>
                <c:pt idx="115">
                  <c:v>41019</c:v>
                </c:pt>
                <c:pt idx="116">
                  <c:v>41026</c:v>
                </c:pt>
                <c:pt idx="117">
                  <c:v>41033</c:v>
                </c:pt>
                <c:pt idx="118">
                  <c:v>41040</c:v>
                </c:pt>
                <c:pt idx="119">
                  <c:v>41047</c:v>
                </c:pt>
                <c:pt idx="120">
                  <c:v>41054</c:v>
                </c:pt>
                <c:pt idx="121">
                  <c:v>41061</c:v>
                </c:pt>
                <c:pt idx="122">
                  <c:v>41068</c:v>
                </c:pt>
                <c:pt idx="123">
                  <c:v>41075</c:v>
                </c:pt>
                <c:pt idx="124">
                  <c:v>41082</c:v>
                </c:pt>
                <c:pt idx="125">
                  <c:v>41089</c:v>
                </c:pt>
                <c:pt idx="126">
                  <c:v>41096</c:v>
                </c:pt>
                <c:pt idx="127">
                  <c:v>41103</c:v>
                </c:pt>
                <c:pt idx="128">
                  <c:v>41110</c:v>
                </c:pt>
                <c:pt idx="129">
                  <c:v>41117</c:v>
                </c:pt>
                <c:pt idx="130">
                  <c:v>41124</c:v>
                </c:pt>
                <c:pt idx="131">
                  <c:v>41131</c:v>
                </c:pt>
                <c:pt idx="132">
                  <c:v>41138</c:v>
                </c:pt>
                <c:pt idx="133">
                  <c:v>41145</c:v>
                </c:pt>
                <c:pt idx="134">
                  <c:v>41152</c:v>
                </c:pt>
                <c:pt idx="135">
                  <c:v>41159</c:v>
                </c:pt>
                <c:pt idx="136">
                  <c:v>41166</c:v>
                </c:pt>
                <c:pt idx="137">
                  <c:v>41173</c:v>
                </c:pt>
                <c:pt idx="138">
                  <c:v>41180</c:v>
                </c:pt>
                <c:pt idx="139">
                  <c:v>41187</c:v>
                </c:pt>
                <c:pt idx="140">
                  <c:v>41194</c:v>
                </c:pt>
                <c:pt idx="141">
                  <c:v>41201</c:v>
                </c:pt>
                <c:pt idx="142">
                  <c:v>41208</c:v>
                </c:pt>
                <c:pt idx="143">
                  <c:v>41215</c:v>
                </c:pt>
                <c:pt idx="144">
                  <c:v>41222</c:v>
                </c:pt>
                <c:pt idx="145">
                  <c:v>41229</c:v>
                </c:pt>
                <c:pt idx="146">
                  <c:v>41236</c:v>
                </c:pt>
                <c:pt idx="147">
                  <c:v>41243</c:v>
                </c:pt>
                <c:pt idx="148">
                  <c:v>41250</c:v>
                </c:pt>
                <c:pt idx="149">
                  <c:v>41257</c:v>
                </c:pt>
                <c:pt idx="150">
                  <c:v>41264</c:v>
                </c:pt>
                <c:pt idx="151">
                  <c:v>41271</c:v>
                </c:pt>
                <c:pt idx="152">
                  <c:v>41278</c:v>
                </c:pt>
                <c:pt idx="153">
                  <c:v>41285</c:v>
                </c:pt>
                <c:pt idx="154">
                  <c:v>41292</c:v>
                </c:pt>
                <c:pt idx="155">
                  <c:v>41299</c:v>
                </c:pt>
                <c:pt idx="156">
                  <c:v>41306</c:v>
                </c:pt>
                <c:pt idx="157">
                  <c:v>41313</c:v>
                </c:pt>
                <c:pt idx="158">
                  <c:v>41320</c:v>
                </c:pt>
                <c:pt idx="159">
                  <c:v>41327</c:v>
                </c:pt>
                <c:pt idx="160">
                  <c:v>41334</c:v>
                </c:pt>
                <c:pt idx="161">
                  <c:v>41341</c:v>
                </c:pt>
                <c:pt idx="162">
                  <c:v>41348</c:v>
                </c:pt>
                <c:pt idx="163">
                  <c:v>41355</c:v>
                </c:pt>
                <c:pt idx="164">
                  <c:v>41362</c:v>
                </c:pt>
                <c:pt idx="165">
                  <c:v>41369</c:v>
                </c:pt>
                <c:pt idx="166">
                  <c:v>41376</c:v>
                </c:pt>
                <c:pt idx="167">
                  <c:v>41383</c:v>
                </c:pt>
                <c:pt idx="168">
                  <c:v>41390</c:v>
                </c:pt>
                <c:pt idx="169">
                  <c:v>41397</c:v>
                </c:pt>
                <c:pt idx="170">
                  <c:v>41404</c:v>
                </c:pt>
                <c:pt idx="171">
                  <c:v>41411</c:v>
                </c:pt>
                <c:pt idx="172">
                  <c:v>41418</c:v>
                </c:pt>
                <c:pt idx="173">
                  <c:v>41425</c:v>
                </c:pt>
                <c:pt idx="174">
                  <c:v>41432</c:v>
                </c:pt>
                <c:pt idx="175">
                  <c:v>41439</c:v>
                </c:pt>
                <c:pt idx="176">
                  <c:v>41446</c:v>
                </c:pt>
                <c:pt idx="177">
                  <c:v>41453</c:v>
                </c:pt>
                <c:pt idx="178">
                  <c:v>41460</c:v>
                </c:pt>
              </c:numCache>
            </c:numRef>
          </c:cat>
          <c:val>
            <c:numRef>
              <c:f>'PRONOSTICO.ETS.FIN'!$E$2:$E$180</c:f>
              <c:numCache>
                <c:formatCode>General</c:formatCode>
                <c:ptCount val="179"/>
                <c:pt idx="142" formatCode="0.00">
                  <c:v>1171402.0075000001</c:v>
                </c:pt>
                <c:pt idx="143" formatCode="0.00">
                  <c:v>1554941.2168936613</c:v>
                </c:pt>
                <c:pt idx="144" formatCode="0.00">
                  <c:v>1536577.0476333797</c:v>
                </c:pt>
                <c:pt idx="145" formatCode="0.00">
                  <c:v>1543742.4924477148</c:v>
                </c:pt>
                <c:pt idx="146" formatCode="0.00">
                  <c:v>1756767.8742763107</c:v>
                </c:pt>
                <c:pt idx="147" formatCode="0.00">
                  <c:v>1659777.9392672903</c:v>
                </c:pt>
                <c:pt idx="148" formatCode="0.00">
                  <c:v>1605394.2291559889</c:v>
                </c:pt>
                <c:pt idx="149" formatCode="0.00">
                  <c:v>1590476.190962293</c:v>
                </c:pt>
                <c:pt idx="150" formatCode="0.00">
                  <c:v>1566270.2477726457</c:v>
                </c:pt>
                <c:pt idx="151" formatCode="0.00">
                  <c:v>1659011.2803202691</c:v>
                </c:pt>
                <c:pt idx="152" formatCode="0.00">
                  <c:v>1638417.3353984549</c:v>
                </c:pt>
                <c:pt idx="153" formatCode="0.00">
                  <c:v>1597637.0106019224</c:v>
                </c:pt>
                <c:pt idx="154" formatCode="0.00">
                  <c:v>1589914.9540367471</c:v>
                </c:pt>
                <c:pt idx="155" formatCode="0.00">
                  <c:v>1587258.7398496903</c:v>
                </c:pt>
                <c:pt idx="156" formatCode="0.00">
                  <c:v>1669615.1605246328</c:v>
                </c:pt>
                <c:pt idx="157" formatCode="0.00">
                  <c:v>1649458.6197274404</c:v>
                </c:pt>
                <c:pt idx="158" formatCode="0.00">
                  <c:v>1654959.1168055406</c:v>
                </c:pt>
                <c:pt idx="159" formatCode="0.00">
                  <c:v>1866433.5569686703</c:v>
                </c:pt>
                <c:pt idx="160" formatCode="0.00">
                  <c:v>1767995.1816243588</c:v>
                </c:pt>
                <c:pt idx="161" formatCode="0.00">
                  <c:v>1712255.5996384842</c:v>
                </c:pt>
                <c:pt idx="162" formatCode="0.00">
                  <c:v>1696065.6282746252</c:v>
                </c:pt>
                <c:pt idx="163" formatCode="0.00">
                  <c:v>1670664.1499284008</c:v>
                </c:pt>
                <c:pt idx="164" formatCode="0.00">
                  <c:v>1762279.4215513286</c:v>
                </c:pt>
                <c:pt idx="165" formatCode="0.00">
                  <c:v>1740623.6433541127</c:v>
                </c:pt>
                <c:pt idx="166" formatCode="0.00">
                  <c:v>1698840.229233887</c:v>
                </c:pt>
                <c:pt idx="167" formatCode="0.00">
                  <c:v>1690169.2122396498</c:v>
                </c:pt>
                <c:pt idx="168" formatCode="0.00">
                  <c:v>1686614.0418586594</c:v>
                </c:pt>
                <c:pt idx="169" formatCode="0.00">
                  <c:v>1768109.0209261859</c:v>
                </c:pt>
                <c:pt idx="170" formatCode="0.00">
                  <c:v>1747143.2138460488</c:v>
                </c:pt>
                <c:pt idx="171" formatCode="0.00">
                  <c:v>1751874.3854692522</c:v>
                </c:pt>
                <c:pt idx="172" formatCode="0.00">
                  <c:v>1962616.7217420079</c:v>
                </c:pt>
                <c:pt idx="173" formatCode="0.00">
                  <c:v>1863480.9948917232</c:v>
                </c:pt>
                <c:pt idx="174" formatCode="0.00">
                  <c:v>1807076.5658010617</c:v>
                </c:pt>
                <c:pt idx="175" formatCode="0.00">
                  <c:v>1790252.2000558088</c:v>
                </c:pt>
                <c:pt idx="176" formatCode="0.00">
                  <c:v>1764244.9031424413</c:v>
                </c:pt>
                <c:pt idx="177" formatCode="0.00">
                  <c:v>1855281.2111658026</c:v>
                </c:pt>
                <c:pt idx="178" formatCode="0.00">
                  <c:v>1833071.7432453779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E1-41EB-AAAA-E555B8F27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1040352"/>
        <c:axId val="1071040768"/>
      </c:lineChart>
      <c:catAx>
        <c:axId val="1071040352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71040768"/>
        <c:crosses val="autoZero"/>
        <c:auto val="1"/>
        <c:lblAlgn val="ctr"/>
        <c:lblOffset val="100"/>
        <c:noMultiLvlLbl val="0"/>
      </c:catAx>
      <c:valAx>
        <c:axId val="107104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7104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1685925</xdr:colOff>
      <xdr:row>3</xdr:row>
      <xdr:rowOff>38100</xdr:rowOff>
    </xdr:from>
    <xdr:to>
      <xdr:col>4</xdr:col>
      <xdr:colOff>2752725</xdr:colOff>
      <xdr:row>18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5F9860F-75EF-4D56-A862-EA0C657263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96B1CE4-1713-4703-ACF4-64383F54CE67}" autoFormatId="16" applyNumberFormats="0" applyBorderFormats="0" applyFontFormats="0" applyPatternFormats="0" applyAlignmentFormats="0" applyWidthHeightFormats="0">
  <queryTableRefresh nextId="11" unboundColumnsRight="3">
    <queryTableFields count="10">
      <queryTableField id="1" name="Tienda" tableColumnId="1"/>
      <queryTableField id="2" name="Fecha_venta" tableColumnId="2"/>
      <queryTableField id="3" name="Dia_feriado" tableColumnId="3"/>
      <queryTableField id="4" name="Temperatura" tableColumnId="4"/>
      <queryTableField id="5" name="Costo_combustible" tableColumnId="5"/>
      <queryTableField id="6" name="Indice_price_consumidor" tableColumnId="6"/>
      <queryTableField id="7" name="Venta_por_semana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0412E6-ED51-4C38-8CC1-AE4CD0850422}" name="Ventas" displayName="Ventas" ref="A1:J3429" tableType="queryTable" totalsRowShown="0">
  <autoFilter ref="A1:J3429" xr:uid="{160412E6-ED51-4C38-8CC1-AE4CD0850422}"/>
  <tableColumns count="10">
    <tableColumn id="1" xr3:uid="{3741FC4A-22A4-474C-97DE-6260CADFC8CA}" uniqueName="1" name="Tienda" queryTableFieldId="1"/>
    <tableColumn id="2" xr3:uid="{7069B076-E212-4800-B894-3A336C81CB38}" uniqueName="2" name="Fecha_venta" queryTableFieldId="2" dataDxfId="6"/>
    <tableColumn id="3" xr3:uid="{BE6944BE-4848-4C2C-9A4C-A71C34F6B684}" uniqueName="3" name="Dia_feriado" queryTableFieldId="3"/>
    <tableColumn id="4" xr3:uid="{DFE5FC07-371D-4EE5-A9F4-F75F305ADF63}" uniqueName="4" name="Temperatura" queryTableFieldId="4"/>
    <tableColumn id="5" xr3:uid="{5C83399C-9389-4470-B579-10C21981ACB5}" uniqueName="5" name="Costo_combustible" queryTableFieldId="5"/>
    <tableColumn id="6" xr3:uid="{1454A8C5-857F-4BD6-9884-354F3EE814A4}" uniqueName="6" name="Indice_price_consumidor" queryTableFieldId="6"/>
    <tableColumn id="7" xr3:uid="{43E52B50-C8BC-4D12-B405-737A7627BF42}" uniqueName="7" name="Venta_por_semana" queryTableFieldId="7"/>
    <tableColumn id="8" xr3:uid="{9A611243-D8BF-4200-BF40-F033B43D7C51}" uniqueName="8" name="día" queryTableFieldId="8" dataDxfId="5">
      <calculatedColumnFormula>TEXT(Ventas[[#This Row],[Fecha_venta]],"dd")</calculatedColumnFormula>
    </tableColumn>
    <tableColumn id="9" xr3:uid="{BDE441B0-5A9D-4D21-A504-3A61FFC2C158}" uniqueName="9" name="mes" queryTableFieldId="9" dataDxfId="4">
      <calculatedColumnFormula>TEXT(Ventas[[#This Row],[Fecha_venta]],"m")</calculatedColumnFormula>
    </tableColumn>
    <tableColumn id="10" xr3:uid="{DCE02C10-1303-4C30-A631-3C2A4702AC74}" uniqueName="10" name="año" queryTableFieldId="10" dataDxfId="3">
      <calculatedColumnFormula>TEXT(Ventas[[#This Row],[Fecha_venta]],"yyyy")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1907DF-9802-43AA-8E4B-DC3D59F8FDA0}" name="Tabla2" displayName="Tabla2" ref="A1:E180" totalsRowShown="0">
  <autoFilter ref="A1:E180" xr:uid="{241907DF-9802-43AA-8E4B-DC3D59F8FDA0}"/>
  <tableColumns count="5">
    <tableColumn id="1" xr3:uid="{75B3A67B-A1A9-4A76-B029-C3089E924174}" name="Fecha_venta" dataDxfId="2"/>
    <tableColumn id="2" xr3:uid="{0F0120E3-6375-4E45-A1BD-94FD194BB3AC}" name="Venta_por_semana"/>
    <tableColumn id="3" xr3:uid="{BF20AEFB-3D63-4936-BCD1-B511BE0B3D74}" name="Previsión(Venta_por_semana)">
      <calculatedColumnFormula>_xlfn.FORECAST.ETS(A2,$B$2:$B$144,$A$2:$A$144,1,1)</calculatedColumnFormula>
    </tableColumn>
    <tableColumn id="4" xr3:uid="{27B9EE4D-75BD-4FCA-83DF-F50B12E59D7E}" name="Límite de confianza inferior(Venta_por_semana)" dataDxfId="1">
      <calculatedColumnFormula>C2-_xlfn.FORECAST.ETS.CONFINT(A2,$B$2:$B$144,$A$2:$A$144,0.95,1,1)</calculatedColumnFormula>
    </tableColumn>
    <tableColumn id="5" xr3:uid="{8B9BD113-C43B-4A13-93A2-9ED32CD24AD1}" name="Límite de confianza superior(Venta_por_semana)" dataDxfId="0">
      <calculatedColumnFormula>C2+_xlfn.FORECAST.ETS.CONFINT(A2,$B$2:$B$144,$A$2:$A$144,0.95,1,1)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89451-907F-455A-B83C-4C802E81AC5C}">
  <dimension ref="A1:J3429"/>
  <sheetViews>
    <sheetView workbookViewId="0">
      <selection activeCell="G1" sqref="G1:G1048576"/>
    </sheetView>
  </sheetViews>
  <sheetFormatPr baseColWidth="10" defaultRowHeight="15" x14ac:dyDescent="0.25"/>
  <cols>
    <col min="1" max="1" width="9.28515625" bestFit="1" customWidth="1"/>
    <col min="2" max="2" width="14.42578125" bestFit="1" customWidth="1"/>
    <col min="3" max="3" width="13.5703125" bestFit="1" customWidth="1"/>
    <col min="4" max="4" width="14.7109375" bestFit="1" customWidth="1"/>
    <col min="5" max="5" width="20.42578125" bestFit="1" customWidth="1"/>
    <col min="6" max="6" width="25.85546875" bestFit="1" customWidth="1"/>
    <col min="7" max="7" width="20.5703125" bestFit="1" customWidth="1"/>
    <col min="8" max="8" width="11.855468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</v>
      </c>
      <c r="B2" s="1">
        <v>40214</v>
      </c>
      <c r="C2">
        <v>0</v>
      </c>
      <c r="D2">
        <v>42.31</v>
      </c>
      <c r="E2">
        <v>2.5720000000000001</v>
      </c>
      <c r="F2">
        <v>211.0963582</v>
      </c>
      <c r="G2">
        <v>1643690.9</v>
      </c>
      <c r="H2" t="str">
        <f>TEXT(Ventas[[#This Row],[Fecha_venta]],"dd")</f>
        <v>05</v>
      </c>
      <c r="I2" t="str">
        <f>TEXT(Ventas[[#This Row],[Fecha_venta]],"m")</f>
        <v>2</v>
      </c>
      <c r="J2" t="str">
        <f>TEXT(Ventas[[#This Row],[Fecha_venta]],"yyyy")</f>
        <v>2010</v>
      </c>
    </row>
    <row r="3" spans="1:10" x14ac:dyDescent="0.25">
      <c r="A3">
        <v>1</v>
      </c>
      <c r="B3" s="1">
        <v>40221</v>
      </c>
      <c r="C3">
        <v>1</v>
      </c>
      <c r="D3">
        <v>38.51</v>
      </c>
      <c r="E3">
        <v>2.548</v>
      </c>
      <c r="F3">
        <v>211.2421698</v>
      </c>
      <c r="G3">
        <v>1641957.44</v>
      </c>
      <c r="H3" t="str">
        <f>TEXT(Ventas[[#This Row],[Fecha_venta]],"dd")</f>
        <v>12</v>
      </c>
      <c r="I3" t="str">
        <f>TEXT(Ventas[[#This Row],[Fecha_venta]],"m")</f>
        <v>2</v>
      </c>
      <c r="J3" t="str">
        <f>TEXT(Ventas[[#This Row],[Fecha_venta]],"yyyy")</f>
        <v>2010</v>
      </c>
    </row>
    <row r="4" spans="1:10" x14ac:dyDescent="0.25">
      <c r="A4">
        <v>1</v>
      </c>
      <c r="B4" s="1">
        <v>40228</v>
      </c>
      <c r="C4">
        <v>0</v>
      </c>
      <c r="D4">
        <v>39.93</v>
      </c>
      <c r="E4">
        <v>2.5139999999999998</v>
      </c>
      <c r="F4">
        <v>211.2891429</v>
      </c>
      <c r="G4">
        <v>1611968.17</v>
      </c>
      <c r="H4" t="str">
        <f>TEXT(Ventas[[#This Row],[Fecha_venta]],"dd")</f>
        <v>19</v>
      </c>
      <c r="I4" t="str">
        <f>TEXT(Ventas[[#This Row],[Fecha_venta]],"m")</f>
        <v>2</v>
      </c>
      <c r="J4" t="str">
        <f>TEXT(Ventas[[#This Row],[Fecha_venta]],"yyyy")</f>
        <v>2010</v>
      </c>
    </row>
    <row r="5" spans="1:10" x14ac:dyDescent="0.25">
      <c r="A5">
        <v>1</v>
      </c>
      <c r="B5" s="1">
        <v>40235</v>
      </c>
      <c r="C5">
        <v>0</v>
      </c>
      <c r="D5">
        <v>46.63</v>
      </c>
      <c r="E5">
        <v>2.5609999999999999</v>
      </c>
      <c r="F5">
        <v>211.31964289999999</v>
      </c>
      <c r="G5">
        <v>1409727.59</v>
      </c>
      <c r="H5" t="str">
        <f>TEXT(Ventas[[#This Row],[Fecha_venta]],"dd")</f>
        <v>26</v>
      </c>
      <c r="I5" t="str">
        <f>TEXT(Ventas[[#This Row],[Fecha_venta]],"m")</f>
        <v>2</v>
      </c>
      <c r="J5" t="str">
        <f>TEXT(Ventas[[#This Row],[Fecha_venta]],"yyyy")</f>
        <v>2010</v>
      </c>
    </row>
    <row r="6" spans="1:10" x14ac:dyDescent="0.25">
      <c r="A6">
        <v>1</v>
      </c>
      <c r="B6" s="1">
        <v>40242</v>
      </c>
      <c r="C6">
        <v>0</v>
      </c>
      <c r="D6">
        <v>46.5</v>
      </c>
      <c r="E6">
        <v>2.625</v>
      </c>
      <c r="F6">
        <v>211.35014290000001</v>
      </c>
      <c r="G6">
        <v>1554806.68</v>
      </c>
      <c r="H6" t="str">
        <f>TEXT(Ventas[[#This Row],[Fecha_venta]],"dd")</f>
        <v>05</v>
      </c>
      <c r="I6" t="str">
        <f>TEXT(Ventas[[#This Row],[Fecha_venta]],"m")</f>
        <v>3</v>
      </c>
      <c r="J6" t="str">
        <f>TEXT(Ventas[[#This Row],[Fecha_venta]],"yyyy")</f>
        <v>2010</v>
      </c>
    </row>
    <row r="7" spans="1:10" x14ac:dyDescent="0.25">
      <c r="A7">
        <v>1</v>
      </c>
      <c r="B7" s="1">
        <v>40249</v>
      </c>
      <c r="C7">
        <v>0</v>
      </c>
      <c r="D7">
        <v>57.79</v>
      </c>
      <c r="E7">
        <v>2.6669999999999998</v>
      </c>
      <c r="F7">
        <v>211.3806429</v>
      </c>
      <c r="G7">
        <v>1439541.59</v>
      </c>
      <c r="H7" t="str">
        <f>TEXT(Ventas[[#This Row],[Fecha_venta]],"dd")</f>
        <v>12</v>
      </c>
      <c r="I7" t="str">
        <f>TEXT(Ventas[[#This Row],[Fecha_venta]],"m")</f>
        <v>3</v>
      </c>
      <c r="J7" t="str">
        <f>TEXT(Ventas[[#This Row],[Fecha_venta]],"yyyy")</f>
        <v>2010</v>
      </c>
    </row>
    <row r="8" spans="1:10" x14ac:dyDescent="0.25">
      <c r="A8">
        <v>1</v>
      </c>
      <c r="B8" s="1">
        <v>40256</v>
      </c>
      <c r="C8">
        <v>0</v>
      </c>
      <c r="D8">
        <v>54.58</v>
      </c>
      <c r="E8">
        <v>2.72</v>
      </c>
      <c r="F8">
        <v>211.21563499999999</v>
      </c>
      <c r="G8">
        <v>1472515.79</v>
      </c>
      <c r="H8" t="str">
        <f>TEXT(Ventas[[#This Row],[Fecha_venta]],"dd")</f>
        <v>19</v>
      </c>
      <c r="I8" t="str">
        <f>TEXT(Ventas[[#This Row],[Fecha_venta]],"m")</f>
        <v>3</v>
      </c>
      <c r="J8" t="str">
        <f>TEXT(Ventas[[#This Row],[Fecha_venta]],"yyyy")</f>
        <v>2010</v>
      </c>
    </row>
    <row r="9" spans="1:10" x14ac:dyDescent="0.25">
      <c r="A9">
        <v>1</v>
      </c>
      <c r="B9" s="1">
        <v>40263</v>
      </c>
      <c r="C9">
        <v>0</v>
      </c>
      <c r="D9">
        <v>51.45</v>
      </c>
      <c r="E9">
        <v>2.7320000000000002</v>
      </c>
      <c r="F9">
        <v>211.01804240000001</v>
      </c>
      <c r="G9">
        <v>1404429.92</v>
      </c>
      <c r="H9" t="str">
        <f>TEXT(Ventas[[#This Row],[Fecha_venta]],"dd")</f>
        <v>26</v>
      </c>
      <c r="I9" t="str">
        <f>TEXT(Ventas[[#This Row],[Fecha_venta]],"m")</f>
        <v>3</v>
      </c>
      <c r="J9" t="str">
        <f>TEXT(Ventas[[#This Row],[Fecha_venta]],"yyyy")</f>
        <v>2010</v>
      </c>
    </row>
    <row r="10" spans="1:10" x14ac:dyDescent="0.25">
      <c r="A10">
        <v>1</v>
      </c>
      <c r="B10" s="1">
        <v>40270</v>
      </c>
      <c r="C10">
        <v>0</v>
      </c>
      <c r="D10">
        <v>62.27</v>
      </c>
      <c r="E10">
        <v>2.7189999999999999</v>
      </c>
      <c r="F10">
        <v>210.8204499</v>
      </c>
      <c r="G10">
        <v>1594968.28</v>
      </c>
      <c r="H10" t="str">
        <f>TEXT(Ventas[[#This Row],[Fecha_venta]],"dd")</f>
        <v>02</v>
      </c>
      <c r="I10" t="str">
        <f>TEXT(Ventas[[#This Row],[Fecha_venta]],"m")</f>
        <v>4</v>
      </c>
      <c r="J10" t="str">
        <f>TEXT(Ventas[[#This Row],[Fecha_venta]],"yyyy")</f>
        <v>2010</v>
      </c>
    </row>
    <row r="11" spans="1:10" x14ac:dyDescent="0.25">
      <c r="A11">
        <v>1</v>
      </c>
      <c r="B11" s="1">
        <v>40277</v>
      </c>
      <c r="C11">
        <v>0</v>
      </c>
      <c r="D11">
        <v>65.86</v>
      </c>
      <c r="E11">
        <v>2.77</v>
      </c>
      <c r="F11">
        <v>210.62285739999999</v>
      </c>
      <c r="G11">
        <v>1545418.53</v>
      </c>
      <c r="H11" t="str">
        <f>TEXT(Ventas[[#This Row],[Fecha_venta]],"dd")</f>
        <v>09</v>
      </c>
      <c r="I11" t="str">
        <f>TEXT(Ventas[[#This Row],[Fecha_venta]],"m")</f>
        <v>4</v>
      </c>
      <c r="J11" t="str">
        <f>TEXT(Ventas[[#This Row],[Fecha_venta]],"yyyy")</f>
        <v>2010</v>
      </c>
    </row>
    <row r="12" spans="1:10" x14ac:dyDescent="0.25">
      <c r="A12">
        <v>1</v>
      </c>
      <c r="B12" s="1">
        <v>40284</v>
      </c>
      <c r="C12">
        <v>0</v>
      </c>
      <c r="D12">
        <v>66.319999999999993</v>
      </c>
      <c r="E12">
        <v>2.8079999999999998</v>
      </c>
      <c r="F12">
        <v>210.48869999999999</v>
      </c>
      <c r="G12">
        <v>1466058.28</v>
      </c>
      <c r="H12" t="str">
        <f>TEXT(Ventas[[#This Row],[Fecha_venta]],"dd")</f>
        <v>16</v>
      </c>
      <c r="I12" t="str">
        <f>TEXT(Ventas[[#This Row],[Fecha_venta]],"m")</f>
        <v>4</v>
      </c>
      <c r="J12" t="str">
        <f>TEXT(Ventas[[#This Row],[Fecha_venta]],"yyyy")</f>
        <v>2010</v>
      </c>
    </row>
    <row r="13" spans="1:10" x14ac:dyDescent="0.25">
      <c r="A13">
        <v>1</v>
      </c>
      <c r="B13" s="1">
        <v>40291</v>
      </c>
      <c r="C13">
        <v>0</v>
      </c>
      <c r="D13">
        <v>64.84</v>
      </c>
      <c r="E13">
        <v>2.7949999999999999</v>
      </c>
      <c r="F13">
        <v>210.43912280000001</v>
      </c>
      <c r="G13">
        <v>1391256.12</v>
      </c>
      <c r="H13" t="str">
        <f>TEXT(Ventas[[#This Row],[Fecha_venta]],"dd")</f>
        <v>23</v>
      </c>
      <c r="I13" t="str">
        <f>TEXT(Ventas[[#This Row],[Fecha_venta]],"m")</f>
        <v>4</v>
      </c>
      <c r="J13" t="str">
        <f>TEXT(Ventas[[#This Row],[Fecha_venta]],"yyyy")</f>
        <v>2010</v>
      </c>
    </row>
    <row r="14" spans="1:10" x14ac:dyDescent="0.25">
      <c r="A14">
        <v>1</v>
      </c>
      <c r="B14" s="1">
        <v>40298</v>
      </c>
      <c r="C14">
        <v>0</v>
      </c>
      <c r="D14">
        <v>67.41</v>
      </c>
      <c r="E14">
        <v>2.78</v>
      </c>
      <c r="F14">
        <v>210.38954559999999</v>
      </c>
      <c r="G14">
        <v>1425100.71</v>
      </c>
      <c r="H14" t="str">
        <f>TEXT(Ventas[[#This Row],[Fecha_venta]],"dd")</f>
        <v>30</v>
      </c>
      <c r="I14" t="str">
        <f>TEXT(Ventas[[#This Row],[Fecha_venta]],"m")</f>
        <v>4</v>
      </c>
      <c r="J14" t="str">
        <f>TEXT(Ventas[[#This Row],[Fecha_venta]],"yyyy")</f>
        <v>2010</v>
      </c>
    </row>
    <row r="15" spans="1:10" x14ac:dyDescent="0.25">
      <c r="A15">
        <v>1</v>
      </c>
      <c r="B15" s="1">
        <v>40305</v>
      </c>
      <c r="C15">
        <v>0</v>
      </c>
      <c r="D15">
        <v>72.55</v>
      </c>
      <c r="E15">
        <v>2.835</v>
      </c>
      <c r="F15">
        <v>210.3399684</v>
      </c>
      <c r="G15">
        <v>1603955.12</v>
      </c>
      <c r="H15" t="str">
        <f>TEXT(Ventas[[#This Row],[Fecha_venta]],"dd")</f>
        <v>07</v>
      </c>
      <c r="I15" t="str">
        <f>TEXT(Ventas[[#This Row],[Fecha_venta]],"m")</f>
        <v>5</v>
      </c>
      <c r="J15" t="str">
        <f>TEXT(Ventas[[#This Row],[Fecha_venta]],"yyyy")</f>
        <v>2010</v>
      </c>
    </row>
    <row r="16" spans="1:10" x14ac:dyDescent="0.25">
      <c r="A16">
        <v>1</v>
      </c>
      <c r="B16" s="1">
        <v>40312</v>
      </c>
      <c r="C16">
        <v>0</v>
      </c>
      <c r="D16">
        <v>74.78</v>
      </c>
      <c r="E16">
        <v>2.8540000000000001</v>
      </c>
      <c r="F16">
        <v>210.33742609999999</v>
      </c>
      <c r="G16">
        <v>1494251.5</v>
      </c>
      <c r="H16" t="str">
        <f>TEXT(Ventas[[#This Row],[Fecha_venta]],"dd")</f>
        <v>14</v>
      </c>
      <c r="I16" t="str">
        <f>TEXT(Ventas[[#This Row],[Fecha_venta]],"m")</f>
        <v>5</v>
      </c>
      <c r="J16" t="str">
        <f>TEXT(Ventas[[#This Row],[Fecha_venta]],"yyyy")</f>
        <v>2010</v>
      </c>
    </row>
    <row r="17" spans="1:10" x14ac:dyDescent="0.25">
      <c r="A17">
        <v>1</v>
      </c>
      <c r="B17" s="1">
        <v>40319</v>
      </c>
      <c r="C17">
        <v>0</v>
      </c>
      <c r="D17">
        <v>76.44</v>
      </c>
      <c r="E17">
        <v>2.8260000000000001</v>
      </c>
      <c r="F17">
        <v>210.61709339999999</v>
      </c>
      <c r="G17">
        <v>1399662.07</v>
      </c>
      <c r="H17" t="str">
        <f>TEXT(Ventas[[#This Row],[Fecha_venta]],"dd")</f>
        <v>21</v>
      </c>
      <c r="I17" t="str">
        <f>TEXT(Ventas[[#This Row],[Fecha_venta]],"m")</f>
        <v>5</v>
      </c>
      <c r="J17" t="str">
        <f>TEXT(Ventas[[#This Row],[Fecha_venta]],"yyyy")</f>
        <v>2010</v>
      </c>
    </row>
    <row r="18" spans="1:10" x14ac:dyDescent="0.25">
      <c r="A18">
        <v>1</v>
      </c>
      <c r="B18" s="1">
        <v>40326</v>
      </c>
      <c r="C18">
        <v>0</v>
      </c>
      <c r="D18">
        <v>80.44</v>
      </c>
      <c r="E18">
        <v>2.7589999999999999</v>
      </c>
      <c r="F18">
        <v>210.89676059999999</v>
      </c>
      <c r="G18">
        <v>1432069.95</v>
      </c>
      <c r="H18" t="str">
        <f>TEXT(Ventas[[#This Row],[Fecha_venta]],"dd")</f>
        <v>28</v>
      </c>
      <c r="I18" t="str">
        <f>TEXT(Ventas[[#This Row],[Fecha_venta]],"m")</f>
        <v>5</v>
      </c>
      <c r="J18" t="str">
        <f>TEXT(Ventas[[#This Row],[Fecha_venta]],"yyyy")</f>
        <v>2010</v>
      </c>
    </row>
    <row r="19" spans="1:10" x14ac:dyDescent="0.25">
      <c r="A19">
        <v>1</v>
      </c>
      <c r="B19" s="1">
        <v>40333</v>
      </c>
      <c r="C19">
        <v>0</v>
      </c>
      <c r="D19">
        <v>80.69</v>
      </c>
      <c r="E19">
        <v>2.7050000000000001</v>
      </c>
      <c r="F19">
        <v>211.1764278</v>
      </c>
      <c r="G19">
        <v>1615524.71</v>
      </c>
      <c r="H19" t="str">
        <f>TEXT(Ventas[[#This Row],[Fecha_venta]],"dd")</f>
        <v>04</v>
      </c>
      <c r="I19" t="str">
        <f>TEXT(Ventas[[#This Row],[Fecha_venta]],"m")</f>
        <v>6</v>
      </c>
      <c r="J19" t="str">
        <f>TEXT(Ventas[[#This Row],[Fecha_venta]],"yyyy")</f>
        <v>2010</v>
      </c>
    </row>
    <row r="20" spans="1:10" x14ac:dyDescent="0.25">
      <c r="A20">
        <v>1</v>
      </c>
      <c r="B20" s="1">
        <v>40340</v>
      </c>
      <c r="C20">
        <v>0</v>
      </c>
      <c r="D20">
        <v>80.430000000000007</v>
      </c>
      <c r="E20">
        <v>2.6680000000000001</v>
      </c>
      <c r="F20">
        <v>211.4560951</v>
      </c>
      <c r="G20">
        <v>1542561.09</v>
      </c>
      <c r="H20" t="str">
        <f>TEXT(Ventas[[#This Row],[Fecha_venta]],"dd")</f>
        <v>11</v>
      </c>
      <c r="I20" t="str">
        <f>TEXT(Ventas[[#This Row],[Fecha_venta]],"m")</f>
        <v>6</v>
      </c>
      <c r="J20" t="str">
        <f>TEXT(Ventas[[#This Row],[Fecha_venta]],"yyyy")</f>
        <v>2010</v>
      </c>
    </row>
    <row r="21" spans="1:10" x14ac:dyDescent="0.25">
      <c r="A21">
        <v>1</v>
      </c>
      <c r="B21" s="1">
        <v>40347</v>
      </c>
      <c r="C21">
        <v>0</v>
      </c>
      <c r="D21">
        <v>84.11</v>
      </c>
      <c r="E21">
        <v>2.637</v>
      </c>
      <c r="F21">
        <v>211.45377189999999</v>
      </c>
      <c r="G21">
        <v>1503284.06</v>
      </c>
      <c r="H21" t="str">
        <f>TEXT(Ventas[[#This Row],[Fecha_venta]],"dd")</f>
        <v>18</v>
      </c>
      <c r="I21" t="str">
        <f>TEXT(Ventas[[#This Row],[Fecha_venta]],"m")</f>
        <v>6</v>
      </c>
      <c r="J21" t="str">
        <f>TEXT(Ventas[[#This Row],[Fecha_venta]],"yyyy")</f>
        <v>2010</v>
      </c>
    </row>
    <row r="22" spans="1:10" x14ac:dyDescent="0.25">
      <c r="A22">
        <v>1</v>
      </c>
      <c r="B22" s="1">
        <v>40354</v>
      </c>
      <c r="C22">
        <v>0</v>
      </c>
      <c r="D22">
        <v>84.34</v>
      </c>
      <c r="E22">
        <v>2.653</v>
      </c>
      <c r="F22">
        <v>211.33865259999999</v>
      </c>
      <c r="G22">
        <v>1422711.6</v>
      </c>
      <c r="H22" t="str">
        <f>TEXT(Ventas[[#This Row],[Fecha_venta]],"dd")</f>
        <v>25</v>
      </c>
      <c r="I22" t="str">
        <f>TEXT(Ventas[[#This Row],[Fecha_venta]],"m")</f>
        <v>6</v>
      </c>
      <c r="J22" t="str">
        <f>TEXT(Ventas[[#This Row],[Fecha_venta]],"yyyy")</f>
        <v>2010</v>
      </c>
    </row>
    <row r="23" spans="1:10" x14ac:dyDescent="0.25">
      <c r="A23">
        <v>1</v>
      </c>
      <c r="B23" s="1">
        <v>40361</v>
      </c>
      <c r="C23">
        <v>0</v>
      </c>
      <c r="D23">
        <v>80.91</v>
      </c>
      <c r="E23">
        <v>2.669</v>
      </c>
      <c r="F23">
        <v>211.22353330000001</v>
      </c>
      <c r="G23">
        <v>1492418.14</v>
      </c>
      <c r="H23" t="str">
        <f>TEXT(Ventas[[#This Row],[Fecha_venta]],"dd")</f>
        <v>02</v>
      </c>
      <c r="I23" t="str">
        <f>TEXT(Ventas[[#This Row],[Fecha_venta]],"m")</f>
        <v>7</v>
      </c>
      <c r="J23" t="str">
        <f>TEXT(Ventas[[#This Row],[Fecha_venta]],"yyyy")</f>
        <v>2010</v>
      </c>
    </row>
    <row r="24" spans="1:10" x14ac:dyDescent="0.25">
      <c r="A24">
        <v>1</v>
      </c>
      <c r="B24" s="1">
        <v>40368</v>
      </c>
      <c r="C24">
        <v>0</v>
      </c>
      <c r="D24">
        <v>80.48</v>
      </c>
      <c r="E24">
        <v>2.6419999999999999</v>
      </c>
      <c r="F24">
        <v>211.10841400000001</v>
      </c>
      <c r="G24">
        <v>1546074.18</v>
      </c>
      <c r="H24" t="str">
        <f>TEXT(Ventas[[#This Row],[Fecha_venta]],"dd")</f>
        <v>09</v>
      </c>
      <c r="I24" t="str">
        <f>TEXT(Ventas[[#This Row],[Fecha_venta]],"m")</f>
        <v>7</v>
      </c>
      <c r="J24" t="str">
        <f>TEXT(Ventas[[#This Row],[Fecha_venta]],"yyyy")</f>
        <v>2010</v>
      </c>
    </row>
    <row r="25" spans="1:10" x14ac:dyDescent="0.25">
      <c r="A25">
        <v>1</v>
      </c>
      <c r="B25" s="1">
        <v>40375</v>
      </c>
      <c r="C25">
        <v>0</v>
      </c>
      <c r="D25">
        <v>83.15</v>
      </c>
      <c r="E25">
        <v>2.6230000000000002</v>
      </c>
      <c r="F25">
        <v>211.10038539999999</v>
      </c>
      <c r="G25">
        <v>1448938.92</v>
      </c>
      <c r="H25" t="str">
        <f>TEXT(Ventas[[#This Row],[Fecha_venta]],"dd")</f>
        <v>16</v>
      </c>
      <c r="I25" t="str">
        <f>TEXT(Ventas[[#This Row],[Fecha_venta]],"m")</f>
        <v>7</v>
      </c>
      <c r="J25" t="str">
        <f>TEXT(Ventas[[#This Row],[Fecha_venta]],"yyyy")</f>
        <v>2010</v>
      </c>
    </row>
    <row r="26" spans="1:10" x14ac:dyDescent="0.25">
      <c r="A26">
        <v>1</v>
      </c>
      <c r="B26" s="1">
        <v>40382</v>
      </c>
      <c r="C26">
        <v>0</v>
      </c>
      <c r="D26">
        <v>83.36</v>
      </c>
      <c r="E26">
        <v>2.6080000000000001</v>
      </c>
      <c r="F26">
        <v>211.2351443</v>
      </c>
      <c r="G26">
        <v>1385065.2</v>
      </c>
      <c r="H26" t="str">
        <f>TEXT(Ventas[[#This Row],[Fecha_venta]],"dd")</f>
        <v>23</v>
      </c>
      <c r="I26" t="str">
        <f>TEXT(Ventas[[#This Row],[Fecha_venta]],"m")</f>
        <v>7</v>
      </c>
      <c r="J26" t="str">
        <f>TEXT(Ventas[[#This Row],[Fecha_venta]],"yyyy")</f>
        <v>2010</v>
      </c>
    </row>
    <row r="27" spans="1:10" x14ac:dyDescent="0.25">
      <c r="A27">
        <v>1</v>
      </c>
      <c r="B27" s="1">
        <v>40389</v>
      </c>
      <c r="C27">
        <v>0</v>
      </c>
      <c r="D27">
        <v>81.84</v>
      </c>
      <c r="E27">
        <v>2.64</v>
      </c>
      <c r="F27">
        <v>211.36990320000001</v>
      </c>
      <c r="G27">
        <v>1371986.6</v>
      </c>
      <c r="H27" t="str">
        <f>TEXT(Ventas[[#This Row],[Fecha_venta]],"dd")</f>
        <v>30</v>
      </c>
      <c r="I27" t="str">
        <f>TEXT(Ventas[[#This Row],[Fecha_venta]],"m")</f>
        <v>7</v>
      </c>
      <c r="J27" t="str">
        <f>TEXT(Ventas[[#This Row],[Fecha_venta]],"yyyy")</f>
        <v>2010</v>
      </c>
    </row>
    <row r="28" spans="1:10" x14ac:dyDescent="0.25">
      <c r="A28">
        <v>1</v>
      </c>
      <c r="B28" s="1">
        <v>40396</v>
      </c>
      <c r="C28">
        <v>0</v>
      </c>
      <c r="D28">
        <v>87.16</v>
      </c>
      <c r="E28">
        <v>2.6269999999999998</v>
      </c>
      <c r="F28">
        <v>211.50466209999999</v>
      </c>
      <c r="G28">
        <v>1605491.78</v>
      </c>
      <c r="H28" t="str">
        <f>TEXT(Ventas[[#This Row],[Fecha_venta]],"dd")</f>
        <v>06</v>
      </c>
      <c r="I28" t="str">
        <f>TEXT(Ventas[[#This Row],[Fecha_venta]],"m")</f>
        <v>8</v>
      </c>
      <c r="J28" t="str">
        <f>TEXT(Ventas[[#This Row],[Fecha_venta]],"yyyy")</f>
        <v>2010</v>
      </c>
    </row>
    <row r="29" spans="1:10" x14ac:dyDescent="0.25">
      <c r="A29">
        <v>1</v>
      </c>
      <c r="B29" s="1">
        <v>40403</v>
      </c>
      <c r="C29">
        <v>0</v>
      </c>
      <c r="D29">
        <v>87</v>
      </c>
      <c r="E29">
        <v>2.6920000000000002</v>
      </c>
      <c r="F29">
        <v>211.63942109999999</v>
      </c>
      <c r="G29">
        <v>1508237.76</v>
      </c>
      <c r="H29" t="str">
        <f>TEXT(Ventas[[#This Row],[Fecha_venta]],"dd")</f>
        <v>13</v>
      </c>
      <c r="I29" t="str">
        <f>TEXT(Ventas[[#This Row],[Fecha_venta]],"m")</f>
        <v>8</v>
      </c>
      <c r="J29" t="str">
        <f>TEXT(Ventas[[#This Row],[Fecha_venta]],"yyyy")</f>
        <v>2010</v>
      </c>
    </row>
    <row r="30" spans="1:10" x14ac:dyDescent="0.25">
      <c r="A30">
        <v>1</v>
      </c>
      <c r="B30" s="1">
        <v>40410</v>
      </c>
      <c r="C30">
        <v>0</v>
      </c>
      <c r="D30">
        <v>86.65</v>
      </c>
      <c r="E30">
        <v>2.6640000000000001</v>
      </c>
      <c r="F30">
        <v>211.60336330000001</v>
      </c>
      <c r="G30">
        <v>1513080.49</v>
      </c>
      <c r="H30" t="str">
        <f>TEXT(Ventas[[#This Row],[Fecha_venta]],"dd")</f>
        <v>20</v>
      </c>
      <c r="I30" t="str">
        <f>TEXT(Ventas[[#This Row],[Fecha_venta]],"m")</f>
        <v>8</v>
      </c>
      <c r="J30" t="str">
        <f>TEXT(Ventas[[#This Row],[Fecha_venta]],"yyyy")</f>
        <v>2010</v>
      </c>
    </row>
    <row r="31" spans="1:10" x14ac:dyDescent="0.25">
      <c r="A31">
        <v>1</v>
      </c>
      <c r="B31" s="1">
        <v>40417</v>
      </c>
      <c r="C31">
        <v>0</v>
      </c>
      <c r="D31">
        <v>85.22</v>
      </c>
      <c r="E31">
        <v>2.6190000000000002</v>
      </c>
      <c r="F31">
        <v>211.5673056</v>
      </c>
      <c r="G31">
        <v>1449142.92</v>
      </c>
      <c r="H31" t="str">
        <f>TEXT(Ventas[[#This Row],[Fecha_venta]],"dd")</f>
        <v>27</v>
      </c>
      <c r="I31" t="str">
        <f>TEXT(Ventas[[#This Row],[Fecha_venta]],"m")</f>
        <v>8</v>
      </c>
      <c r="J31" t="str">
        <f>TEXT(Ventas[[#This Row],[Fecha_venta]],"yyyy")</f>
        <v>2010</v>
      </c>
    </row>
    <row r="32" spans="1:10" x14ac:dyDescent="0.25">
      <c r="A32">
        <v>1</v>
      </c>
      <c r="B32" s="1">
        <v>40424</v>
      </c>
      <c r="C32">
        <v>0</v>
      </c>
      <c r="D32">
        <v>81.209999999999994</v>
      </c>
      <c r="E32">
        <v>2.577</v>
      </c>
      <c r="F32">
        <v>211.53124790000001</v>
      </c>
      <c r="G32">
        <v>1540163.53</v>
      </c>
      <c r="H32" t="str">
        <f>TEXT(Ventas[[#This Row],[Fecha_venta]],"dd")</f>
        <v>03</v>
      </c>
      <c r="I32" t="str">
        <f>TEXT(Ventas[[#This Row],[Fecha_venta]],"m")</f>
        <v>9</v>
      </c>
      <c r="J32" t="str">
        <f>TEXT(Ventas[[#This Row],[Fecha_venta]],"yyyy")</f>
        <v>2010</v>
      </c>
    </row>
    <row r="33" spans="1:10" x14ac:dyDescent="0.25">
      <c r="A33">
        <v>1</v>
      </c>
      <c r="B33" s="1">
        <v>40431</v>
      </c>
      <c r="C33">
        <v>1</v>
      </c>
      <c r="D33">
        <v>78.69</v>
      </c>
      <c r="E33">
        <v>2.5649999999999999</v>
      </c>
      <c r="F33">
        <v>211.4951902</v>
      </c>
      <c r="G33">
        <v>1507460.69</v>
      </c>
      <c r="H33" t="str">
        <f>TEXT(Ventas[[#This Row],[Fecha_venta]],"dd")</f>
        <v>10</v>
      </c>
      <c r="I33" t="str">
        <f>TEXT(Ventas[[#This Row],[Fecha_venta]],"m")</f>
        <v>9</v>
      </c>
      <c r="J33" t="str">
        <f>TEXT(Ventas[[#This Row],[Fecha_venta]],"yyyy")</f>
        <v>2010</v>
      </c>
    </row>
    <row r="34" spans="1:10" x14ac:dyDescent="0.25">
      <c r="A34">
        <v>1</v>
      </c>
      <c r="B34" s="1">
        <v>40438</v>
      </c>
      <c r="C34">
        <v>0</v>
      </c>
      <c r="D34">
        <v>82.11</v>
      </c>
      <c r="E34">
        <v>2.5819999999999999</v>
      </c>
      <c r="F34">
        <v>211.52245959999999</v>
      </c>
      <c r="G34">
        <v>1430378.67</v>
      </c>
      <c r="H34" t="str">
        <f>TEXT(Ventas[[#This Row],[Fecha_venta]],"dd")</f>
        <v>17</v>
      </c>
      <c r="I34" t="str">
        <f>TEXT(Ventas[[#This Row],[Fecha_venta]],"m")</f>
        <v>9</v>
      </c>
      <c r="J34" t="str">
        <f>TEXT(Ventas[[#This Row],[Fecha_venta]],"yyyy")</f>
        <v>2010</v>
      </c>
    </row>
    <row r="35" spans="1:10" x14ac:dyDescent="0.25">
      <c r="A35">
        <v>1</v>
      </c>
      <c r="B35" s="1">
        <v>40445</v>
      </c>
      <c r="C35">
        <v>2</v>
      </c>
      <c r="D35">
        <v>80.94</v>
      </c>
      <c r="E35">
        <v>2.6240000000000001</v>
      </c>
      <c r="F35">
        <v>211.5972246</v>
      </c>
      <c r="G35">
        <v>1351791.03</v>
      </c>
      <c r="H35" t="str">
        <f>TEXT(Ventas[[#This Row],[Fecha_venta]],"dd")</f>
        <v>24</v>
      </c>
      <c r="I35" t="str">
        <f>TEXT(Ventas[[#This Row],[Fecha_venta]],"m")</f>
        <v>9</v>
      </c>
      <c r="J35" t="str">
        <f>TEXT(Ventas[[#This Row],[Fecha_venta]],"yyyy")</f>
        <v>2010</v>
      </c>
    </row>
    <row r="36" spans="1:10" x14ac:dyDescent="0.25">
      <c r="A36">
        <v>1</v>
      </c>
      <c r="B36" s="1">
        <v>40452</v>
      </c>
      <c r="C36">
        <v>0</v>
      </c>
      <c r="D36">
        <v>71.89</v>
      </c>
      <c r="E36">
        <v>2.6030000000000002</v>
      </c>
      <c r="F36">
        <v>211.6719895</v>
      </c>
      <c r="G36">
        <v>1453329.5</v>
      </c>
      <c r="H36" t="str">
        <f>TEXT(Ventas[[#This Row],[Fecha_venta]],"dd")</f>
        <v>01</v>
      </c>
      <c r="I36" t="str">
        <f>TEXT(Ventas[[#This Row],[Fecha_venta]],"m")</f>
        <v>10</v>
      </c>
      <c r="J36" t="str">
        <f>TEXT(Ventas[[#This Row],[Fecha_venta]],"yyyy")</f>
        <v>2010</v>
      </c>
    </row>
    <row r="37" spans="1:10" x14ac:dyDescent="0.25">
      <c r="A37">
        <v>1</v>
      </c>
      <c r="B37" s="1">
        <v>40459</v>
      </c>
      <c r="C37">
        <v>0</v>
      </c>
      <c r="D37">
        <v>63.93</v>
      </c>
      <c r="E37">
        <v>2.633</v>
      </c>
      <c r="F37">
        <v>211.74675439999999</v>
      </c>
      <c r="G37">
        <v>1508239.93</v>
      </c>
      <c r="H37" t="str">
        <f>TEXT(Ventas[[#This Row],[Fecha_venta]],"dd")</f>
        <v>08</v>
      </c>
      <c r="I37" t="str">
        <f>TEXT(Ventas[[#This Row],[Fecha_venta]],"m")</f>
        <v>10</v>
      </c>
      <c r="J37" t="str">
        <f>TEXT(Ventas[[#This Row],[Fecha_venta]],"yyyy")</f>
        <v>2010</v>
      </c>
    </row>
    <row r="38" spans="1:10" x14ac:dyDescent="0.25">
      <c r="A38">
        <v>1</v>
      </c>
      <c r="B38" s="1">
        <v>40466</v>
      </c>
      <c r="C38">
        <v>0</v>
      </c>
      <c r="D38">
        <v>67.180000000000007</v>
      </c>
      <c r="E38">
        <v>2.72</v>
      </c>
      <c r="F38">
        <v>211.81374360000001</v>
      </c>
      <c r="G38">
        <v>1459409.1</v>
      </c>
      <c r="H38" t="str">
        <f>TEXT(Ventas[[#This Row],[Fecha_venta]],"dd")</f>
        <v>15</v>
      </c>
      <c r="I38" t="str">
        <f>TEXT(Ventas[[#This Row],[Fecha_venta]],"m")</f>
        <v>10</v>
      </c>
      <c r="J38" t="str">
        <f>TEXT(Ventas[[#This Row],[Fecha_venta]],"yyyy")</f>
        <v>2010</v>
      </c>
    </row>
    <row r="39" spans="1:10" x14ac:dyDescent="0.25">
      <c r="A39">
        <v>1</v>
      </c>
      <c r="B39" s="1">
        <v>40473</v>
      </c>
      <c r="C39">
        <v>0</v>
      </c>
      <c r="D39">
        <v>69.86</v>
      </c>
      <c r="E39">
        <v>2.7250000000000001</v>
      </c>
      <c r="F39">
        <v>211.8612937</v>
      </c>
      <c r="G39">
        <v>1345454</v>
      </c>
      <c r="H39" t="str">
        <f>TEXT(Ventas[[#This Row],[Fecha_venta]],"dd")</f>
        <v>22</v>
      </c>
      <c r="I39" t="str">
        <f>TEXT(Ventas[[#This Row],[Fecha_venta]],"m")</f>
        <v>10</v>
      </c>
      <c r="J39" t="str">
        <f>TEXT(Ventas[[#This Row],[Fecha_venta]],"yyyy")</f>
        <v>2010</v>
      </c>
    </row>
    <row r="40" spans="1:10" x14ac:dyDescent="0.25">
      <c r="A40">
        <v>1</v>
      </c>
      <c r="B40" s="1">
        <v>40480</v>
      </c>
      <c r="C40">
        <v>0</v>
      </c>
      <c r="D40">
        <v>69.64</v>
      </c>
      <c r="E40">
        <v>2.7160000000000002</v>
      </c>
      <c r="F40">
        <v>211.9088438</v>
      </c>
      <c r="G40">
        <v>1384209.22</v>
      </c>
      <c r="H40" t="str">
        <f>TEXT(Ventas[[#This Row],[Fecha_venta]],"dd")</f>
        <v>29</v>
      </c>
      <c r="I40" t="str">
        <f>TEXT(Ventas[[#This Row],[Fecha_venta]],"m")</f>
        <v>10</v>
      </c>
      <c r="J40" t="str">
        <f>TEXT(Ventas[[#This Row],[Fecha_venta]],"yyyy")</f>
        <v>2010</v>
      </c>
    </row>
    <row r="41" spans="1:10" x14ac:dyDescent="0.25">
      <c r="A41">
        <v>1</v>
      </c>
      <c r="B41" s="1">
        <v>40487</v>
      </c>
      <c r="C41">
        <v>0</v>
      </c>
      <c r="D41">
        <v>58.74</v>
      </c>
      <c r="E41">
        <v>2.6890000000000001</v>
      </c>
      <c r="F41">
        <v>211.95639389999999</v>
      </c>
      <c r="G41">
        <v>1551659.28</v>
      </c>
      <c r="H41" t="str">
        <f>TEXT(Ventas[[#This Row],[Fecha_venta]],"dd")</f>
        <v>05</v>
      </c>
      <c r="I41" t="str">
        <f>TEXT(Ventas[[#This Row],[Fecha_venta]],"m")</f>
        <v>11</v>
      </c>
      <c r="J41" t="str">
        <f>TEXT(Ventas[[#This Row],[Fecha_venta]],"yyyy")</f>
        <v>2010</v>
      </c>
    </row>
    <row r="42" spans="1:10" x14ac:dyDescent="0.25">
      <c r="A42">
        <v>1</v>
      </c>
      <c r="B42" s="1">
        <v>40494</v>
      </c>
      <c r="C42">
        <v>0</v>
      </c>
      <c r="D42">
        <v>59.61</v>
      </c>
      <c r="E42">
        <v>2.7280000000000002</v>
      </c>
      <c r="F42">
        <v>212.00394399999999</v>
      </c>
      <c r="G42">
        <v>1494479.49</v>
      </c>
      <c r="H42" t="str">
        <f>TEXT(Ventas[[#This Row],[Fecha_venta]],"dd")</f>
        <v>12</v>
      </c>
      <c r="I42" t="str">
        <f>TEXT(Ventas[[#This Row],[Fecha_venta]],"m")</f>
        <v>11</v>
      </c>
      <c r="J42" t="str">
        <f>TEXT(Ventas[[#This Row],[Fecha_venta]],"yyyy")</f>
        <v>2010</v>
      </c>
    </row>
    <row r="43" spans="1:10" x14ac:dyDescent="0.25">
      <c r="A43">
        <v>1</v>
      </c>
      <c r="B43" s="1">
        <v>40501</v>
      </c>
      <c r="C43">
        <v>0</v>
      </c>
      <c r="D43">
        <v>51.41</v>
      </c>
      <c r="E43">
        <v>2.7709999999999999</v>
      </c>
      <c r="F43">
        <v>11.889673699999999</v>
      </c>
      <c r="G43">
        <v>1483784.18</v>
      </c>
      <c r="H43" t="str">
        <f>TEXT(Ventas[[#This Row],[Fecha_venta]],"dd")</f>
        <v>19</v>
      </c>
      <c r="I43" t="str">
        <f>TEXT(Ventas[[#This Row],[Fecha_venta]],"m")</f>
        <v>11</v>
      </c>
      <c r="J43" t="str">
        <f>TEXT(Ventas[[#This Row],[Fecha_venta]],"yyyy")</f>
        <v>2010</v>
      </c>
    </row>
    <row r="44" spans="1:10" x14ac:dyDescent="0.25">
      <c r="A44">
        <v>1</v>
      </c>
      <c r="B44" s="1">
        <v>40508</v>
      </c>
      <c r="C44">
        <v>1</v>
      </c>
      <c r="D44">
        <v>64.52</v>
      </c>
      <c r="E44">
        <v>2.7349999999999999</v>
      </c>
      <c r="F44">
        <v>211.74843329999999</v>
      </c>
      <c r="G44">
        <v>1955624.11</v>
      </c>
      <c r="H44" t="str">
        <f>TEXT(Ventas[[#This Row],[Fecha_venta]],"dd")</f>
        <v>26</v>
      </c>
      <c r="I44" t="str">
        <f>TEXT(Ventas[[#This Row],[Fecha_venta]],"m")</f>
        <v>11</v>
      </c>
      <c r="J44" t="str">
        <f>TEXT(Ventas[[#This Row],[Fecha_venta]],"yyyy")</f>
        <v>2010</v>
      </c>
    </row>
    <row r="45" spans="1:10" x14ac:dyDescent="0.25">
      <c r="A45">
        <v>1</v>
      </c>
      <c r="B45" s="1">
        <v>40515</v>
      </c>
      <c r="C45">
        <v>0</v>
      </c>
      <c r="D45">
        <v>49.27</v>
      </c>
      <c r="E45">
        <v>2.7080000000000002</v>
      </c>
      <c r="F45">
        <v>211.607193</v>
      </c>
      <c r="G45">
        <v>1548033.78</v>
      </c>
      <c r="H45" t="str">
        <f>TEXT(Ventas[[#This Row],[Fecha_venta]],"dd")</f>
        <v>03</v>
      </c>
      <c r="I45" t="str">
        <f>TEXT(Ventas[[#This Row],[Fecha_venta]],"m")</f>
        <v>12</v>
      </c>
      <c r="J45" t="str">
        <f>TEXT(Ventas[[#This Row],[Fecha_venta]],"yyyy")</f>
        <v>2010</v>
      </c>
    </row>
    <row r="46" spans="1:10" x14ac:dyDescent="0.25">
      <c r="A46">
        <v>1</v>
      </c>
      <c r="B46" s="1">
        <v>40522</v>
      </c>
      <c r="C46">
        <v>0</v>
      </c>
      <c r="D46">
        <v>46.33</v>
      </c>
      <c r="E46">
        <v>2.843</v>
      </c>
      <c r="F46">
        <v>211.46595260000001</v>
      </c>
      <c r="G46">
        <v>1682614.26</v>
      </c>
      <c r="H46" t="str">
        <f>TEXT(Ventas[[#This Row],[Fecha_venta]],"dd")</f>
        <v>10</v>
      </c>
      <c r="I46" t="str">
        <f>TEXT(Ventas[[#This Row],[Fecha_venta]],"m")</f>
        <v>12</v>
      </c>
      <c r="J46" t="str">
        <f>TEXT(Ventas[[#This Row],[Fecha_venta]],"yyyy")</f>
        <v>2010</v>
      </c>
    </row>
    <row r="47" spans="1:10" x14ac:dyDescent="0.25">
      <c r="A47">
        <v>1</v>
      </c>
      <c r="B47" s="1">
        <v>40529</v>
      </c>
      <c r="C47">
        <v>0</v>
      </c>
      <c r="D47">
        <v>49.84</v>
      </c>
      <c r="E47">
        <v>2.8690000000000002</v>
      </c>
      <c r="F47">
        <v>211.40531240000001</v>
      </c>
      <c r="G47">
        <v>1891034.93</v>
      </c>
      <c r="H47" t="str">
        <f>TEXT(Ventas[[#This Row],[Fecha_venta]],"dd")</f>
        <v>17</v>
      </c>
      <c r="I47" t="str">
        <f>TEXT(Ventas[[#This Row],[Fecha_venta]],"m")</f>
        <v>12</v>
      </c>
      <c r="J47" t="str">
        <f>TEXT(Ventas[[#This Row],[Fecha_venta]],"yyyy")</f>
        <v>2010</v>
      </c>
    </row>
    <row r="48" spans="1:10" x14ac:dyDescent="0.25">
      <c r="A48">
        <v>1</v>
      </c>
      <c r="B48" s="1">
        <v>40536</v>
      </c>
      <c r="C48">
        <v>0</v>
      </c>
      <c r="D48">
        <v>52.33</v>
      </c>
      <c r="E48">
        <v>2.8860000000000001</v>
      </c>
      <c r="F48">
        <v>211.40512219999999</v>
      </c>
      <c r="G48">
        <v>2387950.2000000002</v>
      </c>
      <c r="H48" t="str">
        <f>TEXT(Ventas[[#This Row],[Fecha_venta]],"dd")</f>
        <v>24</v>
      </c>
      <c r="I48" t="str">
        <f>TEXT(Ventas[[#This Row],[Fecha_venta]],"m")</f>
        <v>12</v>
      </c>
      <c r="J48" t="str">
        <f>TEXT(Ventas[[#This Row],[Fecha_venta]],"yyyy")</f>
        <v>2010</v>
      </c>
    </row>
    <row r="49" spans="1:10" x14ac:dyDescent="0.25">
      <c r="A49">
        <v>1</v>
      </c>
      <c r="B49" s="1">
        <v>40543</v>
      </c>
      <c r="C49">
        <v>1</v>
      </c>
      <c r="D49">
        <v>48.43</v>
      </c>
      <c r="E49">
        <v>2.9430000000000001</v>
      </c>
      <c r="F49">
        <v>211.4049321</v>
      </c>
      <c r="G49">
        <v>1367320.01</v>
      </c>
      <c r="H49" t="str">
        <f>TEXT(Ventas[[#This Row],[Fecha_venta]],"dd")</f>
        <v>31</v>
      </c>
      <c r="I49" t="str">
        <f>TEXT(Ventas[[#This Row],[Fecha_venta]],"m")</f>
        <v>12</v>
      </c>
      <c r="J49" t="str">
        <f>TEXT(Ventas[[#This Row],[Fecha_venta]],"yyyy")</f>
        <v>2010</v>
      </c>
    </row>
    <row r="50" spans="1:10" x14ac:dyDescent="0.25">
      <c r="A50">
        <v>1</v>
      </c>
      <c r="B50" s="1">
        <v>40550</v>
      </c>
      <c r="C50">
        <v>0</v>
      </c>
      <c r="D50">
        <v>48.27</v>
      </c>
      <c r="E50">
        <v>2.976</v>
      </c>
      <c r="F50">
        <v>211.4047419</v>
      </c>
      <c r="G50">
        <v>1444732.28</v>
      </c>
      <c r="H50" t="str">
        <f>TEXT(Ventas[[#This Row],[Fecha_venta]],"dd")</f>
        <v>07</v>
      </c>
      <c r="I50" t="str">
        <f>TEXT(Ventas[[#This Row],[Fecha_venta]],"m")</f>
        <v>1</v>
      </c>
      <c r="J50" t="str">
        <f>TEXT(Ventas[[#This Row],[Fecha_venta]],"yyyy")</f>
        <v>2011</v>
      </c>
    </row>
    <row r="51" spans="1:10" x14ac:dyDescent="0.25">
      <c r="A51">
        <v>1</v>
      </c>
      <c r="B51" s="1">
        <v>40557</v>
      </c>
      <c r="C51">
        <v>0</v>
      </c>
      <c r="D51">
        <v>35.4</v>
      </c>
      <c r="E51">
        <v>2.9830000000000001</v>
      </c>
      <c r="F51">
        <v>211.45741090000001</v>
      </c>
      <c r="G51">
        <v>1391013.96</v>
      </c>
      <c r="H51" t="str">
        <f>TEXT(Ventas[[#This Row],[Fecha_venta]],"dd")</f>
        <v>14</v>
      </c>
      <c r="I51" t="str">
        <f>TEXT(Ventas[[#This Row],[Fecha_venta]],"m")</f>
        <v>1</v>
      </c>
      <c r="J51" t="str">
        <f>TEXT(Ventas[[#This Row],[Fecha_venta]],"yyyy")</f>
        <v>2011</v>
      </c>
    </row>
    <row r="52" spans="1:10" x14ac:dyDescent="0.25">
      <c r="A52">
        <v>1</v>
      </c>
      <c r="B52" s="1">
        <v>40564</v>
      </c>
      <c r="C52">
        <v>0</v>
      </c>
      <c r="D52">
        <v>44.04</v>
      </c>
      <c r="E52">
        <v>3.016</v>
      </c>
      <c r="F52">
        <v>211.82723429999999</v>
      </c>
      <c r="G52">
        <v>1327405.42</v>
      </c>
      <c r="H52" t="str">
        <f>TEXT(Ventas[[#This Row],[Fecha_venta]],"dd")</f>
        <v>21</v>
      </c>
      <c r="I52" t="str">
        <f>TEXT(Ventas[[#This Row],[Fecha_venta]],"m")</f>
        <v>1</v>
      </c>
      <c r="J52" t="str">
        <f>TEXT(Ventas[[#This Row],[Fecha_venta]],"yyyy")</f>
        <v>2011</v>
      </c>
    </row>
    <row r="53" spans="1:10" x14ac:dyDescent="0.25">
      <c r="A53">
        <v>1</v>
      </c>
      <c r="B53" s="1">
        <v>40571</v>
      </c>
      <c r="C53">
        <v>0</v>
      </c>
      <c r="D53">
        <v>43.83</v>
      </c>
      <c r="E53">
        <v>3.01</v>
      </c>
      <c r="F53">
        <v>212.19705769999999</v>
      </c>
      <c r="G53">
        <v>1316899.31</v>
      </c>
      <c r="H53" t="str">
        <f>TEXT(Ventas[[#This Row],[Fecha_venta]],"dd")</f>
        <v>28</v>
      </c>
      <c r="I53" t="str">
        <f>TEXT(Ventas[[#This Row],[Fecha_venta]],"m")</f>
        <v>1</v>
      </c>
      <c r="J53" t="str">
        <f>TEXT(Ventas[[#This Row],[Fecha_venta]],"yyyy")</f>
        <v>2011</v>
      </c>
    </row>
    <row r="54" spans="1:10" x14ac:dyDescent="0.25">
      <c r="A54">
        <v>1</v>
      </c>
      <c r="B54" s="1">
        <v>40578</v>
      </c>
      <c r="C54">
        <v>0</v>
      </c>
      <c r="D54">
        <v>42.27</v>
      </c>
      <c r="E54">
        <v>2.9889999999999999</v>
      </c>
      <c r="F54">
        <v>212.56688120000001</v>
      </c>
      <c r="G54">
        <v>1606629.58</v>
      </c>
      <c r="H54" t="str">
        <f>TEXT(Ventas[[#This Row],[Fecha_venta]],"dd")</f>
        <v>04</v>
      </c>
      <c r="I54" t="str">
        <f>TEXT(Ventas[[#This Row],[Fecha_venta]],"m")</f>
        <v>2</v>
      </c>
      <c r="J54" t="str">
        <f>TEXT(Ventas[[#This Row],[Fecha_venta]],"yyyy")</f>
        <v>2011</v>
      </c>
    </row>
    <row r="55" spans="1:10" x14ac:dyDescent="0.25">
      <c r="A55">
        <v>1</v>
      </c>
      <c r="B55" s="1">
        <v>40585</v>
      </c>
      <c r="C55">
        <v>1</v>
      </c>
      <c r="D55">
        <v>36.39</v>
      </c>
      <c r="E55">
        <v>3.0219999999999998</v>
      </c>
      <c r="F55">
        <v>212.93670460000001</v>
      </c>
      <c r="G55">
        <v>1649614.93</v>
      </c>
      <c r="H55" t="str">
        <f>TEXT(Ventas[[#This Row],[Fecha_venta]],"dd")</f>
        <v>11</v>
      </c>
      <c r="I55" t="str">
        <f>TEXT(Ventas[[#This Row],[Fecha_venta]],"m")</f>
        <v>2</v>
      </c>
      <c r="J55" t="str">
        <f>TEXT(Ventas[[#This Row],[Fecha_venta]],"yyyy")</f>
        <v>2011</v>
      </c>
    </row>
    <row r="56" spans="1:10" x14ac:dyDescent="0.25">
      <c r="A56">
        <v>1</v>
      </c>
      <c r="B56" s="1">
        <v>40592</v>
      </c>
      <c r="C56">
        <v>0</v>
      </c>
      <c r="D56">
        <v>57.36</v>
      </c>
      <c r="E56">
        <v>3.0449999999999999</v>
      </c>
      <c r="F56">
        <v>213.24788530000001</v>
      </c>
      <c r="G56">
        <v>1686842.78</v>
      </c>
      <c r="H56" t="str">
        <f>TEXT(Ventas[[#This Row],[Fecha_venta]],"dd")</f>
        <v>18</v>
      </c>
      <c r="I56" t="str">
        <f>TEXT(Ventas[[#This Row],[Fecha_venta]],"m")</f>
        <v>2</v>
      </c>
      <c r="J56" t="str">
        <f>TEXT(Ventas[[#This Row],[Fecha_venta]],"yyyy")</f>
        <v>2011</v>
      </c>
    </row>
    <row r="57" spans="1:10" x14ac:dyDescent="0.25">
      <c r="A57">
        <v>1</v>
      </c>
      <c r="B57" s="1">
        <v>40599</v>
      </c>
      <c r="C57">
        <v>0</v>
      </c>
      <c r="D57">
        <v>62.9</v>
      </c>
      <c r="E57">
        <v>3.0649999999999999</v>
      </c>
      <c r="F57">
        <v>213.53560899999999</v>
      </c>
      <c r="G57">
        <v>1456800.28</v>
      </c>
      <c r="H57" t="str">
        <f>TEXT(Ventas[[#This Row],[Fecha_venta]],"dd")</f>
        <v>25</v>
      </c>
      <c r="I57" t="str">
        <f>TEXT(Ventas[[#This Row],[Fecha_venta]],"m")</f>
        <v>2</v>
      </c>
      <c r="J57" t="str">
        <f>TEXT(Ventas[[#This Row],[Fecha_venta]],"yyyy")</f>
        <v>2011</v>
      </c>
    </row>
    <row r="58" spans="1:10" x14ac:dyDescent="0.25">
      <c r="A58">
        <v>1</v>
      </c>
      <c r="B58" s="1">
        <v>40606</v>
      </c>
      <c r="C58">
        <v>0</v>
      </c>
      <c r="D58">
        <v>59.58</v>
      </c>
      <c r="E58">
        <v>3.2879999999999998</v>
      </c>
      <c r="F58">
        <v>213.82333270000001</v>
      </c>
      <c r="G58">
        <v>1636263.41</v>
      </c>
      <c r="H58" t="str">
        <f>TEXT(Ventas[[#This Row],[Fecha_venta]],"dd")</f>
        <v>04</v>
      </c>
      <c r="I58" t="str">
        <f>TEXT(Ventas[[#This Row],[Fecha_venta]],"m")</f>
        <v>3</v>
      </c>
      <c r="J58" t="str">
        <f>TEXT(Ventas[[#This Row],[Fecha_venta]],"yyyy")</f>
        <v>2011</v>
      </c>
    </row>
    <row r="59" spans="1:10" x14ac:dyDescent="0.25">
      <c r="A59">
        <v>1</v>
      </c>
      <c r="B59" s="1">
        <v>40613</v>
      </c>
      <c r="C59">
        <v>0</v>
      </c>
      <c r="D59">
        <v>53.56</v>
      </c>
      <c r="E59">
        <v>3.4590000000000001</v>
      </c>
      <c r="F59">
        <v>214.1110564</v>
      </c>
      <c r="G59">
        <v>1553191.63</v>
      </c>
      <c r="H59" t="str">
        <f>TEXT(Ventas[[#This Row],[Fecha_venta]],"dd")</f>
        <v>11</v>
      </c>
      <c r="I59" t="str">
        <f>TEXT(Ventas[[#This Row],[Fecha_venta]],"m")</f>
        <v>3</v>
      </c>
      <c r="J59" t="str">
        <f>TEXT(Ventas[[#This Row],[Fecha_venta]],"yyyy")</f>
        <v>2011</v>
      </c>
    </row>
    <row r="60" spans="1:10" x14ac:dyDescent="0.25">
      <c r="A60">
        <v>1</v>
      </c>
      <c r="B60" s="1">
        <v>40620</v>
      </c>
      <c r="C60">
        <v>0</v>
      </c>
      <c r="D60">
        <v>62.76</v>
      </c>
      <c r="E60">
        <v>3.488</v>
      </c>
      <c r="F60">
        <v>214.36271139999999</v>
      </c>
      <c r="G60">
        <v>1576818.06</v>
      </c>
      <c r="H60" t="str">
        <f>TEXT(Ventas[[#This Row],[Fecha_venta]],"dd")</f>
        <v>18</v>
      </c>
      <c r="I60" t="str">
        <f>TEXT(Ventas[[#This Row],[Fecha_venta]],"m")</f>
        <v>3</v>
      </c>
      <c r="J60" t="str">
        <f>TEXT(Ventas[[#This Row],[Fecha_venta]],"yyyy")</f>
        <v>2011</v>
      </c>
    </row>
    <row r="61" spans="1:10" x14ac:dyDescent="0.25">
      <c r="A61">
        <v>1</v>
      </c>
      <c r="B61" s="1">
        <v>40627</v>
      </c>
      <c r="C61">
        <v>0</v>
      </c>
      <c r="D61">
        <v>69.97</v>
      </c>
      <c r="E61">
        <v>3.4729999999999999</v>
      </c>
      <c r="F61">
        <v>214.59993890000001</v>
      </c>
      <c r="G61">
        <v>1541102.38</v>
      </c>
      <c r="H61" t="str">
        <f>TEXT(Ventas[[#This Row],[Fecha_venta]],"dd")</f>
        <v>25</v>
      </c>
      <c r="I61" t="str">
        <f>TEXT(Ventas[[#This Row],[Fecha_venta]],"m")</f>
        <v>3</v>
      </c>
      <c r="J61" t="str">
        <f>TEXT(Ventas[[#This Row],[Fecha_venta]],"yyyy")</f>
        <v>2011</v>
      </c>
    </row>
    <row r="62" spans="1:10" x14ac:dyDescent="0.25">
      <c r="A62">
        <v>1</v>
      </c>
      <c r="B62" s="1">
        <v>40634</v>
      </c>
      <c r="C62">
        <v>0</v>
      </c>
      <c r="D62">
        <v>59.17</v>
      </c>
      <c r="E62">
        <v>3.524</v>
      </c>
      <c r="F62">
        <v>214.8371664</v>
      </c>
      <c r="G62">
        <v>1495064.75</v>
      </c>
      <c r="H62" t="str">
        <f>TEXT(Ventas[[#This Row],[Fecha_venta]],"dd")</f>
        <v>01</v>
      </c>
      <c r="I62" t="str">
        <f>TEXT(Ventas[[#This Row],[Fecha_venta]],"m")</f>
        <v>4</v>
      </c>
      <c r="J62" t="str">
        <f>TEXT(Ventas[[#This Row],[Fecha_venta]],"yyyy")</f>
        <v>2011</v>
      </c>
    </row>
    <row r="63" spans="1:10" x14ac:dyDescent="0.25">
      <c r="A63">
        <v>1</v>
      </c>
      <c r="B63" s="1">
        <v>40641</v>
      </c>
      <c r="C63">
        <v>0</v>
      </c>
      <c r="D63">
        <v>67.84</v>
      </c>
      <c r="E63">
        <v>3.6219999999999999</v>
      </c>
      <c r="F63">
        <v>215.07439389999999</v>
      </c>
      <c r="G63">
        <v>1614259.35</v>
      </c>
      <c r="H63" t="str">
        <f>TEXT(Ventas[[#This Row],[Fecha_venta]],"dd")</f>
        <v>08</v>
      </c>
      <c r="I63" t="str">
        <f>TEXT(Ventas[[#This Row],[Fecha_venta]],"m")</f>
        <v>4</v>
      </c>
      <c r="J63" t="str">
        <f>TEXT(Ventas[[#This Row],[Fecha_venta]],"yyyy")</f>
        <v>2011</v>
      </c>
    </row>
    <row r="64" spans="1:10" x14ac:dyDescent="0.25">
      <c r="A64">
        <v>1</v>
      </c>
      <c r="B64" s="1">
        <v>40648</v>
      </c>
      <c r="C64">
        <v>0</v>
      </c>
      <c r="D64">
        <v>71.27</v>
      </c>
      <c r="E64">
        <v>3.7429999999999999</v>
      </c>
      <c r="F64">
        <v>215.29185609999999</v>
      </c>
      <c r="G64">
        <v>1559889</v>
      </c>
      <c r="H64" t="str">
        <f>TEXT(Ventas[[#This Row],[Fecha_venta]],"dd")</f>
        <v>15</v>
      </c>
      <c r="I64" t="str">
        <f>TEXT(Ventas[[#This Row],[Fecha_venta]],"m")</f>
        <v>4</v>
      </c>
      <c r="J64" t="str">
        <f>TEXT(Ventas[[#This Row],[Fecha_venta]],"yyyy")</f>
        <v>2011</v>
      </c>
    </row>
    <row r="65" spans="1:10" x14ac:dyDescent="0.25">
      <c r="A65">
        <v>1</v>
      </c>
      <c r="B65" s="1">
        <v>40655</v>
      </c>
      <c r="C65">
        <v>0</v>
      </c>
      <c r="D65">
        <v>72.989999999999995</v>
      </c>
      <c r="E65">
        <v>3.8069999999999999</v>
      </c>
      <c r="F65">
        <v>215.4599053</v>
      </c>
      <c r="G65">
        <v>1564819.81</v>
      </c>
      <c r="H65" t="str">
        <f>TEXT(Ventas[[#This Row],[Fecha_venta]],"dd")</f>
        <v>22</v>
      </c>
      <c r="I65" t="str">
        <f>TEXT(Ventas[[#This Row],[Fecha_venta]],"m")</f>
        <v>4</v>
      </c>
      <c r="J65" t="str">
        <f>TEXT(Ventas[[#This Row],[Fecha_venta]],"yyyy")</f>
        <v>2011</v>
      </c>
    </row>
    <row r="66" spans="1:10" x14ac:dyDescent="0.25">
      <c r="A66">
        <v>1</v>
      </c>
      <c r="B66" s="1">
        <v>40662</v>
      </c>
      <c r="C66">
        <v>0</v>
      </c>
      <c r="D66">
        <v>72.03</v>
      </c>
      <c r="E66">
        <v>3.81</v>
      </c>
      <c r="F66">
        <v>215.62795439999999</v>
      </c>
      <c r="G66">
        <v>1455090.69</v>
      </c>
      <c r="H66" t="str">
        <f>TEXT(Ventas[[#This Row],[Fecha_venta]],"dd")</f>
        <v>29</v>
      </c>
      <c r="I66" t="str">
        <f>TEXT(Ventas[[#This Row],[Fecha_venta]],"m")</f>
        <v>4</v>
      </c>
      <c r="J66" t="str">
        <f>TEXT(Ventas[[#This Row],[Fecha_venta]],"yyyy")</f>
        <v>2011</v>
      </c>
    </row>
    <row r="67" spans="1:10" x14ac:dyDescent="0.25">
      <c r="A67">
        <v>1</v>
      </c>
      <c r="B67" s="1">
        <v>40669</v>
      </c>
      <c r="C67">
        <v>0</v>
      </c>
      <c r="D67">
        <v>64.61</v>
      </c>
      <c r="E67">
        <v>3.9060000000000001</v>
      </c>
      <c r="F67">
        <v>215.79600350000001</v>
      </c>
      <c r="G67">
        <v>1629391.28</v>
      </c>
      <c r="H67" t="str">
        <f>TEXT(Ventas[[#This Row],[Fecha_venta]],"dd")</f>
        <v>06</v>
      </c>
      <c r="I67" t="str">
        <f>TEXT(Ventas[[#This Row],[Fecha_venta]],"m")</f>
        <v>5</v>
      </c>
      <c r="J67" t="str">
        <f>TEXT(Ventas[[#This Row],[Fecha_venta]],"yyyy")</f>
        <v>2011</v>
      </c>
    </row>
    <row r="68" spans="1:10" x14ac:dyDescent="0.25">
      <c r="A68">
        <v>1</v>
      </c>
      <c r="B68" s="1">
        <v>40676</v>
      </c>
      <c r="C68">
        <v>0</v>
      </c>
      <c r="D68">
        <v>75.64</v>
      </c>
      <c r="E68">
        <v>3.899</v>
      </c>
      <c r="F68">
        <v>215.9640526</v>
      </c>
      <c r="G68">
        <v>1604775.58</v>
      </c>
      <c r="H68" t="str">
        <f>TEXT(Ventas[[#This Row],[Fecha_venta]],"dd")</f>
        <v>13</v>
      </c>
      <c r="I68" t="str">
        <f>TEXT(Ventas[[#This Row],[Fecha_venta]],"m")</f>
        <v>5</v>
      </c>
      <c r="J68" t="str">
        <f>TEXT(Ventas[[#This Row],[Fecha_venta]],"yyyy")</f>
        <v>2011</v>
      </c>
    </row>
    <row r="69" spans="1:10" x14ac:dyDescent="0.25">
      <c r="A69">
        <v>1</v>
      </c>
      <c r="B69" s="1">
        <v>40683</v>
      </c>
      <c r="C69">
        <v>0</v>
      </c>
      <c r="D69">
        <v>67.63</v>
      </c>
      <c r="E69">
        <v>3.907</v>
      </c>
      <c r="F69">
        <v>215.7339202</v>
      </c>
      <c r="G69">
        <v>1428218.27</v>
      </c>
      <c r="H69" t="str">
        <f>TEXT(Ventas[[#This Row],[Fecha_venta]],"dd")</f>
        <v>20</v>
      </c>
      <c r="I69" t="str">
        <f>TEXT(Ventas[[#This Row],[Fecha_venta]],"m")</f>
        <v>5</v>
      </c>
      <c r="J69" t="str">
        <f>TEXT(Ventas[[#This Row],[Fecha_venta]],"yyyy")</f>
        <v>2011</v>
      </c>
    </row>
    <row r="70" spans="1:10" x14ac:dyDescent="0.25">
      <c r="A70">
        <v>1</v>
      </c>
      <c r="B70" s="1">
        <v>40690</v>
      </c>
      <c r="C70">
        <v>2</v>
      </c>
      <c r="D70">
        <v>77.72</v>
      </c>
      <c r="E70">
        <v>3.786</v>
      </c>
      <c r="F70">
        <v>215.5037878</v>
      </c>
      <c r="G70">
        <v>1466046.67</v>
      </c>
      <c r="H70" t="str">
        <f>TEXT(Ventas[[#This Row],[Fecha_venta]],"dd")</f>
        <v>27</v>
      </c>
      <c r="I70" t="str">
        <f>TEXT(Ventas[[#This Row],[Fecha_venta]],"m")</f>
        <v>5</v>
      </c>
      <c r="J70" t="str">
        <f>TEXT(Ventas[[#This Row],[Fecha_venta]],"yyyy")</f>
        <v>2011</v>
      </c>
    </row>
    <row r="71" spans="1:10" x14ac:dyDescent="0.25">
      <c r="A71">
        <v>1</v>
      </c>
      <c r="B71" s="1">
        <v>40697</v>
      </c>
      <c r="C71">
        <v>0</v>
      </c>
      <c r="D71">
        <v>83</v>
      </c>
      <c r="E71">
        <v>3.6989999999999998</v>
      </c>
      <c r="F71">
        <v>215.2736553</v>
      </c>
      <c r="G71">
        <v>1635078.41</v>
      </c>
      <c r="H71" t="str">
        <f>TEXT(Ventas[[#This Row],[Fecha_venta]],"dd")</f>
        <v>03</v>
      </c>
      <c r="I71" t="str">
        <f>TEXT(Ventas[[#This Row],[Fecha_venta]],"m")</f>
        <v>6</v>
      </c>
      <c r="J71" t="str">
        <f>TEXT(Ventas[[#This Row],[Fecha_venta]],"yyyy")</f>
        <v>2011</v>
      </c>
    </row>
    <row r="72" spans="1:10" x14ac:dyDescent="0.25">
      <c r="A72">
        <v>1</v>
      </c>
      <c r="B72" s="1">
        <v>40704</v>
      </c>
      <c r="C72">
        <v>0</v>
      </c>
      <c r="D72">
        <v>83.13</v>
      </c>
      <c r="E72">
        <v>3.6480000000000001</v>
      </c>
      <c r="F72">
        <v>215.0435229</v>
      </c>
      <c r="G72">
        <v>1588948.32</v>
      </c>
      <c r="H72" t="str">
        <f>TEXT(Ventas[[#This Row],[Fecha_venta]],"dd")</f>
        <v>10</v>
      </c>
      <c r="I72" t="str">
        <f>TEXT(Ventas[[#This Row],[Fecha_venta]],"m")</f>
        <v>6</v>
      </c>
      <c r="J72" t="str">
        <f>TEXT(Ventas[[#This Row],[Fecha_venta]],"yyyy")</f>
        <v>2011</v>
      </c>
    </row>
    <row r="73" spans="1:10" x14ac:dyDescent="0.25">
      <c r="A73">
        <v>1</v>
      </c>
      <c r="B73" s="1">
        <v>40711</v>
      </c>
      <c r="C73">
        <v>0</v>
      </c>
      <c r="D73">
        <v>86.41</v>
      </c>
      <c r="E73">
        <v>3.637</v>
      </c>
      <c r="F73">
        <v>214.9980596</v>
      </c>
      <c r="G73">
        <v>1532114.86</v>
      </c>
      <c r="H73" t="str">
        <f>TEXT(Ventas[[#This Row],[Fecha_venta]],"dd")</f>
        <v>17</v>
      </c>
      <c r="I73" t="str">
        <f>TEXT(Ventas[[#This Row],[Fecha_venta]],"m")</f>
        <v>6</v>
      </c>
      <c r="J73" t="str">
        <f>TEXT(Ventas[[#This Row],[Fecha_venta]],"yyyy")</f>
        <v>2011</v>
      </c>
    </row>
    <row r="74" spans="1:10" x14ac:dyDescent="0.25">
      <c r="A74">
        <v>1</v>
      </c>
      <c r="B74" s="1">
        <v>40718</v>
      </c>
      <c r="C74">
        <v>0</v>
      </c>
      <c r="D74">
        <v>83.58</v>
      </c>
      <c r="E74">
        <v>3.5939999999999999</v>
      </c>
      <c r="F74">
        <v>215.0910982</v>
      </c>
      <c r="G74">
        <v>1438830.15</v>
      </c>
      <c r="H74" t="str">
        <f>TEXT(Ventas[[#This Row],[Fecha_venta]],"dd")</f>
        <v>24</v>
      </c>
      <c r="I74" t="str">
        <f>TEXT(Ventas[[#This Row],[Fecha_venta]],"m")</f>
        <v>6</v>
      </c>
      <c r="J74" t="str">
        <f>TEXT(Ventas[[#This Row],[Fecha_venta]],"yyyy")</f>
        <v>2011</v>
      </c>
    </row>
    <row r="75" spans="1:10" x14ac:dyDescent="0.25">
      <c r="A75">
        <v>1</v>
      </c>
      <c r="B75" s="1">
        <v>40725</v>
      </c>
      <c r="C75">
        <v>0</v>
      </c>
      <c r="D75">
        <v>85.55</v>
      </c>
      <c r="E75">
        <v>3.524</v>
      </c>
      <c r="F75">
        <v>23</v>
      </c>
      <c r="G75">
        <v>1488538.09</v>
      </c>
      <c r="H75" t="str">
        <f>TEXT(Ventas[[#This Row],[Fecha_venta]],"dd")</f>
        <v>01</v>
      </c>
      <c r="I75" t="str">
        <f>TEXT(Ventas[[#This Row],[Fecha_venta]],"m")</f>
        <v>7</v>
      </c>
      <c r="J75" t="str">
        <f>TEXT(Ventas[[#This Row],[Fecha_venta]],"yyyy")</f>
        <v>2011</v>
      </c>
    </row>
    <row r="76" spans="1:10" x14ac:dyDescent="0.25">
      <c r="A76">
        <v>1</v>
      </c>
      <c r="B76" s="1">
        <v>40732</v>
      </c>
      <c r="C76">
        <v>0</v>
      </c>
      <c r="D76">
        <v>85.83</v>
      </c>
      <c r="E76">
        <v>3.48</v>
      </c>
      <c r="F76">
        <v>215.2771754</v>
      </c>
      <c r="G76">
        <v>1534849.64</v>
      </c>
      <c r="H76" t="str">
        <f>TEXT(Ventas[[#This Row],[Fecha_venta]],"dd")</f>
        <v>08</v>
      </c>
      <c r="I76" t="str">
        <f>TEXT(Ventas[[#This Row],[Fecha_venta]],"m")</f>
        <v>7</v>
      </c>
      <c r="J76" t="str">
        <f>TEXT(Ventas[[#This Row],[Fecha_venta]],"yyyy")</f>
        <v>2011</v>
      </c>
    </row>
    <row r="77" spans="1:10" x14ac:dyDescent="0.25">
      <c r="A77">
        <v>1</v>
      </c>
      <c r="B77" s="1">
        <v>40739</v>
      </c>
      <c r="C77">
        <v>0</v>
      </c>
      <c r="D77">
        <v>88.54</v>
      </c>
      <c r="E77">
        <v>3.5750000000000002</v>
      </c>
      <c r="F77">
        <v>215.36110869999999</v>
      </c>
      <c r="G77">
        <v>1455119.97</v>
      </c>
      <c r="H77" t="str">
        <f>TEXT(Ventas[[#This Row],[Fecha_venta]],"dd")</f>
        <v>15</v>
      </c>
      <c r="I77" t="str">
        <f>TEXT(Ventas[[#This Row],[Fecha_venta]],"m")</f>
        <v>7</v>
      </c>
      <c r="J77" t="str">
        <f>TEXT(Ventas[[#This Row],[Fecha_venta]],"yyyy")</f>
        <v>2011</v>
      </c>
    </row>
    <row r="78" spans="1:10" x14ac:dyDescent="0.25">
      <c r="A78">
        <v>1</v>
      </c>
      <c r="B78" s="1">
        <v>40746</v>
      </c>
      <c r="C78">
        <v>0</v>
      </c>
      <c r="D78">
        <v>85.77</v>
      </c>
      <c r="E78">
        <v>3.6509999999999998</v>
      </c>
      <c r="F78">
        <v>215.42227840000001</v>
      </c>
      <c r="G78">
        <v>1396926.82</v>
      </c>
      <c r="H78" t="str">
        <f>TEXT(Ventas[[#This Row],[Fecha_venta]],"dd")</f>
        <v>22</v>
      </c>
      <c r="I78" t="str">
        <f>TEXT(Ventas[[#This Row],[Fecha_venta]],"m")</f>
        <v>7</v>
      </c>
      <c r="J78" t="str">
        <f>TEXT(Ventas[[#This Row],[Fecha_venta]],"yyyy")</f>
        <v>2011</v>
      </c>
    </row>
    <row r="79" spans="1:10" x14ac:dyDescent="0.25">
      <c r="A79">
        <v>1</v>
      </c>
      <c r="B79" s="1">
        <v>40753</v>
      </c>
      <c r="C79">
        <v>0</v>
      </c>
      <c r="D79">
        <v>86.83</v>
      </c>
      <c r="E79">
        <v>3.6819999999999999</v>
      </c>
      <c r="F79">
        <v>215.4834482</v>
      </c>
      <c r="G79">
        <v>1352219.79</v>
      </c>
      <c r="H79" t="str">
        <f>TEXT(Ventas[[#This Row],[Fecha_venta]],"dd")</f>
        <v>29</v>
      </c>
      <c r="I79" t="str">
        <f>TEXT(Ventas[[#This Row],[Fecha_venta]],"m")</f>
        <v>7</v>
      </c>
      <c r="J79" t="str">
        <f>TEXT(Ventas[[#This Row],[Fecha_venta]],"yyyy")</f>
        <v>2011</v>
      </c>
    </row>
    <row r="80" spans="1:10" x14ac:dyDescent="0.25">
      <c r="A80">
        <v>1</v>
      </c>
      <c r="B80" s="1">
        <v>40760</v>
      </c>
      <c r="C80">
        <v>0</v>
      </c>
      <c r="D80">
        <v>91.65</v>
      </c>
      <c r="E80">
        <v>3.6840000000000002</v>
      </c>
      <c r="F80">
        <v>215.54461800000001</v>
      </c>
      <c r="G80">
        <v>1624383.75</v>
      </c>
      <c r="H80" t="str">
        <f>TEXT(Ventas[[#This Row],[Fecha_venta]],"dd")</f>
        <v>05</v>
      </c>
      <c r="I80" t="str">
        <f>TEXT(Ventas[[#This Row],[Fecha_venta]],"m")</f>
        <v>8</v>
      </c>
      <c r="J80" t="str">
        <f>TEXT(Ventas[[#This Row],[Fecha_venta]],"yyyy")</f>
        <v>2011</v>
      </c>
    </row>
    <row r="81" spans="1:10" x14ac:dyDescent="0.25">
      <c r="A81">
        <v>1</v>
      </c>
      <c r="B81" s="1">
        <v>40767</v>
      </c>
      <c r="C81">
        <v>0</v>
      </c>
      <c r="D81">
        <v>90.76</v>
      </c>
      <c r="E81">
        <v>3.6379999999999999</v>
      </c>
      <c r="F81">
        <v>215.6057878</v>
      </c>
      <c r="G81">
        <v>1525147.09</v>
      </c>
      <c r="H81" t="str">
        <f>TEXT(Ventas[[#This Row],[Fecha_venta]],"dd")</f>
        <v>12</v>
      </c>
      <c r="I81" t="str">
        <f>TEXT(Ventas[[#This Row],[Fecha_venta]],"m")</f>
        <v>8</v>
      </c>
      <c r="J81" t="str">
        <f>TEXT(Ventas[[#This Row],[Fecha_venta]],"yyyy")</f>
        <v>2011</v>
      </c>
    </row>
    <row r="82" spans="1:10" x14ac:dyDescent="0.25">
      <c r="A82">
        <v>1</v>
      </c>
      <c r="B82" s="1">
        <v>40774</v>
      </c>
      <c r="C82">
        <v>0</v>
      </c>
      <c r="D82">
        <v>89.94</v>
      </c>
      <c r="E82">
        <v>3.5539999999999998</v>
      </c>
      <c r="F82">
        <v>215.66931070000001</v>
      </c>
      <c r="G82">
        <v>1530761.43</v>
      </c>
      <c r="H82" t="str">
        <f>TEXT(Ventas[[#This Row],[Fecha_venta]],"dd")</f>
        <v>19</v>
      </c>
      <c r="I82" t="str">
        <f>TEXT(Ventas[[#This Row],[Fecha_venta]],"m")</f>
        <v>8</v>
      </c>
      <c r="J82" t="str">
        <f>TEXT(Ventas[[#This Row],[Fecha_venta]],"yyyy")</f>
        <v>2011</v>
      </c>
    </row>
    <row r="83" spans="1:10" x14ac:dyDescent="0.25">
      <c r="A83">
        <v>1</v>
      </c>
      <c r="B83" s="1">
        <v>40781</v>
      </c>
      <c r="C83">
        <v>0</v>
      </c>
      <c r="D83">
        <v>87.96</v>
      </c>
      <c r="E83">
        <v>3.5230000000000001</v>
      </c>
      <c r="F83">
        <v>215.73322580000001</v>
      </c>
      <c r="G83">
        <v>1464693.46</v>
      </c>
      <c r="H83" t="str">
        <f>TEXT(Ventas[[#This Row],[Fecha_venta]],"dd")</f>
        <v>26</v>
      </c>
      <c r="I83" t="str">
        <f>TEXT(Ventas[[#This Row],[Fecha_venta]],"m")</f>
        <v>8</v>
      </c>
      <c r="J83" t="str">
        <f>TEXT(Ventas[[#This Row],[Fecha_venta]],"yyyy")</f>
        <v>2011</v>
      </c>
    </row>
    <row r="84" spans="1:10" x14ac:dyDescent="0.25">
      <c r="A84">
        <v>1</v>
      </c>
      <c r="B84" s="1">
        <v>40788</v>
      </c>
      <c r="C84">
        <v>0</v>
      </c>
      <c r="D84">
        <v>87.83</v>
      </c>
      <c r="E84">
        <v>3.5329999999999999</v>
      </c>
      <c r="F84">
        <v>215.79714089999999</v>
      </c>
      <c r="G84">
        <v>1550229.22</v>
      </c>
      <c r="H84" t="str">
        <f>TEXT(Ventas[[#This Row],[Fecha_venta]],"dd")</f>
        <v>02</v>
      </c>
      <c r="I84" t="str">
        <f>TEXT(Ventas[[#This Row],[Fecha_venta]],"m")</f>
        <v>9</v>
      </c>
      <c r="J84" t="str">
        <f>TEXT(Ventas[[#This Row],[Fecha_venta]],"yyyy")</f>
        <v>2011</v>
      </c>
    </row>
    <row r="85" spans="1:10" x14ac:dyDescent="0.25">
      <c r="A85">
        <v>1</v>
      </c>
      <c r="B85" s="1">
        <v>40795</v>
      </c>
      <c r="C85">
        <v>1</v>
      </c>
      <c r="D85">
        <v>76</v>
      </c>
      <c r="E85">
        <v>3.5459999999999998</v>
      </c>
      <c r="F85">
        <v>215.86105599999999</v>
      </c>
      <c r="G85">
        <v>1540471.24</v>
      </c>
      <c r="H85" t="str">
        <f>TEXT(Ventas[[#This Row],[Fecha_venta]],"dd")</f>
        <v>09</v>
      </c>
      <c r="I85" t="str">
        <f>TEXT(Ventas[[#This Row],[Fecha_venta]],"m")</f>
        <v>9</v>
      </c>
      <c r="J85" t="str">
        <f>TEXT(Ventas[[#This Row],[Fecha_venta]],"yyyy")</f>
        <v>2011</v>
      </c>
    </row>
    <row r="86" spans="1:10" x14ac:dyDescent="0.25">
      <c r="A86">
        <v>1</v>
      </c>
      <c r="B86" s="1">
        <v>40802</v>
      </c>
      <c r="C86">
        <v>0</v>
      </c>
      <c r="D86">
        <v>79.94</v>
      </c>
      <c r="E86">
        <v>3.5259999999999998</v>
      </c>
      <c r="F86">
        <v>216.0410526</v>
      </c>
      <c r="G86">
        <v>1514259.78</v>
      </c>
      <c r="H86" t="str">
        <f>TEXT(Ventas[[#This Row],[Fecha_venta]],"dd")</f>
        <v>16</v>
      </c>
      <c r="I86" t="str">
        <f>TEXT(Ventas[[#This Row],[Fecha_venta]],"m")</f>
        <v>9</v>
      </c>
      <c r="J86" t="str">
        <f>TEXT(Ventas[[#This Row],[Fecha_venta]],"yyyy")</f>
        <v>2011</v>
      </c>
    </row>
    <row r="87" spans="1:10" x14ac:dyDescent="0.25">
      <c r="A87">
        <v>1</v>
      </c>
      <c r="B87" s="1">
        <v>40809</v>
      </c>
      <c r="C87">
        <v>0</v>
      </c>
      <c r="D87">
        <v>75.8</v>
      </c>
      <c r="E87">
        <v>3.4670000000000001</v>
      </c>
      <c r="F87">
        <v>216.37582459999999</v>
      </c>
      <c r="G87">
        <v>1380020.27</v>
      </c>
      <c r="H87" t="str">
        <f>TEXT(Ventas[[#This Row],[Fecha_venta]],"dd")</f>
        <v>23</v>
      </c>
      <c r="I87" t="str">
        <f>TEXT(Ventas[[#This Row],[Fecha_venta]],"m")</f>
        <v>9</v>
      </c>
      <c r="J87" t="str">
        <f>TEXT(Ventas[[#This Row],[Fecha_venta]],"yyyy")</f>
        <v>2011</v>
      </c>
    </row>
    <row r="88" spans="1:10" x14ac:dyDescent="0.25">
      <c r="A88">
        <v>1</v>
      </c>
      <c r="B88" s="1">
        <v>40816</v>
      </c>
      <c r="C88">
        <v>0</v>
      </c>
      <c r="D88">
        <v>79.69</v>
      </c>
      <c r="E88">
        <v>3.355</v>
      </c>
      <c r="F88">
        <v>216.71059650000001</v>
      </c>
      <c r="G88">
        <v>1394561.83</v>
      </c>
      <c r="H88" t="str">
        <f>TEXT(Ventas[[#This Row],[Fecha_venta]],"dd")</f>
        <v>30</v>
      </c>
      <c r="I88" t="str">
        <f>TEXT(Ventas[[#This Row],[Fecha_venta]],"m")</f>
        <v>9</v>
      </c>
      <c r="J88" t="str">
        <f>TEXT(Ventas[[#This Row],[Fecha_venta]],"yyyy")</f>
        <v>2011</v>
      </c>
    </row>
    <row r="89" spans="1:10" x14ac:dyDescent="0.25">
      <c r="A89">
        <v>1</v>
      </c>
      <c r="B89" s="1">
        <v>40823</v>
      </c>
      <c r="C89">
        <v>0</v>
      </c>
      <c r="D89">
        <v>69.31</v>
      </c>
      <c r="E89">
        <v>3.2850000000000001</v>
      </c>
      <c r="F89">
        <v>217.0453684</v>
      </c>
      <c r="G89">
        <v>1630989.95</v>
      </c>
      <c r="H89" t="str">
        <f>TEXT(Ventas[[#This Row],[Fecha_venta]],"dd")</f>
        <v>07</v>
      </c>
      <c r="I89" t="str">
        <f>TEXT(Ventas[[#This Row],[Fecha_venta]],"m")</f>
        <v>10</v>
      </c>
      <c r="J89" t="str">
        <f>TEXT(Ventas[[#This Row],[Fecha_venta]],"yyyy")</f>
        <v>2011</v>
      </c>
    </row>
    <row r="90" spans="1:10" x14ac:dyDescent="0.25">
      <c r="A90">
        <v>1</v>
      </c>
      <c r="B90" s="1">
        <v>40830</v>
      </c>
      <c r="C90">
        <v>0</v>
      </c>
      <c r="D90">
        <v>71.739999999999995</v>
      </c>
      <c r="E90">
        <v>3.274</v>
      </c>
      <c r="F90">
        <v>217.35527329999999</v>
      </c>
      <c r="G90">
        <v>1493525.93</v>
      </c>
      <c r="H90" t="str">
        <f>TEXT(Ventas[[#This Row],[Fecha_venta]],"dd")</f>
        <v>14</v>
      </c>
      <c r="I90" t="str">
        <f>TEXT(Ventas[[#This Row],[Fecha_venta]],"m")</f>
        <v>10</v>
      </c>
      <c r="J90" t="str">
        <f>TEXT(Ventas[[#This Row],[Fecha_venta]],"yyyy")</f>
        <v>2011</v>
      </c>
    </row>
    <row r="91" spans="1:10" x14ac:dyDescent="0.25">
      <c r="A91">
        <v>1</v>
      </c>
      <c r="B91" s="1">
        <v>40837</v>
      </c>
      <c r="C91">
        <v>0</v>
      </c>
      <c r="D91">
        <v>63.71</v>
      </c>
      <c r="E91">
        <v>3.3530000000000002</v>
      </c>
      <c r="F91">
        <v>217.51597620000001</v>
      </c>
      <c r="G91">
        <v>1502562.78</v>
      </c>
      <c r="H91" t="str">
        <f>TEXT(Ventas[[#This Row],[Fecha_venta]],"dd")</f>
        <v>21</v>
      </c>
      <c r="I91" t="str">
        <f>TEXT(Ventas[[#This Row],[Fecha_venta]],"m")</f>
        <v>10</v>
      </c>
      <c r="J91" t="str">
        <f>TEXT(Ventas[[#This Row],[Fecha_venta]],"yyyy")</f>
        <v>2011</v>
      </c>
    </row>
    <row r="92" spans="1:10" x14ac:dyDescent="0.25">
      <c r="A92">
        <v>1</v>
      </c>
      <c r="B92" s="1">
        <v>40844</v>
      </c>
      <c r="C92">
        <v>0</v>
      </c>
      <c r="D92">
        <v>66.569999999999993</v>
      </c>
      <c r="E92">
        <v>3.3719999999999999</v>
      </c>
      <c r="F92">
        <v>217.6766791</v>
      </c>
      <c r="G92">
        <v>1445249.09</v>
      </c>
      <c r="H92" t="str">
        <f>TEXT(Ventas[[#This Row],[Fecha_venta]],"dd")</f>
        <v>28</v>
      </c>
      <c r="I92" t="str">
        <f>TEXT(Ventas[[#This Row],[Fecha_venta]],"m")</f>
        <v>10</v>
      </c>
      <c r="J92" t="str">
        <f>TEXT(Ventas[[#This Row],[Fecha_venta]],"yyyy")</f>
        <v>2011</v>
      </c>
    </row>
    <row r="93" spans="1:10" x14ac:dyDescent="0.25">
      <c r="A93">
        <v>1</v>
      </c>
      <c r="B93" s="1">
        <v>40851</v>
      </c>
      <c r="C93">
        <v>0</v>
      </c>
      <c r="D93">
        <v>54.98</v>
      </c>
      <c r="E93">
        <v>3.3319999999999999</v>
      </c>
      <c r="F93">
        <v>217.83738199999999</v>
      </c>
      <c r="G93">
        <v>1697229.58</v>
      </c>
      <c r="H93" t="str">
        <f>TEXT(Ventas[[#This Row],[Fecha_venta]],"dd")</f>
        <v>04</v>
      </c>
      <c r="I93" t="str">
        <f>TEXT(Ventas[[#This Row],[Fecha_venta]],"m")</f>
        <v>11</v>
      </c>
      <c r="J93" t="str">
        <f>TEXT(Ventas[[#This Row],[Fecha_venta]],"yyyy")</f>
        <v>2011</v>
      </c>
    </row>
    <row r="94" spans="1:10" x14ac:dyDescent="0.25">
      <c r="A94">
        <v>1</v>
      </c>
      <c r="B94" s="1">
        <v>40858</v>
      </c>
      <c r="C94">
        <v>0</v>
      </c>
      <c r="D94">
        <v>59.11</v>
      </c>
      <c r="E94">
        <v>3.2970000000000002</v>
      </c>
      <c r="F94">
        <v>217.99808490000001</v>
      </c>
      <c r="G94">
        <v>1594938.89</v>
      </c>
      <c r="H94" t="str">
        <f>TEXT(Ventas[[#This Row],[Fecha_venta]],"dd")</f>
        <v>11</v>
      </c>
      <c r="I94" t="str">
        <f>TEXT(Ventas[[#This Row],[Fecha_venta]],"m")</f>
        <v>11</v>
      </c>
      <c r="J94" t="str">
        <f>TEXT(Ventas[[#This Row],[Fecha_venta]],"yyyy")</f>
        <v>2011</v>
      </c>
    </row>
    <row r="95" spans="1:10" x14ac:dyDescent="0.25">
      <c r="A95">
        <v>1</v>
      </c>
      <c r="B95" s="1">
        <v>40865</v>
      </c>
      <c r="C95">
        <v>0</v>
      </c>
      <c r="D95">
        <v>62.25</v>
      </c>
      <c r="E95">
        <v>3.3079999999999998</v>
      </c>
      <c r="F95">
        <v>218.2205088</v>
      </c>
      <c r="G95">
        <v>1539483.7</v>
      </c>
      <c r="H95" t="str">
        <f>TEXT(Ventas[[#This Row],[Fecha_venta]],"dd")</f>
        <v>18</v>
      </c>
      <c r="I95" t="str">
        <f>TEXT(Ventas[[#This Row],[Fecha_venta]],"m")</f>
        <v>11</v>
      </c>
      <c r="J95" t="str">
        <f>TEXT(Ventas[[#This Row],[Fecha_venta]],"yyyy")</f>
        <v>2011</v>
      </c>
    </row>
    <row r="96" spans="1:10" x14ac:dyDescent="0.25">
      <c r="A96">
        <v>1</v>
      </c>
      <c r="B96" s="1">
        <v>40872</v>
      </c>
      <c r="C96">
        <v>1</v>
      </c>
      <c r="D96">
        <v>60.14</v>
      </c>
      <c r="E96">
        <v>3.2360000000000002</v>
      </c>
      <c r="F96">
        <v>218.4676211</v>
      </c>
      <c r="G96">
        <v>2033320.66</v>
      </c>
      <c r="H96" t="str">
        <f>TEXT(Ventas[[#This Row],[Fecha_venta]],"dd")</f>
        <v>25</v>
      </c>
      <c r="I96" t="str">
        <f>TEXT(Ventas[[#This Row],[Fecha_venta]],"m")</f>
        <v>11</v>
      </c>
      <c r="J96" t="str">
        <f>TEXT(Ventas[[#This Row],[Fecha_venta]],"yyyy")</f>
        <v>2011</v>
      </c>
    </row>
    <row r="97" spans="1:10" x14ac:dyDescent="0.25">
      <c r="A97">
        <v>1</v>
      </c>
      <c r="B97" s="1">
        <v>40879</v>
      </c>
      <c r="C97">
        <v>0</v>
      </c>
      <c r="D97">
        <v>48.91</v>
      </c>
      <c r="E97">
        <v>3.1720000000000002</v>
      </c>
      <c r="F97">
        <v>218.71473330000001</v>
      </c>
      <c r="G97">
        <v>1584083.95</v>
      </c>
      <c r="H97" t="str">
        <f>TEXT(Ventas[[#This Row],[Fecha_venta]],"dd")</f>
        <v>02</v>
      </c>
      <c r="I97" t="str">
        <f>TEXT(Ventas[[#This Row],[Fecha_venta]],"m")</f>
        <v>12</v>
      </c>
      <c r="J97" t="str">
        <f>TEXT(Ventas[[#This Row],[Fecha_venta]],"yyyy")</f>
        <v>2011</v>
      </c>
    </row>
    <row r="98" spans="1:10" x14ac:dyDescent="0.25">
      <c r="A98">
        <v>1</v>
      </c>
      <c r="B98" s="1">
        <v>40886</v>
      </c>
      <c r="C98">
        <v>0</v>
      </c>
      <c r="D98">
        <v>43.93</v>
      </c>
      <c r="E98">
        <v>3.1579999999999999</v>
      </c>
      <c r="F98">
        <v>218.9618456</v>
      </c>
      <c r="G98">
        <v>1799682.38</v>
      </c>
      <c r="H98" t="str">
        <f>TEXT(Ventas[[#This Row],[Fecha_venta]],"dd")</f>
        <v>09</v>
      </c>
      <c r="I98" t="str">
        <f>TEXT(Ventas[[#This Row],[Fecha_venta]],"m")</f>
        <v>12</v>
      </c>
      <c r="J98" t="str">
        <f>TEXT(Ventas[[#This Row],[Fecha_venta]],"yyyy")</f>
        <v>2011</v>
      </c>
    </row>
    <row r="99" spans="1:10" x14ac:dyDescent="0.25">
      <c r="A99">
        <v>1</v>
      </c>
      <c r="B99" s="1">
        <v>40893</v>
      </c>
      <c r="C99">
        <v>0</v>
      </c>
      <c r="D99">
        <v>51.63</v>
      </c>
      <c r="E99">
        <v>3.1589999999999998</v>
      </c>
      <c r="F99">
        <v>219.17945330000001</v>
      </c>
      <c r="G99">
        <v>1881176.67</v>
      </c>
      <c r="H99" t="str">
        <f>TEXT(Ventas[[#This Row],[Fecha_venta]],"dd")</f>
        <v>16</v>
      </c>
      <c r="I99" t="str">
        <f>TEXT(Ventas[[#This Row],[Fecha_venta]],"m")</f>
        <v>12</v>
      </c>
      <c r="J99" t="str">
        <f>TEXT(Ventas[[#This Row],[Fecha_venta]],"yyyy")</f>
        <v>2011</v>
      </c>
    </row>
    <row r="100" spans="1:10" x14ac:dyDescent="0.25">
      <c r="A100">
        <v>1</v>
      </c>
      <c r="B100" s="1">
        <v>40900</v>
      </c>
      <c r="C100">
        <v>0</v>
      </c>
      <c r="D100">
        <v>47.96</v>
      </c>
      <c r="E100">
        <v>3.1120000000000001</v>
      </c>
      <c r="F100">
        <v>219.35772159999999</v>
      </c>
      <c r="G100">
        <v>2270188.9900000002</v>
      </c>
      <c r="H100" t="str">
        <f>TEXT(Ventas[[#This Row],[Fecha_venta]],"dd")</f>
        <v>23</v>
      </c>
      <c r="I100" t="str">
        <f>TEXT(Ventas[[#This Row],[Fecha_venta]],"m")</f>
        <v>12</v>
      </c>
      <c r="J100" t="str">
        <f>TEXT(Ventas[[#This Row],[Fecha_venta]],"yyyy")</f>
        <v>2011</v>
      </c>
    </row>
    <row r="101" spans="1:10" x14ac:dyDescent="0.25">
      <c r="A101">
        <v>1</v>
      </c>
      <c r="B101" s="1">
        <v>40907</v>
      </c>
      <c r="C101">
        <v>1</v>
      </c>
      <c r="D101">
        <v>44.55</v>
      </c>
      <c r="E101">
        <v>3.129</v>
      </c>
      <c r="F101">
        <v>219.53598980000001</v>
      </c>
      <c r="G101">
        <v>1497462.72</v>
      </c>
      <c r="H101" t="str">
        <f>TEXT(Ventas[[#This Row],[Fecha_venta]],"dd")</f>
        <v>30</v>
      </c>
      <c r="I101" t="str">
        <f>TEXT(Ventas[[#This Row],[Fecha_venta]],"m")</f>
        <v>12</v>
      </c>
      <c r="J101" t="str">
        <f>TEXT(Ventas[[#This Row],[Fecha_venta]],"yyyy")</f>
        <v>2011</v>
      </c>
    </row>
    <row r="102" spans="1:10" x14ac:dyDescent="0.25">
      <c r="A102">
        <v>1</v>
      </c>
      <c r="B102" s="1">
        <v>40914</v>
      </c>
      <c r="C102">
        <v>0</v>
      </c>
      <c r="D102">
        <v>49.01</v>
      </c>
      <c r="E102">
        <v>3.157</v>
      </c>
      <c r="F102">
        <v>219.7142581</v>
      </c>
      <c r="G102">
        <v>1550369.92</v>
      </c>
      <c r="H102" t="str">
        <f>TEXT(Ventas[[#This Row],[Fecha_venta]],"dd")</f>
        <v>06</v>
      </c>
      <c r="I102" t="str">
        <f>TEXT(Ventas[[#This Row],[Fecha_venta]],"m")</f>
        <v>1</v>
      </c>
      <c r="J102" t="str">
        <f>TEXT(Ventas[[#This Row],[Fecha_venta]],"yyyy")</f>
        <v>2012</v>
      </c>
    </row>
    <row r="103" spans="1:10" x14ac:dyDescent="0.25">
      <c r="A103">
        <v>1</v>
      </c>
      <c r="B103" s="1">
        <v>40921</v>
      </c>
      <c r="C103">
        <v>0</v>
      </c>
      <c r="D103">
        <v>48.53</v>
      </c>
      <c r="E103">
        <v>3.2610000000000001</v>
      </c>
      <c r="F103">
        <v>219.89252629999999</v>
      </c>
      <c r="G103">
        <v>1459601.17</v>
      </c>
      <c r="H103" t="str">
        <f>TEXT(Ventas[[#This Row],[Fecha_venta]],"dd")</f>
        <v>13</v>
      </c>
      <c r="I103" t="str">
        <f>TEXT(Ventas[[#This Row],[Fecha_venta]],"m")</f>
        <v>1</v>
      </c>
      <c r="J103" t="str">
        <f>TEXT(Ventas[[#This Row],[Fecha_venta]],"yyyy")</f>
        <v>2012</v>
      </c>
    </row>
    <row r="104" spans="1:10" x14ac:dyDescent="0.25">
      <c r="A104">
        <v>1</v>
      </c>
      <c r="B104" s="1">
        <v>40928</v>
      </c>
      <c r="C104">
        <v>0</v>
      </c>
      <c r="D104">
        <v>54.11</v>
      </c>
      <c r="E104">
        <v>3.2679999999999998</v>
      </c>
      <c r="F104">
        <v>219.98568929999999</v>
      </c>
      <c r="G104">
        <v>1394393.84</v>
      </c>
      <c r="H104" t="str">
        <f>TEXT(Ventas[[#This Row],[Fecha_venta]],"dd")</f>
        <v>20</v>
      </c>
      <c r="I104" t="str">
        <f>TEXT(Ventas[[#This Row],[Fecha_venta]],"m")</f>
        <v>1</v>
      </c>
      <c r="J104" t="str">
        <f>TEXT(Ventas[[#This Row],[Fecha_venta]],"yyyy")</f>
        <v>2012</v>
      </c>
    </row>
    <row r="105" spans="1:10" x14ac:dyDescent="0.25">
      <c r="A105">
        <v>1</v>
      </c>
      <c r="B105" s="1">
        <v>40935</v>
      </c>
      <c r="C105">
        <v>0</v>
      </c>
      <c r="D105">
        <v>54.26</v>
      </c>
      <c r="E105">
        <v>3.29</v>
      </c>
      <c r="F105">
        <v>220.07885229999999</v>
      </c>
      <c r="G105">
        <v>1319325.5900000001</v>
      </c>
      <c r="H105" t="str">
        <f>TEXT(Ventas[[#This Row],[Fecha_venta]],"dd")</f>
        <v>27</v>
      </c>
      <c r="I105" t="str">
        <f>TEXT(Ventas[[#This Row],[Fecha_venta]],"m")</f>
        <v>1</v>
      </c>
      <c r="J105" t="str">
        <f>TEXT(Ventas[[#This Row],[Fecha_venta]],"yyyy")</f>
        <v>2012</v>
      </c>
    </row>
    <row r="106" spans="1:10" x14ac:dyDescent="0.25">
      <c r="A106">
        <v>1</v>
      </c>
      <c r="B106" s="1">
        <v>40942</v>
      </c>
      <c r="C106">
        <v>0</v>
      </c>
      <c r="D106">
        <v>56.55</v>
      </c>
      <c r="E106">
        <v>3.36</v>
      </c>
      <c r="F106">
        <v>220.1720153</v>
      </c>
      <c r="G106">
        <v>1636339.65</v>
      </c>
      <c r="H106" t="str">
        <f>TEXT(Ventas[[#This Row],[Fecha_venta]],"dd")</f>
        <v>03</v>
      </c>
      <c r="I106" t="str">
        <f>TEXT(Ventas[[#This Row],[Fecha_venta]],"m")</f>
        <v>2</v>
      </c>
      <c r="J106" t="str">
        <f>TEXT(Ventas[[#This Row],[Fecha_venta]],"yyyy")</f>
        <v>2012</v>
      </c>
    </row>
    <row r="107" spans="1:10" x14ac:dyDescent="0.25">
      <c r="A107">
        <v>1</v>
      </c>
      <c r="B107" s="1">
        <v>40949</v>
      </c>
      <c r="C107">
        <v>1</v>
      </c>
      <c r="D107">
        <v>48.02</v>
      </c>
      <c r="E107">
        <v>3.4089999999999998</v>
      </c>
      <c r="F107">
        <v>220.2651783</v>
      </c>
      <c r="G107">
        <v>1802477.43</v>
      </c>
      <c r="H107" t="str">
        <f>TEXT(Ventas[[#This Row],[Fecha_venta]],"dd")</f>
        <v>10</v>
      </c>
      <c r="I107" t="str">
        <f>TEXT(Ventas[[#This Row],[Fecha_venta]],"m")</f>
        <v>2</v>
      </c>
      <c r="J107" t="str">
        <f>TEXT(Ventas[[#This Row],[Fecha_venta]],"yyyy")</f>
        <v>2012</v>
      </c>
    </row>
    <row r="108" spans="1:10" x14ac:dyDescent="0.25">
      <c r="A108">
        <v>1</v>
      </c>
      <c r="B108" s="1">
        <v>40956</v>
      </c>
      <c r="C108">
        <v>0</v>
      </c>
      <c r="D108">
        <v>45.32</v>
      </c>
      <c r="E108">
        <v>3.51</v>
      </c>
      <c r="F108">
        <v>220.42575859999999</v>
      </c>
      <c r="G108">
        <v>1819870</v>
      </c>
      <c r="H108" t="str">
        <f>TEXT(Ventas[[#This Row],[Fecha_venta]],"dd")</f>
        <v>17</v>
      </c>
      <c r="I108" t="str">
        <f>TEXT(Ventas[[#This Row],[Fecha_venta]],"m")</f>
        <v>2</v>
      </c>
      <c r="J108" t="str">
        <f>TEXT(Ventas[[#This Row],[Fecha_venta]],"yyyy")</f>
        <v>2012</v>
      </c>
    </row>
    <row r="109" spans="1:10" x14ac:dyDescent="0.25">
      <c r="A109">
        <v>1</v>
      </c>
      <c r="B109" s="1">
        <v>40963</v>
      </c>
      <c r="C109">
        <v>0</v>
      </c>
      <c r="D109">
        <v>57.25</v>
      </c>
      <c r="E109">
        <v>3.5550000000000002</v>
      </c>
      <c r="F109">
        <v>220.63690199999999</v>
      </c>
      <c r="G109">
        <v>1539387.83</v>
      </c>
      <c r="H109" t="str">
        <f>TEXT(Ventas[[#This Row],[Fecha_venta]],"dd")</f>
        <v>24</v>
      </c>
      <c r="I109" t="str">
        <f>TEXT(Ventas[[#This Row],[Fecha_venta]],"m")</f>
        <v>2</v>
      </c>
      <c r="J109" t="str">
        <f>TEXT(Ventas[[#This Row],[Fecha_venta]],"yyyy")</f>
        <v>2012</v>
      </c>
    </row>
    <row r="110" spans="1:10" x14ac:dyDescent="0.25">
      <c r="A110">
        <v>1</v>
      </c>
      <c r="B110" s="1">
        <v>40970</v>
      </c>
      <c r="C110">
        <v>0</v>
      </c>
      <c r="D110">
        <v>60.96</v>
      </c>
      <c r="E110">
        <v>3.63</v>
      </c>
      <c r="F110">
        <v>220.84804539999999</v>
      </c>
      <c r="G110">
        <v>1688420.76</v>
      </c>
      <c r="H110" t="str">
        <f>TEXT(Ventas[[#This Row],[Fecha_venta]],"dd")</f>
        <v>02</v>
      </c>
      <c r="I110" t="str">
        <f>TEXT(Ventas[[#This Row],[Fecha_venta]],"m")</f>
        <v>3</v>
      </c>
      <c r="J110" t="str">
        <f>TEXT(Ventas[[#This Row],[Fecha_venta]],"yyyy")</f>
        <v>2012</v>
      </c>
    </row>
    <row r="111" spans="1:10" x14ac:dyDescent="0.25">
      <c r="A111">
        <v>1</v>
      </c>
      <c r="B111" s="1">
        <v>40977</v>
      </c>
      <c r="C111">
        <v>0</v>
      </c>
      <c r="D111">
        <v>58.76</v>
      </c>
      <c r="E111">
        <v>3.669</v>
      </c>
      <c r="F111">
        <v>221.05918869999999</v>
      </c>
      <c r="G111">
        <v>1675431.16</v>
      </c>
      <c r="H111" t="str">
        <f>TEXT(Ventas[[#This Row],[Fecha_venta]],"dd")</f>
        <v>09</v>
      </c>
      <c r="I111" t="str">
        <f>TEXT(Ventas[[#This Row],[Fecha_venta]],"m")</f>
        <v>3</v>
      </c>
      <c r="J111" t="str">
        <f>TEXT(Ventas[[#This Row],[Fecha_venta]],"yyyy")</f>
        <v>2012</v>
      </c>
    </row>
    <row r="112" spans="1:10" x14ac:dyDescent="0.25">
      <c r="A112">
        <v>1</v>
      </c>
      <c r="B112" s="1">
        <v>40984</v>
      </c>
      <c r="C112">
        <v>0</v>
      </c>
      <c r="D112">
        <v>64.739999999999995</v>
      </c>
      <c r="E112">
        <v>3.734</v>
      </c>
      <c r="F112">
        <v>221.21181319999999</v>
      </c>
      <c r="G112">
        <v>1677472.78</v>
      </c>
      <c r="H112" t="str">
        <f>TEXT(Ventas[[#This Row],[Fecha_venta]],"dd")</f>
        <v>16</v>
      </c>
      <c r="I112" t="str">
        <f>TEXT(Ventas[[#This Row],[Fecha_venta]],"m")</f>
        <v>3</v>
      </c>
      <c r="J112" t="str">
        <f>TEXT(Ventas[[#This Row],[Fecha_venta]],"yyyy")</f>
        <v>2012</v>
      </c>
    </row>
    <row r="113" spans="1:10" x14ac:dyDescent="0.25">
      <c r="A113">
        <v>1</v>
      </c>
      <c r="B113" s="1">
        <v>40991</v>
      </c>
      <c r="C113">
        <v>0</v>
      </c>
      <c r="D113">
        <v>65.930000000000007</v>
      </c>
      <c r="E113">
        <v>3.7869999999999999</v>
      </c>
      <c r="F113">
        <v>221.28641260000001</v>
      </c>
      <c r="G113">
        <v>1511068.07</v>
      </c>
      <c r="H113" t="str">
        <f>TEXT(Ventas[[#This Row],[Fecha_venta]],"dd")</f>
        <v>23</v>
      </c>
      <c r="I113" t="str">
        <f>TEXT(Ventas[[#This Row],[Fecha_venta]],"m")</f>
        <v>3</v>
      </c>
      <c r="J113" t="str">
        <f>TEXT(Ventas[[#This Row],[Fecha_venta]],"yyyy")</f>
        <v>2012</v>
      </c>
    </row>
    <row r="114" spans="1:10" x14ac:dyDescent="0.25">
      <c r="A114">
        <v>1</v>
      </c>
      <c r="B114" s="1">
        <v>40998</v>
      </c>
      <c r="C114">
        <v>0</v>
      </c>
      <c r="D114">
        <v>67.61</v>
      </c>
      <c r="E114">
        <v>3.8450000000000002</v>
      </c>
      <c r="F114">
        <v>221.36101189999999</v>
      </c>
      <c r="G114">
        <v>1649604.63</v>
      </c>
      <c r="H114" t="str">
        <f>TEXT(Ventas[[#This Row],[Fecha_venta]],"dd")</f>
        <v>30</v>
      </c>
      <c r="I114" t="str">
        <f>TEXT(Ventas[[#This Row],[Fecha_venta]],"m")</f>
        <v>3</v>
      </c>
      <c r="J114" t="str">
        <f>TEXT(Ventas[[#This Row],[Fecha_venta]],"yyyy")</f>
        <v>2012</v>
      </c>
    </row>
    <row r="115" spans="1:10" x14ac:dyDescent="0.25">
      <c r="A115">
        <v>1</v>
      </c>
      <c r="B115" s="1">
        <v>41005</v>
      </c>
      <c r="C115">
        <v>0</v>
      </c>
      <c r="D115">
        <v>70.430000000000007</v>
      </c>
      <c r="E115">
        <v>3.891</v>
      </c>
      <c r="F115">
        <v>221.43561120000001</v>
      </c>
      <c r="G115">
        <v>-1</v>
      </c>
      <c r="H115" t="str">
        <f>TEXT(Ventas[[#This Row],[Fecha_venta]],"dd")</f>
        <v>06</v>
      </c>
      <c r="I115" t="str">
        <f>TEXT(Ventas[[#This Row],[Fecha_venta]],"m")</f>
        <v>4</v>
      </c>
      <c r="J115" t="str">
        <f>TEXT(Ventas[[#This Row],[Fecha_venta]],"yyyy")</f>
        <v>2012</v>
      </c>
    </row>
    <row r="116" spans="1:10" x14ac:dyDescent="0.25">
      <c r="A116">
        <v>1</v>
      </c>
      <c r="B116" s="1">
        <v>41012</v>
      </c>
      <c r="C116">
        <v>0</v>
      </c>
      <c r="D116">
        <v>69.069999999999993</v>
      </c>
      <c r="E116">
        <v>3.891</v>
      </c>
      <c r="F116">
        <v>221.5102105</v>
      </c>
      <c r="G116">
        <v>1621031.7</v>
      </c>
      <c r="H116" t="str">
        <f>TEXT(Ventas[[#This Row],[Fecha_venta]],"dd")</f>
        <v>13</v>
      </c>
      <c r="I116" t="str">
        <f>TEXT(Ventas[[#This Row],[Fecha_venta]],"m")</f>
        <v>4</v>
      </c>
      <c r="J116" t="str">
        <f>TEXT(Ventas[[#This Row],[Fecha_venta]],"yyyy")</f>
        <v>2012</v>
      </c>
    </row>
    <row r="117" spans="1:10" x14ac:dyDescent="0.25">
      <c r="A117">
        <v>1</v>
      </c>
      <c r="B117" s="1">
        <v>41019</v>
      </c>
      <c r="C117">
        <v>0</v>
      </c>
      <c r="D117">
        <v>66.760000000000005</v>
      </c>
      <c r="E117">
        <v>3.8769999999999998</v>
      </c>
      <c r="F117">
        <v>221.56407369999999</v>
      </c>
      <c r="G117">
        <v>1521577.87</v>
      </c>
      <c r="H117" t="str">
        <f>TEXT(Ventas[[#This Row],[Fecha_venta]],"dd")</f>
        <v>20</v>
      </c>
      <c r="I117" t="str">
        <f>TEXT(Ventas[[#This Row],[Fecha_venta]],"m")</f>
        <v>4</v>
      </c>
      <c r="J117" t="str">
        <f>TEXT(Ventas[[#This Row],[Fecha_venta]],"yyyy")</f>
        <v>2012</v>
      </c>
    </row>
    <row r="118" spans="1:10" x14ac:dyDescent="0.25">
      <c r="A118">
        <v>1</v>
      </c>
      <c r="B118" s="1">
        <v>41026</v>
      </c>
      <c r="C118">
        <v>0</v>
      </c>
      <c r="D118">
        <v>67.23</v>
      </c>
      <c r="E118">
        <v>3.8140000000000001</v>
      </c>
      <c r="F118">
        <v>221.6179368</v>
      </c>
      <c r="G118">
        <v>1468928.37</v>
      </c>
      <c r="H118" t="str">
        <f>TEXT(Ventas[[#This Row],[Fecha_venta]],"dd")</f>
        <v>27</v>
      </c>
      <c r="I118" t="str">
        <f>TEXT(Ventas[[#This Row],[Fecha_venta]],"m")</f>
        <v>4</v>
      </c>
      <c r="J118" t="str">
        <f>TEXT(Ventas[[#This Row],[Fecha_venta]],"yyyy")</f>
        <v>2012</v>
      </c>
    </row>
    <row r="119" spans="1:10" x14ac:dyDescent="0.25">
      <c r="A119">
        <v>1</v>
      </c>
      <c r="B119" s="1">
        <v>41033</v>
      </c>
      <c r="C119">
        <v>0</v>
      </c>
      <c r="D119">
        <v>75.55</v>
      </c>
      <c r="E119">
        <v>3.7490000000000001</v>
      </c>
      <c r="F119">
        <v>221.67179999999999</v>
      </c>
      <c r="G119">
        <v>1684519.99</v>
      </c>
      <c r="H119" t="str">
        <f>TEXT(Ventas[[#This Row],[Fecha_venta]],"dd")</f>
        <v>04</v>
      </c>
      <c r="I119" t="str">
        <f>TEXT(Ventas[[#This Row],[Fecha_venta]],"m")</f>
        <v>5</v>
      </c>
      <c r="J119" t="str">
        <f>TEXT(Ventas[[#This Row],[Fecha_venta]],"yyyy")</f>
        <v>2012</v>
      </c>
    </row>
    <row r="120" spans="1:10" x14ac:dyDescent="0.25">
      <c r="A120">
        <v>1</v>
      </c>
      <c r="B120" s="1">
        <v>41040</v>
      </c>
      <c r="C120">
        <v>0</v>
      </c>
      <c r="D120">
        <v>73.77</v>
      </c>
      <c r="E120">
        <v>3.6880000000000002</v>
      </c>
      <c r="F120">
        <v>221.72566320000001</v>
      </c>
      <c r="G120">
        <v>1611096.05</v>
      </c>
      <c r="H120" t="str">
        <f>TEXT(Ventas[[#This Row],[Fecha_venta]],"dd")</f>
        <v>11</v>
      </c>
      <c r="I120" t="str">
        <f>TEXT(Ventas[[#This Row],[Fecha_venta]],"m")</f>
        <v>5</v>
      </c>
      <c r="J120" t="str">
        <f>TEXT(Ventas[[#This Row],[Fecha_venta]],"yyyy")</f>
        <v>2012</v>
      </c>
    </row>
    <row r="121" spans="1:10" x14ac:dyDescent="0.25">
      <c r="A121">
        <v>1</v>
      </c>
      <c r="B121" s="1">
        <v>41047</v>
      </c>
      <c r="C121">
        <v>0</v>
      </c>
      <c r="D121">
        <v>70.33</v>
      </c>
      <c r="E121">
        <v>3.63</v>
      </c>
      <c r="F121">
        <v>221.74267399999999</v>
      </c>
      <c r="G121">
        <v>1595901.87</v>
      </c>
      <c r="H121" t="str">
        <f>TEXT(Ventas[[#This Row],[Fecha_venta]],"dd")</f>
        <v>18</v>
      </c>
      <c r="I121" t="str">
        <f>TEXT(Ventas[[#This Row],[Fecha_venta]],"m")</f>
        <v>5</v>
      </c>
      <c r="J121" t="str">
        <f>TEXT(Ventas[[#This Row],[Fecha_venta]],"yyyy")</f>
        <v>2012</v>
      </c>
    </row>
    <row r="122" spans="1:10" x14ac:dyDescent="0.25">
      <c r="A122">
        <v>1</v>
      </c>
      <c r="B122" s="1">
        <v>41054</v>
      </c>
      <c r="C122">
        <v>0</v>
      </c>
      <c r="D122">
        <v>77.22</v>
      </c>
      <c r="E122">
        <v>3.5609999999999999</v>
      </c>
      <c r="F122">
        <v>221.744944</v>
      </c>
      <c r="G122">
        <v>1555444.55</v>
      </c>
      <c r="H122" t="str">
        <f>TEXT(Ventas[[#This Row],[Fecha_venta]],"dd")</f>
        <v>25</v>
      </c>
      <c r="I122" t="str">
        <f>TEXT(Ventas[[#This Row],[Fecha_venta]],"m")</f>
        <v>5</v>
      </c>
      <c r="J122" t="str">
        <f>TEXT(Ventas[[#This Row],[Fecha_venta]],"yyyy")</f>
        <v>2012</v>
      </c>
    </row>
    <row r="123" spans="1:10" x14ac:dyDescent="0.25">
      <c r="A123">
        <v>1</v>
      </c>
      <c r="B123" s="1">
        <v>41061</v>
      </c>
      <c r="C123">
        <v>0</v>
      </c>
      <c r="D123">
        <v>77.95</v>
      </c>
      <c r="E123">
        <v>3.5009999999999999</v>
      </c>
      <c r="F123">
        <v>221.74721389999999</v>
      </c>
      <c r="G123">
        <v>1624477.58</v>
      </c>
      <c r="H123" t="str">
        <f>TEXT(Ventas[[#This Row],[Fecha_venta]],"dd")</f>
        <v>01</v>
      </c>
      <c r="I123" t="str">
        <f>TEXT(Ventas[[#This Row],[Fecha_venta]],"m")</f>
        <v>6</v>
      </c>
      <c r="J123" t="str">
        <f>TEXT(Ventas[[#This Row],[Fecha_venta]],"yyyy")</f>
        <v>2012</v>
      </c>
    </row>
    <row r="124" spans="1:10" x14ac:dyDescent="0.25">
      <c r="A124">
        <v>1</v>
      </c>
      <c r="B124" s="1">
        <v>41068</v>
      </c>
      <c r="C124">
        <v>0</v>
      </c>
      <c r="D124">
        <v>78.3</v>
      </c>
      <c r="E124">
        <v>3.452</v>
      </c>
      <c r="F124">
        <v>221.7494839</v>
      </c>
      <c r="G124">
        <v>1697230.96</v>
      </c>
      <c r="H124" t="str">
        <f>TEXT(Ventas[[#This Row],[Fecha_venta]],"dd")</f>
        <v>08</v>
      </c>
      <c r="I124" t="str">
        <f>TEXT(Ventas[[#This Row],[Fecha_venta]],"m")</f>
        <v>6</v>
      </c>
      <c r="J124" t="str">
        <f>TEXT(Ventas[[#This Row],[Fecha_venta]],"yyyy")</f>
        <v>2012</v>
      </c>
    </row>
    <row r="125" spans="1:10" x14ac:dyDescent="0.25">
      <c r="A125">
        <v>1</v>
      </c>
      <c r="B125" s="1">
        <v>41075</v>
      </c>
      <c r="C125">
        <v>0</v>
      </c>
      <c r="D125">
        <v>79.349999999999994</v>
      </c>
      <c r="E125">
        <v>3.3929999999999998</v>
      </c>
      <c r="F125">
        <v>221.76264209999999</v>
      </c>
      <c r="G125">
        <v>1630607</v>
      </c>
      <c r="H125" t="str">
        <f>TEXT(Ventas[[#This Row],[Fecha_venta]],"dd")</f>
        <v>15</v>
      </c>
      <c r="I125" t="str">
        <f>TEXT(Ventas[[#This Row],[Fecha_venta]],"m")</f>
        <v>6</v>
      </c>
      <c r="J125" t="str">
        <f>TEXT(Ventas[[#This Row],[Fecha_venta]],"yyyy")</f>
        <v>2012</v>
      </c>
    </row>
    <row r="126" spans="1:10" x14ac:dyDescent="0.25">
      <c r="A126">
        <v>1</v>
      </c>
      <c r="B126" s="1">
        <v>41082</v>
      </c>
      <c r="C126">
        <v>0</v>
      </c>
      <c r="D126">
        <v>78.39</v>
      </c>
      <c r="E126">
        <v>3.3460000000000001</v>
      </c>
      <c r="F126">
        <v>221.8030211</v>
      </c>
      <c r="G126">
        <v>1527845.81</v>
      </c>
      <c r="H126" t="str">
        <f>TEXT(Ventas[[#This Row],[Fecha_venta]],"dd")</f>
        <v>22</v>
      </c>
      <c r="I126" t="str">
        <f>TEXT(Ventas[[#This Row],[Fecha_venta]],"m")</f>
        <v>6</v>
      </c>
      <c r="J126" t="str">
        <f>TEXT(Ventas[[#This Row],[Fecha_venta]],"yyyy")</f>
        <v>2012</v>
      </c>
    </row>
    <row r="127" spans="1:10" x14ac:dyDescent="0.25">
      <c r="A127">
        <v>1</v>
      </c>
      <c r="B127" s="1">
        <v>41089</v>
      </c>
      <c r="C127">
        <v>0</v>
      </c>
      <c r="D127">
        <v>84.88</v>
      </c>
      <c r="E127">
        <v>3.286</v>
      </c>
      <c r="F127">
        <v>221.8434</v>
      </c>
      <c r="G127">
        <v>1540421.49</v>
      </c>
      <c r="H127" t="str">
        <f>TEXT(Ventas[[#This Row],[Fecha_venta]],"dd")</f>
        <v>29</v>
      </c>
      <c r="I127" t="str">
        <f>TEXT(Ventas[[#This Row],[Fecha_venta]],"m")</f>
        <v>6</v>
      </c>
      <c r="J127" t="str">
        <f>TEXT(Ventas[[#This Row],[Fecha_venta]],"yyyy")</f>
        <v>2012</v>
      </c>
    </row>
    <row r="128" spans="1:10" x14ac:dyDescent="0.25">
      <c r="A128">
        <v>1</v>
      </c>
      <c r="B128" s="1">
        <v>41096</v>
      </c>
      <c r="C128">
        <v>0</v>
      </c>
      <c r="D128">
        <v>81.569999999999993</v>
      </c>
      <c r="E128">
        <v>3.2269999999999999</v>
      </c>
      <c r="F128">
        <v>221.88377890000001</v>
      </c>
      <c r="G128">
        <v>1769854.16</v>
      </c>
      <c r="H128" t="str">
        <f>TEXT(Ventas[[#This Row],[Fecha_venta]],"dd")</f>
        <v>06</v>
      </c>
      <c r="I128" t="str">
        <f>TEXT(Ventas[[#This Row],[Fecha_venta]],"m")</f>
        <v>7</v>
      </c>
      <c r="J128" t="str">
        <f>TEXT(Ventas[[#This Row],[Fecha_venta]],"yyyy")</f>
        <v>2012</v>
      </c>
    </row>
    <row r="129" spans="1:10" x14ac:dyDescent="0.25">
      <c r="A129">
        <v>1</v>
      </c>
      <c r="B129" s="1">
        <v>41103</v>
      </c>
      <c r="C129">
        <v>0</v>
      </c>
      <c r="D129">
        <v>77.12</v>
      </c>
      <c r="E129">
        <v>3.2559999999999998</v>
      </c>
      <c r="F129">
        <v>221.92415790000001</v>
      </c>
      <c r="G129">
        <v>1527014.04</v>
      </c>
      <c r="H129" t="str">
        <f>TEXT(Ventas[[#This Row],[Fecha_venta]],"dd")</f>
        <v>13</v>
      </c>
      <c r="I129" t="str">
        <f>TEXT(Ventas[[#This Row],[Fecha_venta]],"m")</f>
        <v>7</v>
      </c>
      <c r="J129" t="str">
        <f>TEXT(Ventas[[#This Row],[Fecha_venta]],"yyyy")</f>
        <v>2012</v>
      </c>
    </row>
    <row r="130" spans="1:10" x14ac:dyDescent="0.25">
      <c r="A130">
        <v>1</v>
      </c>
      <c r="B130" s="1">
        <v>41110</v>
      </c>
      <c r="C130">
        <v>0</v>
      </c>
      <c r="D130">
        <v>80.42</v>
      </c>
      <c r="E130">
        <v>3.3109999999999999</v>
      </c>
      <c r="F130">
        <v>221.93272669999999</v>
      </c>
      <c r="G130">
        <v>1497954.76</v>
      </c>
      <c r="H130" t="str">
        <f>TEXT(Ventas[[#This Row],[Fecha_venta]],"dd")</f>
        <v>20</v>
      </c>
      <c r="I130" t="str">
        <f>TEXT(Ventas[[#This Row],[Fecha_venta]],"m")</f>
        <v>7</v>
      </c>
      <c r="J130" t="str">
        <f>TEXT(Ventas[[#This Row],[Fecha_venta]],"yyyy")</f>
        <v>2012</v>
      </c>
    </row>
    <row r="131" spans="1:10" x14ac:dyDescent="0.25">
      <c r="A131">
        <v>1</v>
      </c>
      <c r="B131" s="1">
        <v>41117</v>
      </c>
      <c r="C131">
        <v>0</v>
      </c>
      <c r="D131">
        <v>82.66</v>
      </c>
      <c r="E131">
        <v>3.407</v>
      </c>
      <c r="F131">
        <v>221.9412954</v>
      </c>
      <c r="G131">
        <v>1439123.71</v>
      </c>
      <c r="H131" t="str">
        <f>TEXT(Ventas[[#This Row],[Fecha_venta]],"dd")</f>
        <v>27</v>
      </c>
      <c r="I131" t="str">
        <f>TEXT(Ventas[[#This Row],[Fecha_venta]],"m")</f>
        <v>7</v>
      </c>
      <c r="J131" t="str">
        <f>TEXT(Ventas[[#This Row],[Fecha_venta]],"yyyy")</f>
        <v>2012</v>
      </c>
    </row>
    <row r="132" spans="1:10" x14ac:dyDescent="0.25">
      <c r="A132">
        <v>1</v>
      </c>
      <c r="B132" s="1">
        <v>41124</v>
      </c>
      <c r="C132">
        <v>0</v>
      </c>
      <c r="D132">
        <v>86.11</v>
      </c>
      <c r="E132">
        <v>0</v>
      </c>
      <c r="F132">
        <v>221.94986420000001</v>
      </c>
      <c r="G132">
        <v>1631135.79</v>
      </c>
      <c r="H132" t="str">
        <f>TEXT(Ventas[[#This Row],[Fecha_venta]],"dd")</f>
        <v>03</v>
      </c>
      <c r="I132" t="str">
        <f>TEXT(Ventas[[#This Row],[Fecha_venta]],"m")</f>
        <v>8</v>
      </c>
      <c r="J132" t="str">
        <f>TEXT(Ventas[[#This Row],[Fecha_venta]],"yyyy")</f>
        <v>2012</v>
      </c>
    </row>
    <row r="133" spans="1:10" x14ac:dyDescent="0.25">
      <c r="A133">
        <v>1</v>
      </c>
      <c r="B133" s="1">
        <v>41131</v>
      </c>
      <c r="C133">
        <v>0</v>
      </c>
      <c r="D133">
        <v>85.05</v>
      </c>
      <c r="E133">
        <v>3.4940000000000002</v>
      </c>
      <c r="F133">
        <v>221.95843289999999</v>
      </c>
      <c r="G133">
        <v>1592409.97</v>
      </c>
      <c r="H133" t="str">
        <f>TEXT(Ventas[[#This Row],[Fecha_venta]],"dd")</f>
        <v>10</v>
      </c>
      <c r="I133" t="str">
        <f>TEXT(Ventas[[#This Row],[Fecha_venta]],"m")</f>
        <v>8</v>
      </c>
      <c r="J133" t="str">
        <f>TEXT(Ventas[[#This Row],[Fecha_venta]],"yyyy")</f>
        <v>2012</v>
      </c>
    </row>
    <row r="134" spans="1:10" x14ac:dyDescent="0.25">
      <c r="A134">
        <v>1</v>
      </c>
      <c r="B134" s="1">
        <v>41138</v>
      </c>
      <c r="C134">
        <v>0</v>
      </c>
      <c r="D134">
        <v>84.85</v>
      </c>
      <c r="E134">
        <v>3.5710000000000002</v>
      </c>
      <c r="F134">
        <v>222.0384109</v>
      </c>
      <c r="G134">
        <v>1597868.05</v>
      </c>
      <c r="H134" t="str">
        <f>TEXT(Ventas[[#This Row],[Fecha_venta]],"dd")</f>
        <v>17</v>
      </c>
      <c r="I134" t="str">
        <f>TEXT(Ventas[[#This Row],[Fecha_venta]],"m")</f>
        <v>8</v>
      </c>
      <c r="J134" t="str">
        <f>TEXT(Ventas[[#This Row],[Fecha_venta]],"yyyy")</f>
        <v>2012</v>
      </c>
    </row>
    <row r="135" spans="1:10" x14ac:dyDescent="0.25">
      <c r="A135">
        <v>1</v>
      </c>
      <c r="B135" s="1">
        <v>41145</v>
      </c>
      <c r="C135">
        <v>0</v>
      </c>
      <c r="D135">
        <v>77.66</v>
      </c>
      <c r="E135">
        <v>3.62</v>
      </c>
      <c r="F135">
        <v>222.17194570000001</v>
      </c>
      <c r="G135">
        <v>1494122.38</v>
      </c>
      <c r="H135" t="str">
        <f>TEXT(Ventas[[#This Row],[Fecha_venta]],"dd")</f>
        <v>24</v>
      </c>
      <c r="I135" t="str">
        <f>TEXT(Ventas[[#This Row],[Fecha_venta]],"m")</f>
        <v>8</v>
      </c>
      <c r="J135" t="str">
        <f>TEXT(Ventas[[#This Row],[Fecha_venta]],"yyyy")</f>
        <v>2012</v>
      </c>
    </row>
    <row r="136" spans="1:10" x14ac:dyDescent="0.25">
      <c r="A136">
        <v>1</v>
      </c>
      <c r="B136" s="1">
        <v>41152</v>
      </c>
      <c r="C136">
        <v>0</v>
      </c>
      <c r="D136">
        <v>80.489999999999995</v>
      </c>
      <c r="E136">
        <v>3.6379999999999999</v>
      </c>
      <c r="F136">
        <v>222.30548049999999</v>
      </c>
      <c r="G136">
        <v>1582083.4</v>
      </c>
      <c r="H136" t="str">
        <f>TEXT(Ventas[[#This Row],[Fecha_venta]],"dd")</f>
        <v>31</v>
      </c>
      <c r="I136" t="str">
        <f>TEXT(Ventas[[#This Row],[Fecha_venta]],"m")</f>
        <v>8</v>
      </c>
      <c r="J136" t="str">
        <f>TEXT(Ventas[[#This Row],[Fecha_venta]],"yyyy")</f>
        <v>2012</v>
      </c>
    </row>
    <row r="137" spans="1:10" x14ac:dyDescent="0.25">
      <c r="A137">
        <v>1</v>
      </c>
      <c r="B137" s="1">
        <v>41159</v>
      </c>
      <c r="C137">
        <v>1</v>
      </c>
      <c r="D137">
        <v>83.96</v>
      </c>
      <c r="E137">
        <v>3.73</v>
      </c>
      <c r="F137">
        <v>222.43901529999999</v>
      </c>
      <c r="G137">
        <v>1661767.33</v>
      </c>
      <c r="H137" t="str">
        <f>TEXT(Ventas[[#This Row],[Fecha_venta]],"dd")</f>
        <v>07</v>
      </c>
      <c r="I137" t="str">
        <f>TEXT(Ventas[[#This Row],[Fecha_venta]],"m")</f>
        <v>9</v>
      </c>
      <c r="J137" t="str">
        <f>TEXT(Ventas[[#This Row],[Fecha_venta]],"yyyy")</f>
        <v>2012</v>
      </c>
    </row>
    <row r="138" spans="1:10" x14ac:dyDescent="0.25">
      <c r="A138">
        <v>1</v>
      </c>
      <c r="B138" s="1">
        <v>41166</v>
      </c>
      <c r="C138">
        <v>0</v>
      </c>
      <c r="D138">
        <v>74.97</v>
      </c>
      <c r="E138">
        <v>3.7170000000000001</v>
      </c>
      <c r="F138">
        <v>222.58201930000001</v>
      </c>
      <c r="G138">
        <v>1517428.87</v>
      </c>
      <c r="H138" t="str">
        <f>TEXT(Ventas[[#This Row],[Fecha_venta]],"dd")</f>
        <v>14</v>
      </c>
      <c r="I138" t="str">
        <f>TEXT(Ventas[[#This Row],[Fecha_venta]],"m")</f>
        <v>9</v>
      </c>
      <c r="J138" t="str">
        <f>TEXT(Ventas[[#This Row],[Fecha_venta]],"yyyy")</f>
        <v>2012</v>
      </c>
    </row>
    <row r="139" spans="1:10" x14ac:dyDescent="0.25">
      <c r="A139">
        <v>1</v>
      </c>
      <c r="B139" s="1">
        <v>41173</v>
      </c>
      <c r="C139">
        <v>0</v>
      </c>
      <c r="D139">
        <v>69.87</v>
      </c>
      <c r="E139">
        <v>3.7210000000000001</v>
      </c>
      <c r="F139">
        <v>222.78183859999999</v>
      </c>
      <c r="G139">
        <v>1506126.06</v>
      </c>
      <c r="H139" t="str">
        <f>TEXT(Ventas[[#This Row],[Fecha_venta]],"dd")</f>
        <v>21</v>
      </c>
      <c r="I139" t="str">
        <f>TEXT(Ventas[[#This Row],[Fecha_venta]],"m")</f>
        <v>9</v>
      </c>
      <c r="J139" t="str">
        <f>TEXT(Ventas[[#This Row],[Fecha_venta]],"yyyy")</f>
        <v>2012</v>
      </c>
    </row>
    <row r="140" spans="1:10" x14ac:dyDescent="0.25">
      <c r="A140">
        <v>1</v>
      </c>
      <c r="B140" s="1">
        <v>41180</v>
      </c>
      <c r="C140">
        <v>0</v>
      </c>
      <c r="D140">
        <v>76.08</v>
      </c>
      <c r="E140">
        <v>3.6659999999999999</v>
      </c>
      <c r="F140">
        <v>222.98165789999999</v>
      </c>
      <c r="G140">
        <v>1437059.26</v>
      </c>
      <c r="H140" t="str">
        <f>TEXT(Ventas[[#This Row],[Fecha_venta]],"dd")</f>
        <v>28</v>
      </c>
      <c r="I140" t="str">
        <f>TEXT(Ventas[[#This Row],[Fecha_venta]],"m")</f>
        <v>9</v>
      </c>
      <c r="J140" t="str">
        <f>TEXT(Ventas[[#This Row],[Fecha_venta]],"yyyy")</f>
        <v>2012</v>
      </c>
    </row>
    <row r="141" spans="1:10" x14ac:dyDescent="0.25">
      <c r="A141">
        <v>1</v>
      </c>
      <c r="B141" s="1">
        <v>41187</v>
      </c>
      <c r="C141">
        <v>0</v>
      </c>
      <c r="D141">
        <v>68.55</v>
      </c>
      <c r="E141">
        <v>3.617</v>
      </c>
      <c r="F141">
        <v>223.18147719999999</v>
      </c>
      <c r="G141">
        <v>1670785.97</v>
      </c>
      <c r="H141" t="str">
        <f>TEXT(Ventas[[#This Row],[Fecha_venta]],"dd")</f>
        <v>05</v>
      </c>
      <c r="I141" t="str">
        <f>TEXT(Ventas[[#This Row],[Fecha_venta]],"m")</f>
        <v>10</v>
      </c>
      <c r="J141" t="str">
        <f>TEXT(Ventas[[#This Row],[Fecha_venta]],"yyyy")</f>
        <v>2012</v>
      </c>
    </row>
    <row r="142" spans="1:10" x14ac:dyDescent="0.25">
      <c r="A142">
        <v>1</v>
      </c>
      <c r="B142" s="1">
        <v>41194</v>
      </c>
      <c r="C142">
        <v>0</v>
      </c>
      <c r="D142">
        <v>62.99</v>
      </c>
      <c r="E142">
        <v>3.601</v>
      </c>
      <c r="F142">
        <v>223.38129649999999</v>
      </c>
      <c r="G142">
        <v>1573072.81</v>
      </c>
      <c r="H142" t="str">
        <f>TEXT(Ventas[[#This Row],[Fecha_venta]],"dd")</f>
        <v>12</v>
      </c>
      <c r="I142" t="str">
        <f>TEXT(Ventas[[#This Row],[Fecha_venta]],"m")</f>
        <v>10</v>
      </c>
      <c r="J142" t="str">
        <f>TEXT(Ventas[[#This Row],[Fecha_venta]],"yyyy")</f>
        <v>2012</v>
      </c>
    </row>
    <row r="143" spans="1:10" x14ac:dyDescent="0.25">
      <c r="A143">
        <v>1</v>
      </c>
      <c r="B143" s="1">
        <v>41201</v>
      </c>
      <c r="C143">
        <v>0</v>
      </c>
      <c r="D143">
        <v>67.97</v>
      </c>
      <c r="E143">
        <v>3.5939999999999999</v>
      </c>
      <c r="F143">
        <v>223.42572329999999</v>
      </c>
      <c r="G143">
        <v>1508068.77</v>
      </c>
      <c r="H143" t="str">
        <f>TEXT(Ventas[[#This Row],[Fecha_venta]],"dd")</f>
        <v>19</v>
      </c>
      <c r="I143" t="str">
        <f>TEXT(Ventas[[#This Row],[Fecha_venta]],"m")</f>
        <v>10</v>
      </c>
      <c r="J143" t="str">
        <f>TEXT(Ventas[[#This Row],[Fecha_venta]],"yyyy")</f>
        <v>2012</v>
      </c>
    </row>
    <row r="144" spans="1:10" x14ac:dyDescent="0.25">
      <c r="A144">
        <v>1</v>
      </c>
      <c r="B144" s="1">
        <v>41208</v>
      </c>
      <c r="C144">
        <v>0</v>
      </c>
      <c r="D144">
        <v>69.16</v>
      </c>
      <c r="E144">
        <v>3.5059999999999998</v>
      </c>
      <c r="F144">
        <v>223.44425129999999</v>
      </c>
      <c r="G144">
        <v>1493659.74</v>
      </c>
      <c r="H144" t="str">
        <f>TEXT(Ventas[[#This Row],[Fecha_venta]],"dd")</f>
        <v>26</v>
      </c>
      <c r="I144" t="str">
        <f>TEXT(Ventas[[#This Row],[Fecha_venta]],"m")</f>
        <v>10</v>
      </c>
      <c r="J144" t="str">
        <f>TEXT(Ventas[[#This Row],[Fecha_venta]],"yyyy")</f>
        <v>2012</v>
      </c>
    </row>
    <row r="145" spans="1:10" x14ac:dyDescent="0.25">
      <c r="A145">
        <v>2</v>
      </c>
      <c r="B145" s="1">
        <v>40214</v>
      </c>
      <c r="C145">
        <v>0</v>
      </c>
      <c r="D145">
        <v>40.19</v>
      </c>
      <c r="E145">
        <v>2.5720000000000001</v>
      </c>
      <c r="F145">
        <v>210.7526053</v>
      </c>
      <c r="G145">
        <v>2136989.46</v>
      </c>
      <c r="H145" t="str">
        <f>TEXT(Ventas[[#This Row],[Fecha_venta]],"dd")</f>
        <v>05</v>
      </c>
      <c r="I145" t="str">
        <f>TEXT(Ventas[[#This Row],[Fecha_venta]],"m")</f>
        <v>2</v>
      </c>
      <c r="J145" t="str">
        <f>TEXT(Ventas[[#This Row],[Fecha_venta]],"yyyy")</f>
        <v>2010</v>
      </c>
    </row>
    <row r="146" spans="1:10" x14ac:dyDescent="0.25">
      <c r="A146">
        <v>2</v>
      </c>
      <c r="B146" s="1">
        <v>40221</v>
      </c>
      <c r="C146">
        <v>1</v>
      </c>
      <c r="D146">
        <v>38.49</v>
      </c>
      <c r="E146">
        <v>2.548</v>
      </c>
      <c r="F146">
        <v>210.89799350000001</v>
      </c>
      <c r="G146">
        <v>2137809.5</v>
      </c>
      <c r="H146" t="str">
        <f>TEXT(Ventas[[#This Row],[Fecha_venta]],"dd")</f>
        <v>12</v>
      </c>
      <c r="I146" t="str">
        <f>TEXT(Ventas[[#This Row],[Fecha_venta]],"m")</f>
        <v>2</v>
      </c>
      <c r="J146" t="str">
        <f>TEXT(Ventas[[#This Row],[Fecha_venta]],"yyyy")</f>
        <v>2010</v>
      </c>
    </row>
    <row r="147" spans="1:10" x14ac:dyDescent="0.25">
      <c r="A147">
        <v>2</v>
      </c>
      <c r="B147" s="1">
        <v>40228</v>
      </c>
      <c r="C147">
        <v>0</v>
      </c>
      <c r="D147">
        <v>39.69</v>
      </c>
      <c r="E147">
        <v>2.5139999999999998</v>
      </c>
      <c r="F147">
        <v>210.94516049999999</v>
      </c>
      <c r="G147">
        <v>2124451.54</v>
      </c>
      <c r="H147" t="str">
        <f>TEXT(Ventas[[#This Row],[Fecha_venta]],"dd")</f>
        <v>19</v>
      </c>
      <c r="I147" t="str">
        <f>TEXT(Ventas[[#This Row],[Fecha_venta]],"m")</f>
        <v>2</v>
      </c>
      <c r="J147" t="str">
        <f>TEXT(Ventas[[#This Row],[Fecha_venta]],"yyyy")</f>
        <v>2010</v>
      </c>
    </row>
    <row r="148" spans="1:10" x14ac:dyDescent="0.25">
      <c r="A148">
        <v>2</v>
      </c>
      <c r="B148" s="1">
        <v>40235</v>
      </c>
      <c r="C148">
        <v>0</v>
      </c>
      <c r="D148">
        <v>46.1</v>
      </c>
      <c r="E148">
        <v>2.5609999999999999</v>
      </c>
      <c r="F148">
        <v>210.9759573</v>
      </c>
      <c r="G148">
        <v>1865097.27</v>
      </c>
      <c r="H148" t="str">
        <f>TEXT(Ventas[[#This Row],[Fecha_venta]],"dd")</f>
        <v>26</v>
      </c>
      <c r="I148" t="str">
        <f>TEXT(Ventas[[#This Row],[Fecha_venta]],"m")</f>
        <v>2</v>
      </c>
      <c r="J148" t="str">
        <f>TEXT(Ventas[[#This Row],[Fecha_venta]],"yyyy")</f>
        <v>2010</v>
      </c>
    </row>
    <row r="149" spans="1:10" x14ac:dyDescent="0.25">
      <c r="A149">
        <v>2</v>
      </c>
      <c r="B149" s="1">
        <v>40242</v>
      </c>
      <c r="C149">
        <v>0</v>
      </c>
      <c r="D149">
        <v>47.17</v>
      </c>
      <c r="E149">
        <v>2.625</v>
      </c>
      <c r="F149">
        <v>211.00675419999999</v>
      </c>
      <c r="G149">
        <v>1991013.13</v>
      </c>
      <c r="H149" t="str">
        <f>TEXT(Ventas[[#This Row],[Fecha_venta]],"dd")</f>
        <v>05</v>
      </c>
      <c r="I149" t="str">
        <f>TEXT(Ventas[[#This Row],[Fecha_venta]],"m")</f>
        <v>3</v>
      </c>
      <c r="J149" t="str">
        <f>TEXT(Ventas[[#This Row],[Fecha_venta]],"yyyy")</f>
        <v>2010</v>
      </c>
    </row>
    <row r="150" spans="1:10" x14ac:dyDescent="0.25">
      <c r="A150">
        <v>2</v>
      </c>
      <c r="B150" s="1">
        <v>40249</v>
      </c>
      <c r="C150">
        <v>2</v>
      </c>
      <c r="D150">
        <v>57.56</v>
      </c>
      <c r="E150">
        <v>2.6669999999999998</v>
      </c>
      <c r="F150">
        <v>211.03755100000001</v>
      </c>
      <c r="G150">
        <v>1990483.78</v>
      </c>
      <c r="H150" t="str">
        <f>TEXT(Ventas[[#This Row],[Fecha_venta]],"dd")</f>
        <v>12</v>
      </c>
      <c r="I150" t="str">
        <f>TEXT(Ventas[[#This Row],[Fecha_venta]],"m")</f>
        <v>3</v>
      </c>
      <c r="J150" t="str">
        <f>TEXT(Ventas[[#This Row],[Fecha_venta]],"yyyy")</f>
        <v>2010</v>
      </c>
    </row>
    <row r="151" spans="1:10" x14ac:dyDescent="0.25">
      <c r="A151">
        <v>2</v>
      </c>
      <c r="B151" s="1">
        <v>40256</v>
      </c>
      <c r="C151">
        <v>0</v>
      </c>
      <c r="D151">
        <v>54.52</v>
      </c>
      <c r="E151">
        <v>2.72</v>
      </c>
      <c r="F151">
        <v>210.8733316</v>
      </c>
      <c r="G151">
        <v>1946070.88</v>
      </c>
      <c r="H151" t="str">
        <f>TEXT(Ventas[[#This Row],[Fecha_venta]],"dd")</f>
        <v>19</v>
      </c>
      <c r="I151" t="str">
        <f>TEXT(Ventas[[#This Row],[Fecha_venta]],"m")</f>
        <v>3</v>
      </c>
      <c r="J151" t="str">
        <f>TEXT(Ventas[[#This Row],[Fecha_venta]],"yyyy")</f>
        <v>2010</v>
      </c>
    </row>
    <row r="152" spans="1:10" x14ac:dyDescent="0.25">
      <c r="A152">
        <v>2</v>
      </c>
      <c r="B152" s="1">
        <v>40263</v>
      </c>
      <c r="C152">
        <v>0</v>
      </c>
      <c r="D152">
        <v>51.26</v>
      </c>
      <c r="E152">
        <v>2.7320000000000002</v>
      </c>
      <c r="F152">
        <v>210.67660950000001</v>
      </c>
      <c r="G152">
        <v>1750197.81</v>
      </c>
      <c r="H152" t="str">
        <f>TEXT(Ventas[[#This Row],[Fecha_venta]],"dd")</f>
        <v>26</v>
      </c>
      <c r="I152" t="str">
        <f>TEXT(Ventas[[#This Row],[Fecha_venta]],"m")</f>
        <v>3</v>
      </c>
      <c r="J152" t="str">
        <f>TEXT(Ventas[[#This Row],[Fecha_venta]],"yyyy")</f>
        <v>2010</v>
      </c>
    </row>
    <row r="153" spans="1:10" x14ac:dyDescent="0.25">
      <c r="A153">
        <v>2</v>
      </c>
      <c r="B153" s="1">
        <v>40270</v>
      </c>
      <c r="C153">
        <v>0</v>
      </c>
      <c r="D153">
        <v>63.27</v>
      </c>
      <c r="E153">
        <v>2.7189999999999999</v>
      </c>
      <c r="F153">
        <v>210.4798874</v>
      </c>
      <c r="G153">
        <v>2066187.72</v>
      </c>
      <c r="H153" t="str">
        <f>TEXT(Ventas[[#This Row],[Fecha_venta]],"dd")</f>
        <v>02</v>
      </c>
      <c r="I153" t="str">
        <f>TEXT(Ventas[[#This Row],[Fecha_venta]],"m")</f>
        <v>4</v>
      </c>
      <c r="J153" t="str">
        <f>TEXT(Ventas[[#This Row],[Fecha_venta]],"yyyy")</f>
        <v>2010</v>
      </c>
    </row>
    <row r="154" spans="1:10" x14ac:dyDescent="0.25">
      <c r="A154">
        <v>2</v>
      </c>
      <c r="B154" s="1">
        <v>40277</v>
      </c>
      <c r="C154">
        <v>0</v>
      </c>
      <c r="D154">
        <v>65.41</v>
      </c>
      <c r="E154">
        <v>2.77</v>
      </c>
      <c r="F154">
        <v>210.28316530000001</v>
      </c>
      <c r="G154">
        <v>1954689.21</v>
      </c>
      <c r="H154" t="str">
        <f>TEXT(Ventas[[#This Row],[Fecha_venta]],"dd")</f>
        <v>09</v>
      </c>
      <c r="I154" t="str">
        <f>TEXT(Ventas[[#This Row],[Fecha_venta]],"m")</f>
        <v>4</v>
      </c>
      <c r="J154" t="str">
        <f>TEXT(Ventas[[#This Row],[Fecha_venta]],"yyyy")</f>
        <v>2010</v>
      </c>
    </row>
    <row r="155" spans="1:10" x14ac:dyDescent="0.25">
      <c r="A155">
        <v>2</v>
      </c>
      <c r="B155" s="1">
        <v>40284</v>
      </c>
      <c r="C155">
        <v>0</v>
      </c>
      <c r="D155">
        <v>68.069999999999993</v>
      </c>
      <c r="E155">
        <v>2.8079999999999998</v>
      </c>
      <c r="F155">
        <v>210.1495463</v>
      </c>
      <c r="G155">
        <v>1874957.94</v>
      </c>
      <c r="H155" t="str">
        <f>TEXT(Ventas[[#This Row],[Fecha_venta]],"dd")</f>
        <v>16</v>
      </c>
      <c r="I155" t="str">
        <f>TEXT(Ventas[[#This Row],[Fecha_venta]],"m")</f>
        <v>4</v>
      </c>
      <c r="J155" t="str">
        <f>TEXT(Ventas[[#This Row],[Fecha_venta]],"yyyy")</f>
        <v>2010</v>
      </c>
    </row>
    <row r="156" spans="1:10" x14ac:dyDescent="0.25">
      <c r="A156">
        <v>2</v>
      </c>
      <c r="B156" s="1">
        <v>40291</v>
      </c>
      <c r="C156">
        <v>0</v>
      </c>
      <c r="D156">
        <v>65.11</v>
      </c>
      <c r="E156">
        <v>2.7949999999999999</v>
      </c>
      <c r="F156">
        <v>210.10006480000001</v>
      </c>
      <c r="G156">
        <v>1821990.93</v>
      </c>
      <c r="H156" t="str">
        <f>TEXT(Ventas[[#This Row],[Fecha_venta]],"dd")</f>
        <v>23</v>
      </c>
      <c r="I156" t="str">
        <f>TEXT(Ventas[[#This Row],[Fecha_venta]],"m")</f>
        <v>4</v>
      </c>
      <c r="J156" t="str">
        <f>TEXT(Ventas[[#This Row],[Fecha_venta]],"yyyy")</f>
        <v>2010</v>
      </c>
    </row>
    <row r="157" spans="1:10" x14ac:dyDescent="0.25">
      <c r="A157">
        <v>2</v>
      </c>
      <c r="B157" s="1">
        <v>40298</v>
      </c>
      <c r="C157">
        <v>0</v>
      </c>
      <c r="D157">
        <v>66.98</v>
      </c>
      <c r="E157">
        <v>2.78</v>
      </c>
      <c r="F157">
        <v>210.0505833</v>
      </c>
      <c r="G157">
        <v>1802450.29</v>
      </c>
      <c r="H157" t="str">
        <f>TEXT(Ventas[[#This Row],[Fecha_venta]],"dd")</f>
        <v>30</v>
      </c>
      <c r="I157" t="str">
        <f>TEXT(Ventas[[#This Row],[Fecha_venta]],"m")</f>
        <v>4</v>
      </c>
      <c r="J157" t="str">
        <f>TEXT(Ventas[[#This Row],[Fecha_venta]],"yyyy")</f>
        <v>2010</v>
      </c>
    </row>
    <row r="158" spans="1:10" x14ac:dyDescent="0.25">
      <c r="A158">
        <v>2</v>
      </c>
      <c r="B158" s="1">
        <v>40305</v>
      </c>
      <c r="C158">
        <v>0</v>
      </c>
      <c r="D158">
        <v>71.28</v>
      </c>
      <c r="E158">
        <v>2.835</v>
      </c>
      <c r="F158">
        <v>210.00110179999999</v>
      </c>
      <c r="G158">
        <v>2042581.71</v>
      </c>
      <c r="H158" t="str">
        <f>TEXT(Ventas[[#This Row],[Fecha_venta]],"dd")</f>
        <v>07</v>
      </c>
      <c r="I158" t="str">
        <f>TEXT(Ventas[[#This Row],[Fecha_venta]],"m")</f>
        <v>5</v>
      </c>
      <c r="J158" t="str">
        <f>TEXT(Ventas[[#This Row],[Fecha_venta]],"yyyy")</f>
        <v>2010</v>
      </c>
    </row>
    <row r="159" spans="1:10" x14ac:dyDescent="0.25">
      <c r="A159">
        <v>2</v>
      </c>
      <c r="B159" s="1">
        <v>40312</v>
      </c>
      <c r="C159">
        <v>0</v>
      </c>
      <c r="D159">
        <v>73.31</v>
      </c>
      <c r="E159">
        <v>2.8540000000000001</v>
      </c>
      <c r="F159">
        <v>209.9984585</v>
      </c>
      <c r="G159">
        <v>1880752.36</v>
      </c>
      <c r="H159" t="str">
        <f>TEXT(Ventas[[#This Row],[Fecha_venta]],"dd")</f>
        <v>14</v>
      </c>
      <c r="I159" t="str">
        <f>TEXT(Ventas[[#This Row],[Fecha_venta]],"m")</f>
        <v>5</v>
      </c>
      <c r="J159" t="str">
        <f>TEXT(Ventas[[#This Row],[Fecha_venta]],"yyyy")</f>
        <v>2010</v>
      </c>
    </row>
    <row r="160" spans="1:10" x14ac:dyDescent="0.25">
      <c r="A160">
        <v>2</v>
      </c>
      <c r="B160" s="1">
        <v>40319</v>
      </c>
      <c r="C160">
        <v>0</v>
      </c>
      <c r="D160">
        <v>74.83</v>
      </c>
      <c r="E160">
        <v>2.8260000000000001</v>
      </c>
      <c r="F160">
        <v>210.27684429999999</v>
      </c>
      <c r="G160">
        <v>1896937.1</v>
      </c>
      <c r="H160" t="str">
        <f>TEXT(Ventas[[#This Row],[Fecha_venta]],"dd")</f>
        <v>21</v>
      </c>
      <c r="I160" t="str">
        <f>TEXT(Ventas[[#This Row],[Fecha_venta]],"m")</f>
        <v>5</v>
      </c>
      <c r="J160" t="str">
        <f>TEXT(Ventas[[#This Row],[Fecha_venta]],"yyyy")</f>
        <v>2010</v>
      </c>
    </row>
    <row r="161" spans="1:10" x14ac:dyDescent="0.25">
      <c r="A161">
        <v>2</v>
      </c>
      <c r="B161" s="1">
        <v>40326</v>
      </c>
      <c r="C161">
        <v>0</v>
      </c>
      <c r="D161">
        <v>81.13</v>
      </c>
      <c r="E161">
        <v>2.7589999999999999</v>
      </c>
      <c r="F161">
        <v>210.55523009999999</v>
      </c>
      <c r="G161">
        <v>1957113.89</v>
      </c>
      <c r="H161" t="str">
        <f>TEXT(Ventas[[#This Row],[Fecha_venta]],"dd")</f>
        <v>28</v>
      </c>
      <c r="I161" t="str">
        <f>TEXT(Ventas[[#This Row],[Fecha_venta]],"m")</f>
        <v>5</v>
      </c>
      <c r="J161" t="str">
        <f>TEXT(Ventas[[#This Row],[Fecha_venta]],"yyyy")</f>
        <v>2010</v>
      </c>
    </row>
    <row r="162" spans="1:10" x14ac:dyDescent="0.25">
      <c r="A162">
        <v>2</v>
      </c>
      <c r="B162" s="1">
        <v>40333</v>
      </c>
      <c r="C162">
        <v>0</v>
      </c>
      <c r="D162">
        <v>81.81</v>
      </c>
      <c r="E162">
        <v>2.7050000000000001</v>
      </c>
      <c r="F162">
        <v>210.83361600000001</v>
      </c>
      <c r="G162">
        <v>2102539.9300000002</v>
      </c>
      <c r="H162" t="str">
        <f>TEXT(Ventas[[#This Row],[Fecha_venta]],"dd")</f>
        <v>04</v>
      </c>
      <c r="I162" t="str">
        <f>TEXT(Ventas[[#This Row],[Fecha_venta]],"m")</f>
        <v>6</v>
      </c>
      <c r="J162" t="str">
        <f>TEXT(Ventas[[#This Row],[Fecha_venta]],"yyyy")</f>
        <v>2010</v>
      </c>
    </row>
    <row r="163" spans="1:10" x14ac:dyDescent="0.25">
      <c r="A163">
        <v>2</v>
      </c>
      <c r="B163" s="1">
        <v>40340</v>
      </c>
      <c r="C163">
        <v>0</v>
      </c>
      <c r="D163">
        <v>83.4</v>
      </c>
      <c r="E163">
        <v>2.6680000000000001</v>
      </c>
      <c r="F163">
        <v>211.1120018</v>
      </c>
      <c r="G163">
        <v>2025538.76</v>
      </c>
      <c r="H163" t="str">
        <f>TEXT(Ventas[[#This Row],[Fecha_venta]],"dd")</f>
        <v>11</v>
      </c>
      <c r="I163" t="str">
        <f>TEXT(Ventas[[#This Row],[Fecha_venta]],"m")</f>
        <v>6</v>
      </c>
      <c r="J163" t="str">
        <f>TEXT(Ventas[[#This Row],[Fecha_venta]],"yyyy")</f>
        <v>2010</v>
      </c>
    </row>
    <row r="164" spans="1:10" x14ac:dyDescent="0.25">
      <c r="A164">
        <v>2</v>
      </c>
      <c r="B164" s="1">
        <v>40347</v>
      </c>
      <c r="C164">
        <v>0</v>
      </c>
      <c r="D164">
        <v>85.81</v>
      </c>
      <c r="E164">
        <v>2.637</v>
      </c>
      <c r="F164">
        <v>211.10965429999999</v>
      </c>
      <c r="G164">
        <v>2001636.96</v>
      </c>
      <c r="H164" t="str">
        <f>TEXT(Ventas[[#This Row],[Fecha_venta]],"dd")</f>
        <v>18</v>
      </c>
      <c r="I164" t="str">
        <f>TEXT(Ventas[[#This Row],[Fecha_venta]],"m")</f>
        <v>6</v>
      </c>
      <c r="J164" t="str">
        <f>TEXT(Ventas[[#This Row],[Fecha_venta]],"yyyy")</f>
        <v>2010</v>
      </c>
    </row>
    <row r="165" spans="1:10" x14ac:dyDescent="0.25">
      <c r="A165">
        <v>2</v>
      </c>
      <c r="B165" s="1">
        <v>40354</v>
      </c>
      <c r="C165">
        <v>0</v>
      </c>
      <c r="D165">
        <v>86.26</v>
      </c>
      <c r="E165">
        <v>2.653</v>
      </c>
      <c r="F165">
        <v>210.9950134</v>
      </c>
      <c r="G165">
        <v>1939927.09</v>
      </c>
      <c r="H165" t="str">
        <f>TEXT(Ventas[[#This Row],[Fecha_venta]],"dd")</f>
        <v>25</v>
      </c>
      <c r="I165" t="str">
        <f>TEXT(Ventas[[#This Row],[Fecha_venta]],"m")</f>
        <v>6</v>
      </c>
      <c r="J165" t="str">
        <f>TEXT(Ventas[[#This Row],[Fecha_venta]],"yyyy")</f>
        <v>2010</v>
      </c>
    </row>
    <row r="166" spans="1:10" x14ac:dyDescent="0.25">
      <c r="A166">
        <v>2</v>
      </c>
      <c r="B166" s="1">
        <v>40361</v>
      </c>
      <c r="C166">
        <v>0</v>
      </c>
      <c r="D166">
        <v>82.74</v>
      </c>
      <c r="E166">
        <v>2.669</v>
      </c>
      <c r="F166">
        <v>210.88037259999999</v>
      </c>
      <c r="G166">
        <v>2003940.64</v>
      </c>
      <c r="H166" t="str">
        <f>TEXT(Ventas[[#This Row],[Fecha_venta]],"dd")</f>
        <v>02</v>
      </c>
      <c r="I166" t="str">
        <f>TEXT(Ventas[[#This Row],[Fecha_venta]],"m")</f>
        <v>7</v>
      </c>
      <c r="J166" t="str">
        <f>TEXT(Ventas[[#This Row],[Fecha_venta]],"yyyy")</f>
        <v>2010</v>
      </c>
    </row>
    <row r="167" spans="1:10" x14ac:dyDescent="0.25">
      <c r="A167">
        <v>2</v>
      </c>
      <c r="B167" s="1">
        <v>40368</v>
      </c>
      <c r="C167">
        <v>0</v>
      </c>
      <c r="D167">
        <v>82.59</v>
      </c>
      <c r="E167">
        <v>2.6419999999999999</v>
      </c>
      <c r="F167">
        <v>210.7657317</v>
      </c>
      <c r="G167">
        <v>1880902.62</v>
      </c>
      <c r="H167" t="str">
        <f>TEXT(Ventas[[#This Row],[Fecha_venta]],"dd")</f>
        <v>09</v>
      </c>
      <c r="I167" t="str">
        <f>TEXT(Ventas[[#This Row],[Fecha_venta]],"m")</f>
        <v>7</v>
      </c>
      <c r="J167" t="str">
        <f>TEXT(Ventas[[#This Row],[Fecha_venta]],"yyyy")</f>
        <v>2010</v>
      </c>
    </row>
    <row r="168" spans="1:10" x14ac:dyDescent="0.25">
      <c r="A168">
        <v>2</v>
      </c>
      <c r="B168" s="1">
        <v>40375</v>
      </c>
      <c r="C168">
        <v>0</v>
      </c>
      <c r="D168">
        <v>85.32</v>
      </c>
      <c r="E168">
        <v>2.6230000000000002</v>
      </c>
      <c r="F168">
        <v>210.75779539999999</v>
      </c>
      <c r="G168">
        <v>1845879.79</v>
      </c>
      <c r="H168" t="str">
        <f>TEXT(Ventas[[#This Row],[Fecha_venta]],"dd")</f>
        <v>16</v>
      </c>
      <c r="I168" t="str">
        <f>TEXT(Ventas[[#This Row],[Fecha_venta]],"m")</f>
        <v>7</v>
      </c>
      <c r="J168" t="str">
        <f>TEXT(Ventas[[#This Row],[Fecha_venta]],"yyyy")</f>
        <v>2010</v>
      </c>
    </row>
    <row r="169" spans="1:10" x14ac:dyDescent="0.25">
      <c r="A169">
        <v>2</v>
      </c>
      <c r="B169" s="1">
        <v>40382</v>
      </c>
      <c r="C169">
        <v>0</v>
      </c>
      <c r="D169">
        <v>87.66</v>
      </c>
      <c r="E169">
        <v>2.6080000000000001</v>
      </c>
      <c r="F169">
        <v>210.89213190000001</v>
      </c>
      <c r="G169">
        <v>1781717.71</v>
      </c>
      <c r="H169" t="str">
        <f>TEXT(Ventas[[#This Row],[Fecha_venta]],"dd")</f>
        <v>23</v>
      </c>
      <c r="I169" t="str">
        <f>TEXT(Ventas[[#This Row],[Fecha_venta]],"m")</f>
        <v>7</v>
      </c>
      <c r="J169" t="str">
        <f>TEXT(Ventas[[#This Row],[Fecha_venta]],"yyyy")</f>
        <v>2010</v>
      </c>
    </row>
    <row r="170" spans="1:10" x14ac:dyDescent="0.25">
      <c r="A170">
        <v>2</v>
      </c>
      <c r="B170" s="1">
        <v>40389</v>
      </c>
      <c r="C170">
        <v>0</v>
      </c>
      <c r="D170">
        <v>83.49</v>
      </c>
      <c r="E170">
        <v>2.64</v>
      </c>
      <c r="F170">
        <v>211.0264684</v>
      </c>
      <c r="G170">
        <v>1804246.16</v>
      </c>
      <c r="H170" t="str">
        <f>TEXT(Ventas[[#This Row],[Fecha_venta]],"dd")</f>
        <v>30</v>
      </c>
      <c r="I170" t="str">
        <f>TEXT(Ventas[[#This Row],[Fecha_venta]],"m")</f>
        <v>7</v>
      </c>
      <c r="J170" t="str">
        <f>TEXT(Ventas[[#This Row],[Fecha_venta]],"yyyy")</f>
        <v>2010</v>
      </c>
    </row>
    <row r="171" spans="1:10" x14ac:dyDescent="0.25">
      <c r="A171">
        <v>2</v>
      </c>
      <c r="B171" s="1">
        <v>40396</v>
      </c>
      <c r="C171">
        <v>0</v>
      </c>
      <c r="D171">
        <v>89.53</v>
      </c>
      <c r="E171">
        <v>2.6269999999999998</v>
      </c>
      <c r="F171">
        <v>211.16080489999999</v>
      </c>
      <c r="G171">
        <v>1991909.98</v>
      </c>
      <c r="H171" t="str">
        <f>TEXT(Ventas[[#This Row],[Fecha_venta]],"dd")</f>
        <v>06</v>
      </c>
      <c r="I171" t="str">
        <f>TEXT(Ventas[[#This Row],[Fecha_venta]],"m")</f>
        <v>8</v>
      </c>
      <c r="J171" t="str">
        <f>TEXT(Ventas[[#This Row],[Fecha_venta]],"yyyy")</f>
        <v>2010</v>
      </c>
    </row>
    <row r="172" spans="1:10" x14ac:dyDescent="0.25">
      <c r="A172">
        <v>2</v>
      </c>
      <c r="B172" s="1">
        <v>40403</v>
      </c>
      <c r="C172">
        <v>0</v>
      </c>
      <c r="D172">
        <v>89.05</v>
      </c>
      <c r="E172">
        <v>2.6920000000000002</v>
      </c>
      <c r="F172">
        <v>211.29514130000001</v>
      </c>
      <c r="G172">
        <v>1895601.05</v>
      </c>
      <c r="H172" t="str">
        <f>TEXT(Ventas[[#This Row],[Fecha_venta]],"dd")</f>
        <v>13</v>
      </c>
      <c r="I172" t="str">
        <f>TEXT(Ventas[[#This Row],[Fecha_venta]],"m")</f>
        <v>8</v>
      </c>
      <c r="J172" t="str">
        <f>TEXT(Ventas[[#This Row],[Fecha_venta]],"yyyy")</f>
        <v>2010</v>
      </c>
    </row>
    <row r="173" spans="1:10" x14ac:dyDescent="0.25">
      <c r="A173">
        <v>2</v>
      </c>
      <c r="B173" s="1">
        <v>40410</v>
      </c>
      <c r="C173">
        <v>0</v>
      </c>
      <c r="D173">
        <v>88.7</v>
      </c>
      <c r="E173">
        <v>2.6640000000000001</v>
      </c>
      <c r="F173">
        <v>211.25965859999999</v>
      </c>
      <c r="G173">
        <v>1964335.23</v>
      </c>
      <c r="H173" t="str">
        <f>TEXT(Ventas[[#This Row],[Fecha_venta]],"dd")</f>
        <v>20</v>
      </c>
      <c r="I173" t="str">
        <f>TEXT(Ventas[[#This Row],[Fecha_venta]],"m")</f>
        <v>8</v>
      </c>
      <c r="J173" t="str">
        <f>TEXT(Ventas[[#This Row],[Fecha_venta]],"yyyy")</f>
        <v>2010</v>
      </c>
    </row>
    <row r="174" spans="1:10" x14ac:dyDescent="0.25">
      <c r="A174">
        <v>2</v>
      </c>
      <c r="B174" s="1">
        <v>40417</v>
      </c>
      <c r="C174">
        <v>0</v>
      </c>
      <c r="D174">
        <v>87.12</v>
      </c>
      <c r="E174">
        <v>2.6190000000000002</v>
      </c>
      <c r="F174">
        <v>211.22417590000001</v>
      </c>
      <c r="G174">
        <v>1863840.49</v>
      </c>
      <c r="H174" t="str">
        <f>TEXT(Ventas[[#This Row],[Fecha_venta]],"dd")</f>
        <v>27</v>
      </c>
      <c r="I174" t="str">
        <f>TEXT(Ventas[[#This Row],[Fecha_venta]],"m")</f>
        <v>8</v>
      </c>
      <c r="J174" t="str">
        <f>TEXT(Ventas[[#This Row],[Fecha_venta]],"yyyy")</f>
        <v>2010</v>
      </c>
    </row>
    <row r="175" spans="1:10" x14ac:dyDescent="0.25">
      <c r="A175">
        <v>2</v>
      </c>
      <c r="B175" s="1">
        <v>40424</v>
      </c>
      <c r="C175">
        <v>0</v>
      </c>
      <c r="D175">
        <v>81.83</v>
      </c>
      <c r="E175">
        <v>2.577</v>
      </c>
      <c r="F175">
        <v>211.18869309999999</v>
      </c>
      <c r="G175">
        <v>1904608.09</v>
      </c>
      <c r="H175" t="str">
        <f>TEXT(Ventas[[#This Row],[Fecha_venta]],"dd")</f>
        <v>03</v>
      </c>
      <c r="I175" t="str">
        <f>TEXT(Ventas[[#This Row],[Fecha_venta]],"m")</f>
        <v>9</v>
      </c>
      <c r="J175" t="str">
        <f>TEXT(Ventas[[#This Row],[Fecha_venta]],"yyyy")</f>
        <v>2010</v>
      </c>
    </row>
    <row r="176" spans="1:10" x14ac:dyDescent="0.25">
      <c r="A176">
        <v>2</v>
      </c>
      <c r="B176" s="1">
        <v>40431</v>
      </c>
      <c r="C176">
        <v>1</v>
      </c>
      <c r="D176">
        <v>79.09</v>
      </c>
      <c r="E176">
        <v>2.5649999999999999</v>
      </c>
      <c r="F176">
        <v>211.15321040000001</v>
      </c>
      <c r="G176">
        <v>1839128.83</v>
      </c>
      <c r="H176" t="str">
        <f>TEXT(Ventas[[#This Row],[Fecha_venta]],"dd")</f>
        <v>10</v>
      </c>
      <c r="I176" t="str">
        <f>TEXT(Ventas[[#This Row],[Fecha_venta]],"m")</f>
        <v>9</v>
      </c>
      <c r="J176" t="str">
        <f>TEXT(Ventas[[#This Row],[Fecha_venta]],"yyyy")</f>
        <v>2010</v>
      </c>
    </row>
    <row r="177" spans="1:10" x14ac:dyDescent="0.25">
      <c r="A177">
        <v>2</v>
      </c>
      <c r="B177" s="1">
        <v>40438</v>
      </c>
      <c r="C177">
        <v>0</v>
      </c>
      <c r="D177">
        <v>82.05</v>
      </c>
      <c r="E177">
        <v>2.5819999999999999</v>
      </c>
      <c r="F177">
        <v>211.18064150000001</v>
      </c>
      <c r="G177">
        <v>1793903.6</v>
      </c>
      <c r="H177" t="str">
        <f>TEXT(Ventas[[#This Row],[Fecha_venta]],"dd")</f>
        <v>17</v>
      </c>
      <c r="I177" t="str">
        <f>TEXT(Ventas[[#This Row],[Fecha_venta]],"m")</f>
        <v>9</v>
      </c>
      <c r="J177" t="str">
        <f>TEXT(Ventas[[#This Row],[Fecha_venta]],"yyyy")</f>
        <v>2010</v>
      </c>
    </row>
    <row r="178" spans="1:10" x14ac:dyDescent="0.25">
      <c r="A178">
        <v>2</v>
      </c>
      <c r="B178" s="1">
        <v>40445</v>
      </c>
      <c r="C178">
        <v>0</v>
      </c>
      <c r="D178">
        <v>81.790000000000006</v>
      </c>
      <c r="E178">
        <v>2.6240000000000001</v>
      </c>
      <c r="F178">
        <v>211.25525780000001</v>
      </c>
      <c r="G178">
        <v>1724557.22</v>
      </c>
      <c r="H178" t="str">
        <f>TEXT(Ventas[[#This Row],[Fecha_venta]],"dd")</f>
        <v>24</v>
      </c>
      <c r="I178" t="str">
        <f>TEXT(Ventas[[#This Row],[Fecha_venta]],"m")</f>
        <v>9</v>
      </c>
      <c r="J178" t="str">
        <f>TEXT(Ventas[[#This Row],[Fecha_venta]],"yyyy")</f>
        <v>2010</v>
      </c>
    </row>
    <row r="179" spans="1:10" x14ac:dyDescent="0.25">
      <c r="A179">
        <v>2</v>
      </c>
      <c r="B179" s="1">
        <v>40452</v>
      </c>
      <c r="C179">
        <v>0</v>
      </c>
      <c r="D179">
        <v>69.239999999999995</v>
      </c>
      <c r="E179">
        <v>2.6030000000000002</v>
      </c>
      <c r="F179">
        <v>211.32987420000001</v>
      </c>
      <c r="G179">
        <v>1827440.43</v>
      </c>
      <c r="H179" t="str">
        <f>TEXT(Ventas[[#This Row],[Fecha_venta]],"dd")</f>
        <v>01</v>
      </c>
      <c r="I179" t="str">
        <f>TEXT(Ventas[[#This Row],[Fecha_venta]],"m")</f>
        <v>10</v>
      </c>
      <c r="J179" t="str">
        <f>TEXT(Ventas[[#This Row],[Fecha_venta]],"yyyy")</f>
        <v>2010</v>
      </c>
    </row>
    <row r="180" spans="1:10" x14ac:dyDescent="0.25">
      <c r="A180">
        <v>2</v>
      </c>
      <c r="B180" s="1">
        <v>40459</v>
      </c>
      <c r="C180">
        <v>0</v>
      </c>
      <c r="D180">
        <v>63.19</v>
      </c>
      <c r="E180">
        <v>2.633</v>
      </c>
      <c r="F180">
        <v>211.4044906</v>
      </c>
      <c r="G180">
        <v>1849921.44</v>
      </c>
      <c r="H180" t="str">
        <f>TEXT(Ventas[[#This Row],[Fecha_venta]],"dd")</f>
        <v>08</v>
      </c>
      <c r="I180" t="str">
        <f>TEXT(Ventas[[#This Row],[Fecha_venta]],"m")</f>
        <v>10</v>
      </c>
      <c r="J180" t="str">
        <f>TEXT(Ventas[[#This Row],[Fecha_venta]],"yyyy")</f>
        <v>2010</v>
      </c>
    </row>
    <row r="181" spans="1:10" x14ac:dyDescent="0.25">
      <c r="A181">
        <v>2</v>
      </c>
      <c r="B181" s="1">
        <v>40466</v>
      </c>
      <c r="C181">
        <v>0</v>
      </c>
      <c r="D181">
        <v>65.8</v>
      </c>
      <c r="E181">
        <v>2.72</v>
      </c>
      <c r="F181">
        <v>211.47132859999999</v>
      </c>
      <c r="G181">
        <v>1794355.49</v>
      </c>
      <c r="H181" t="str">
        <f>TEXT(Ventas[[#This Row],[Fecha_venta]],"dd")</f>
        <v>15</v>
      </c>
      <c r="I181" t="str">
        <f>TEXT(Ventas[[#This Row],[Fecha_venta]],"m")</f>
        <v>10</v>
      </c>
      <c r="J181" t="str">
        <f>TEXT(Ventas[[#This Row],[Fecha_venta]],"yyyy")</f>
        <v>2010</v>
      </c>
    </row>
    <row r="182" spans="1:10" x14ac:dyDescent="0.25">
      <c r="A182">
        <v>2</v>
      </c>
      <c r="B182" s="1">
        <v>40473</v>
      </c>
      <c r="C182">
        <v>0</v>
      </c>
      <c r="D182">
        <v>68.5</v>
      </c>
      <c r="E182">
        <v>2.7250000000000001</v>
      </c>
      <c r="F182">
        <v>211.51872080000001</v>
      </c>
      <c r="G182">
        <v>1737947.64</v>
      </c>
      <c r="H182" t="str">
        <f>TEXT(Ventas[[#This Row],[Fecha_venta]],"dd")</f>
        <v>22</v>
      </c>
      <c r="I182" t="str">
        <f>TEXT(Ventas[[#This Row],[Fecha_venta]],"m")</f>
        <v>10</v>
      </c>
      <c r="J182" t="str">
        <f>TEXT(Ventas[[#This Row],[Fecha_venta]],"yyyy")</f>
        <v>2010</v>
      </c>
    </row>
    <row r="183" spans="1:10" x14ac:dyDescent="0.25">
      <c r="A183">
        <v>2</v>
      </c>
      <c r="B183" s="1">
        <v>40480</v>
      </c>
      <c r="C183">
        <v>0</v>
      </c>
      <c r="D183">
        <v>66.239999999999995</v>
      </c>
      <c r="E183">
        <v>2.7160000000000002</v>
      </c>
      <c r="F183">
        <v>211.5661131</v>
      </c>
      <c r="G183">
        <v>1802755.11</v>
      </c>
      <c r="H183" t="str">
        <f>TEXT(Ventas[[#This Row],[Fecha_venta]],"dd")</f>
        <v>29</v>
      </c>
      <c r="I183" t="str">
        <f>TEXT(Ventas[[#This Row],[Fecha_venta]],"m")</f>
        <v>10</v>
      </c>
      <c r="J183" t="str">
        <f>TEXT(Ventas[[#This Row],[Fecha_venta]],"yyyy")</f>
        <v>2010</v>
      </c>
    </row>
    <row r="184" spans="1:10" x14ac:dyDescent="0.25">
      <c r="A184">
        <v>2</v>
      </c>
      <c r="B184" s="1">
        <v>40487</v>
      </c>
      <c r="C184">
        <v>0</v>
      </c>
      <c r="D184">
        <v>57.85</v>
      </c>
      <c r="E184">
        <v>2.6890000000000001</v>
      </c>
      <c r="F184">
        <v>211.61350530000001</v>
      </c>
      <c r="G184">
        <v>1939061.41</v>
      </c>
      <c r="H184" t="str">
        <f>TEXT(Ventas[[#This Row],[Fecha_venta]],"dd")</f>
        <v>05</v>
      </c>
      <c r="I184" t="str">
        <f>TEXT(Ventas[[#This Row],[Fecha_venta]],"m")</f>
        <v>11</v>
      </c>
      <c r="J184" t="str">
        <f>TEXT(Ventas[[#This Row],[Fecha_venta]],"yyyy")</f>
        <v>2010</v>
      </c>
    </row>
    <row r="185" spans="1:10" x14ac:dyDescent="0.25">
      <c r="A185">
        <v>2</v>
      </c>
      <c r="B185" s="1">
        <v>40494</v>
      </c>
      <c r="C185">
        <v>0</v>
      </c>
      <c r="D185">
        <v>59.69</v>
      </c>
      <c r="E185">
        <v>2.7280000000000002</v>
      </c>
      <c r="F185">
        <v>211.6608975</v>
      </c>
      <c r="G185">
        <v>1916812.74</v>
      </c>
      <c r="H185" t="str">
        <f>TEXT(Ventas[[#This Row],[Fecha_venta]],"dd")</f>
        <v>12</v>
      </c>
      <c r="I185" t="str">
        <f>TEXT(Ventas[[#This Row],[Fecha_venta]],"m")</f>
        <v>11</v>
      </c>
      <c r="J185" t="str">
        <f>TEXT(Ventas[[#This Row],[Fecha_venta]],"yyyy")</f>
        <v>2010</v>
      </c>
    </row>
    <row r="186" spans="1:10" x14ac:dyDescent="0.25">
      <c r="A186">
        <v>2</v>
      </c>
      <c r="B186" s="1">
        <v>40501</v>
      </c>
      <c r="C186">
        <v>0</v>
      </c>
      <c r="D186">
        <v>50.81</v>
      </c>
      <c r="E186">
        <v>2.7709999999999999</v>
      </c>
      <c r="F186">
        <v>211.54703040000001</v>
      </c>
      <c r="G186">
        <v>1956739.17</v>
      </c>
      <c r="H186" t="str">
        <f>TEXT(Ventas[[#This Row],[Fecha_venta]],"dd")</f>
        <v>19</v>
      </c>
      <c r="I186" t="str">
        <f>TEXT(Ventas[[#This Row],[Fecha_venta]],"m")</f>
        <v>11</v>
      </c>
      <c r="J186" t="str">
        <f>TEXT(Ventas[[#This Row],[Fecha_venta]],"yyyy")</f>
        <v>2010</v>
      </c>
    </row>
    <row r="187" spans="1:10" x14ac:dyDescent="0.25">
      <c r="A187">
        <v>2</v>
      </c>
      <c r="B187" s="1">
        <v>40508</v>
      </c>
      <c r="C187">
        <v>1</v>
      </c>
      <c r="D187">
        <v>62.98</v>
      </c>
      <c r="E187">
        <v>2.7349999999999999</v>
      </c>
      <c r="F187">
        <v>211.40628670000001</v>
      </c>
      <c r="G187">
        <v>2658725.29</v>
      </c>
      <c r="H187" t="str">
        <f>TEXT(Ventas[[#This Row],[Fecha_venta]],"dd")</f>
        <v>26</v>
      </c>
      <c r="I187" t="str">
        <f>TEXT(Ventas[[#This Row],[Fecha_venta]],"m")</f>
        <v>11</v>
      </c>
      <c r="J187" t="str">
        <f>TEXT(Ventas[[#This Row],[Fecha_venta]],"yyyy")</f>
        <v>2010</v>
      </c>
    </row>
    <row r="188" spans="1:10" x14ac:dyDescent="0.25">
      <c r="A188">
        <v>2</v>
      </c>
      <c r="B188" s="1">
        <v>40515</v>
      </c>
      <c r="C188">
        <v>0</v>
      </c>
      <c r="D188">
        <v>49.33</v>
      </c>
      <c r="E188">
        <v>2.7080000000000002</v>
      </c>
      <c r="F188">
        <v>211.26554300000001</v>
      </c>
      <c r="G188">
        <v>2015781.27</v>
      </c>
      <c r="H188" t="str">
        <f>TEXT(Ventas[[#This Row],[Fecha_venta]],"dd")</f>
        <v>03</v>
      </c>
      <c r="I188" t="str">
        <f>TEXT(Ventas[[#This Row],[Fecha_venta]],"m")</f>
        <v>12</v>
      </c>
      <c r="J188" t="str">
        <f>TEXT(Ventas[[#This Row],[Fecha_venta]],"yyyy")</f>
        <v>2010</v>
      </c>
    </row>
    <row r="189" spans="1:10" x14ac:dyDescent="0.25">
      <c r="A189">
        <v>2</v>
      </c>
      <c r="B189" s="1">
        <v>40522</v>
      </c>
      <c r="C189">
        <v>0</v>
      </c>
      <c r="D189">
        <v>45.5</v>
      </c>
      <c r="E189">
        <v>2.843</v>
      </c>
      <c r="F189">
        <v>211.12479930000001</v>
      </c>
      <c r="G189">
        <v>2378726.5499999998</v>
      </c>
      <c r="H189" t="str">
        <f>TEXT(Ventas[[#This Row],[Fecha_venta]],"dd")</f>
        <v>10</v>
      </c>
      <c r="I189" t="str">
        <f>TEXT(Ventas[[#This Row],[Fecha_venta]],"m")</f>
        <v>12</v>
      </c>
      <c r="J189" t="str">
        <f>TEXT(Ventas[[#This Row],[Fecha_venta]],"yyyy")</f>
        <v>2010</v>
      </c>
    </row>
    <row r="190" spans="1:10" x14ac:dyDescent="0.25">
      <c r="A190">
        <v>2</v>
      </c>
      <c r="B190" s="1">
        <v>40529</v>
      </c>
      <c r="C190">
        <v>0</v>
      </c>
      <c r="D190">
        <v>47.55</v>
      </c>
      <c r="E190">
        <v>2.8690000000000002</v>
      </c>
      <c r="F190">
        <v>211.06454579999999</v>
      </c>
      <c r="G190">
        <v>2609166.75</v>
      </c>
      <c r="H190" t="str">
        <f>TEXT(Ventas[[#This Row],[Fecha_venta]],"dd")</f>
        <v>17</v>
      </c>
      <c r="I190" t="str">
        <f>TEXT(Ventas[[#This Row],[Fecha_venta]],"m")</f>
        <v>12</v>
      </c>
      <c r="J190" t="str">
        <f>TEXT(Ventas[[#This Row],[Fecha_venta]],"yyyy")</f>
        <v>2010</v>
      </c>
    </row>
    <row r="191" spans="1:10" x14ac:dyDescent="0.25">
      <c r="A191">
        <v>2</v>
      </c>
      <c r="B191" s="1">
        <v>40536</v>
      </c>
      <c r="C191">
        <v>0</v>
      </c>
      <c r="D191">
        <v>49.97</v>
      </c>
      <c r="E191">
        <v>2.8860000000000001</v>
      </c>
      <c r="F191">
        <v>211.06465990000001</v>
      </c>
      <c r="G191">
        <v>3436007.68</v>
      </c>
      <c r="H191" t="str">
        <f>TEXT(Ventas[[#This Row],[Fecha_venta]],"dd")</f>
        <v>24</v>
      </c>
      <c r="I191" t="str">
        <f>TEXT(Ventas[[#This Row],[Fecha_venta]],"m")</f>
        <v>12</v>
      </c>
      <c r="J191" t="str">
        <f>TEXT(Ventas[[#This Row],[Fecha_venta]],"yyyy")</f>
        <v>2010</v>
      </c>
    </row>
    <row r="192" spans="1:10" x14ac:dyDescent="0.25">
      <c r="A192">
        <v>2</v>
      </c>
      <c r="B192" s="1">
        <v>40543</v>
      </c>
      <c r="C192">
        <v>1</v>
      </c>
      <c r="D192">
        <v>47.3</v>
      </c>
      <c r="E192">
        <v>2.9430000000000001</v>
      </c>
      <c r="F192">
        <v>211.064774</v>
      </c>
      <c r="G192">
        <v>1750434.55</v>
      </c>
      <c r="H192" t="str">
        <f>TEXT(Ventas[[#This Row],[Fecha_venta]],"dd")</f>
        <v>31</v>
      </c>
      <c r="I192" t="str">
        <f>TEXT(Ventas[[#This Row],[Fecha_venta]],"m")</f>
        <v>12</v>
      </c>
      <c r="J192" t="str">
        <f>TEXT(Ventas[[#This Row],[Fecha_venta]],"yyyy")</f>
        <v>2010</v>
      </c>
    </row>
    <row r="193" spans="1:10" x14ac:dyDescent="0.25">
      <c r="A193">
        <v>2</v>
      </c>
      <c r="B193" s="1">
        <v>40550</v>
      </c>
      <c r="C193">
        <v>0</v>
      </c>
      <c r="D193">
        <v>44.69</v>
      </c>
      <c r="E193">
        <v>2.976</v>
      </c>
      <c r="F193">
        <v>211.06488809999999</v>
      </c>
      <c r="G193">
        <v>1758050.79</v>
      </c>
      <c r="H193" t="str">
        <f>TEXT(Ventas[[#This Row],[Fecha_venta]],"dd")</f>
        <v>07</v>
      </c>
      <c r="I193" t="str">
        <f>TEXT(Ventas[[#This Row],[Fecha_venta]],"m")</f>
        <v>1</v>
      </c>
      <c r="J193" t="str">
        <f>TEXT(Ventas[[#This Row],[Fecha_venta]],"yyyy")</f>
        <v>2011</v>
      </c>
    </row>
    <row r="194" spans="1:10" x14ac:dyDescent="0.25">
      <c r="A194">
        <v>2</v>
      </c>
      <c r="B194" s="1">
        <v>40557</v>
      </c>
      <c r="C194">
        <v>0</v>
      </c>
      <c r="D194">
        <v>33.020000000000003</v>
      </c>
      <c r="E194">
        <v>2.9830000000000001</v>
      </c>
      <c r="F194">
        <v>211.11767130000001</v>
      </c>
      <c r="G194">
        <v>1744193.58</v>
      </c>
      <c r="H194" t="str">
        <f>TEXT(Ventas[[#This Row],[Fecha_venta]],"dd")</f>
        <v>14</v>
      </c>
      <c r="I194" t="str">
        <f>TEXT(Ventas[[#This Row],[Fecha_venta]],"m")</f>
        <v>1</v>
      </c>
      <c r="J194" t="str">
        <f>TEXT(Ventas[[#This Row],[Fecha_venta]],"yyyy")</f>
        <v>2011</v>
      </c>
    </row>
    <row r="195" spans="1:10" x14ac:dyDescent="0.25">
      <c r="A195">
        <v>2</v>
      </c>
      <c r="B195" s="1">
        <v>40564</v>
      </c>
      <c r="C195">
        <v>0</v>
      </c>
      <c r="D195">
        <v>41.4</v>
      </c>
      <c r="E195">
        <v>3.016</v>
      </c>
      <c r="F195">
        <v>211.48646909999999</v>
      </c>
      <c r="G195">
        <v>1751384.9</v>
      </c>
      <c r="H195" t="str">
        <f>TEXT(Ventas[[#This Row],[Fecha_venta]],"dd")</f>
        <v>21</v>
      </c>
      <c r="I195" t="str">
        <f>TEXT(Ventas[[#This Row],[Fecha_venta]],"m")</f>
        <v>1</v>
      </c>
      <c r="J195" t="str">
        <f>TEXT(Ventas[[#This Row],[Fecha_venta]],"yyyy")</f>
        <v>2011</v>
      </c>
    </row>
    <row r="196" spans="1:10" x14ac:dyDescent="0.25">
      <c r="A196">
        <v>2</v>
      </c>
      <c r="B196" s="1">
        <v>40571</v>
      </c>
      <c r="C196">
        <v>0</v>
      </c>
      <c r="D196">
        <v>42.83</v>
      </c>
      <c r="E196">
        <v>3.01</v>
      </c>
      <c r="F196">
        <v>211.85526680000001</v>
      </c>
      <c r="G196">
        <v>1695371.68</v>
      </c>
      <c r="H196" t="str">
        <f>TEXT(Ventas[[#This Row],[Fecha_venta]],"dd")</f>
        <v>28</v>
      </c>
      <c r="I196" t="str">
        <f>TEXT(Ventas[[#This Row],[Fecha_venta]],"m")</f>
        <v>1</v>
      </c>
      <c r="J196" t="str">
        <f>TEXT(Ventas[[#This Row],[Fecha_venta]],"yyyy")</f>
        <v>2011</v>
      </c>
    </row>
    <row r="197" spans="1:10" x14ac:dyDescent="0.25">
      <c r="A197">
        <v>2</v>
      </c>
      <c r="B197" s="1">
        <v>40578</v>
      </c>
      <c r="C197">
        <v>0</v>
      </c>
      <c r="D197">
        <v>38.25</v>
      </c>
      <c r="E197">
        <v>2.9889999999999999</v>
      </c>
      <c r="F197">
        <v>212.22406459999999</v>
      </c>
      <c r="G197">
        <v>1929346.23</v>
      </c>
      <c r="H197" t="str">
        <f>TEXT(Ventas[[#This Row],[Fecha_venta]],"dd")</f>
        <v>04</v>
      </c>
      <c r="I197" t="str">
        <f>TEXT(Ventas[[#This Row],[Fecha_venta]],"m")</f>
        <v>2</v>
      </c>
      <c r="J197" t="str">
        <f>TEXT(Ventas[[#This Row],[Fecha_venta]],"yyyy")</f>
        <v>2011</v>
      </c>
    </row>
    <row r="198" spans="1:10" x14ac:dyDescent="0.25">
      <c r="A198">
        <v>2</v>
      </c>
      <c r="B198" s="1">
        <v>40585</v>
      </c>
      <c r="C198">
        <v>1</v>
      </c>
      <c r="D198">
        <v>33.19</v>
      </c>
      <c r="E198">
        <v>3.0219999999999998</v>
      </c>
      <c r="F198">
        <v>212.5928624</v>
      </c>
      <c r="G198">
        <v>2168041.61</v>
      </c>
      <c r="H198" t="str">
        <f>TEXT(Ventas[[#This Row],[Fecha_venta]],"dd")</f>
        <v>11</v>
      </c>
      <c r="I198" t="str">
        <f>TEXT(Ventas[[#This Row],[Fecha_venta]],"m")</f>
        <v>2</v>
      </c>
      <c r="J198" t="str">
        <f>TEXT(Ventas[[#This Row],[Fecha_venta]],"yyyy")</f>
        <v>2011</v>
      </c>
    </row>
    <row r="199" spans="1:10" x14ac:dyDescent="0.25">
      <c r="A199">
        <v>2</v>
      </c>
      <c r="B199" s="1">
        <v>40592</v>
      </c>
      <c r="C199">
        <v>0</v>
      </c>
      <c r="D199">
        <v>57.83</v>
      </c>
      <c r="E199">
        <v>3.0449999999999999</v>
      </c>
      <c r="F199">
        <v>212.9033115</v>
      </c>
      <c r="G199">
        <v>2080884.82</v>
      </c>
      <c r="H199" t="str">
        <f>TEXT(Ventas[[#This Row],[Fecha_venta]],"dd")</f>
        <v>18</v>
      </c>
      <c r="I199" t="str">
        <f>TEXT(Ventas[[#This Row],[Fecha_venta]],"m")</f>
        <v>2</v>
      </c>
      <c r="J199" t="str">
        <f>TEXT(Ventas[[#This Row],[Fecha_venta]],"yyyy")</f>
        <v>2011</v>
      </c>
    </row>
    <row r="200" spans="1:10" x14ac:dyDescent="0.25">
      <c r="A200">
        <v>2</v>
      </c>
      <c r="B200" s="1">
        <v>40599</v>
      </c>
      <c r="C200">
        <v>0</v>
      </c>
      <c r="D200">
        <v>60.8</v>
      </c>
      <c r="E200">
        <v>3.0649999999999999</v>
      </c>
      <c r="F200">
        <v>213.19042099999999</v>
      </c>
      <c r="G200">
        <v>1833511.08</v>
      </c>
      <c r="H200" t="str">
        <f>TEXT(Ventas[[#This Row],[Fecha_venta]],"dd")</f>
        <v>25</v>
      </c>
      <c r="I200" t="str">
        <f>TEXT(Ventas[[#This Row],[Fecha_venta]],"m")</f>
        <v>2</v>
      </c>
      <c r="J200" t="str">
        <f>TEXT(Ventas[[#This Row],[Fecha_venta]],"yyyy")</f>
        <v>2011</v>
      </c>
    </row>
    <row r="201" spans="1:10" x14ac:dyDescent="0.25">
      <c r="A201">
        <v>2</v>
      </c>
      <c r="B201" s="1">
        <v>40606</v>
      </c>
      <c r="C201">
        <v>0</v>
      </c>
      <c r="D201">
        <v>57.77</v>
      </c>
      <c r="E201">
        <v>3.2879999999999998</v>
      </c>
      <c r="F201">
        <v>213.4775305</v>
      </c>
      <c r="G201">
        <v>1981607.78</v>
      </c>
      <c r="H201" t="str">
        <f>TEXT(Ventas[[#This Row],[Fecha_venta]],"dd")</f>
        <v>04</v>
      </c>
      <c r="I201" t="str">
        <f>TEXT(Ventas[[#This Row],[Fecha_venta]],"m")</f>
        <v>3</v>
      </c>
      <c r="J201" t="str">
        <f>TEXT(Ventas[[#This Row],[Fecha_venta]],"yyyy")</f>
        <v>2011</v>
      </c>
    </row>
    <row r="202" spans="1:10" x14ac:dyDescent="0.25">
      <c r="A202">
        <v>2</v>
      </c>
      <c r="B202" s="1">
        <v>40613</v>
      </c>
      <c r="C202">
        <v>0</v>
      </c>
      <c r="D202">
        <v>52.7</v>
      </c>
      <c r="E202">
        <v>3.4590000000000001</v>
      </c>
      <c r="F202">
        <v>213.76464010000001</v>
      </c>
      <c r="G202">
        <v>1879107.31</v>
      </c>
      <c r="H202" t="str">
        <f>TEXT(Ventas[[#This Row],[Fecha_venta]],"dd")</f>
        <v>11</v>
      </c>
      <c r="I202" t="str">
        <f>TEXT(Ventas[[#This Row],[Fecha_venta]],"m")</f>
        <v>3</v>
      </c>
      <c r="J202" t="str">
        <f>TEXT(Ventas[[#This Row],[Fecha_venta]],"yyyy")</f>
        <v>2011</v>
      </c>
    </row>
    <row r="203" spans="1:10" x14ac:dyDescent="0.25">
      <c r="A203">
        <v>2</v>
      </c>
      <c r="B203" s="1">
        <v>40620</v>
      </c>
      <c r="C203">
        <v>0</v>
      </c>
      <c r="D203">
        <v>62.32</v>
      </c>
      <c r="E203">
        <v>3.488</v>
      </c>
      <c r="F203">
        <v>214.01562379999999</v>
      </c>
      <c r="G203">
        <v>1902557.66</v>
      </c>
      <c r="H203" t="str">
        <f>TEXT(Ventas[[#This Row],[Fecha_venta]],"dd")</f>
        <v>18</v>
      </c>
      <c r="I203" t="str">
        <f>TEXT(Ventas[[#This Row],[Fecha_venta]],"m")</f>
        <v>3</v>
      </c>
      <c r="J203" t="str">
        <f>TEXT(Ventas[[#This Row],[Fecha_venta]],"yyyy")</f>
        <v>2011</v>
      </c>
    </row>
    <row r="204" spans="1:10" x14ac:dyDescent="0.25">
      <c r="A204">
        <v>2</v>
      </c>
      <c r="B204" s="1">
        <v>40627</v>
      </c>
      <c r="C204">
        <v>0</v>
      </c>
      <c r="D204">
        <v>69.42</v>
      </c>
      <c r="E204">
        <v>3.4729999999999999</v>
      </c>
      <c r="F204">
        <v>214.25215729999999</v>
      </c>
      <c r="G204">
        <v>1766162.05</v>
      </c>
      <c r="H204" t="str">
        <f>TEXT(Ventas[[#This Row],[Fecha_venta]],"dd")</f>
        <v>25</v>
      </c>
      <c r="I204" t="str">
        <f>TEXT(Ventas[[#This Row],[Fecha_venta]],"m")</f>
        <v>3</v>
      </c>
      <c r="J204" t="str">
        <f>TEXT(Ventas[[#This Row],[Fecha_venta]],"yyyy")</f>
        <v>2011</v>
      </c>
    </row>
    <row r="205" spans="1:10" x14ac:dyDescent="0.25">
      <c r="A205">
        <v>2</v>
      </c>
      <c r="B205" s="1">
        <v>40634</v>
      </c>
      <c r="C205">
        <v>0</v>
      </c>
      <c r="D205">
        <v>55.43</v>
      </c>
      <c r="E205">
        <v>3.524</v>
      </c>
      <c r="F205">
        <v>214.4886908</v>
      </c>
      <c r="G205">
        <v>1800171.36</v>
      </c>
      <c r="H205" t="str">
        <f>TEXT(Ventas[[#This Row],[Fecha_venta]],"dd")</f>
        <v>01</v>
      </c>
      <c r="I205" t="str">
        <f>TEXT(Ventas[[#This Row],[Fecha_venta]],"m")</f>
        <v>4</v>
      </c>
      <c r="J205" t="str">
        <f>TEXT(Ventas[[#This Row],[Fecha_venta]],"yyyy")</f>
        <v>2011</v>
      </c>
    </row>
    <row r="206" spans="1:10" x14ac:dyDescent="0.25">
      <c r="A206">
        <v>2</v>
      </c>
      <c r="B206" s="1">
        <v>40641</v>
      </c>
      <c r="C206">
        <v>0</v>
      </c>
      <c r="D206">
        <v>67</v>
      </c>
      <c r="E206">
        <v>3.6219999999999999</v>
      </c>
      <c r="F206">
        <v>214.72522420000001</v>
      </c>
      <c r="G206">
        <v>1847552.61</v>
      </c>
      <c r="H206" t="str">
        <f>TEXT(Ventas[[#This Row],[Fecha_venta]],"dd")</f>
        <v>08</v>
      </c>
      <c r="I206" t="str">
        <f>TEXT(Ventas[[#This Row],[Fecha_venta]],"m")</f>
        <v>4</v>
      </c>
      <c r="J206" t="str">
        <f>TEXT(Ventas[[#This Row],[Fecha_venta]],"yyyy")</f>
        <v>2011</v>
      </c>
    </row>
    <row r="207" spans="1:10" x14ac:dyDescent="0.25">
      <c r="A207">
        <v>2</v>
      </c>
      <c r="B207" s="1">
        <v>40648</v>
      </c>
      <c r="C207">
        <v>0</v>
      </c>
      <c r="D207">
        <v>69.48</v>
      </c>
      <c r="E207">
        <v>3.7429999999999999</v>
      </c>
      <c r="F207">
        <v>214.94206310000001</v>
      </c>
      <c r="G207">
        <v>1856467.84</v>
      </c>
      <c r="H207" t="str">
        <f>TEXT(Ventas[[#This Row],[Fecha_venta]],"dd")</f>
        <v>15</v>
      </c>
      <c r="I207" t="str">
        <f>TEXT(Ventas[[#This Row],[Fecha_venta]],"m")</f>
        <v>4</v>
      </c>
      <c r="J207" t="str">
        <f>TEXT(Ventas[[#This Row],[Fecha_venta]],"yyyy")</f>
        <v>2011</v>
      </c>
    </row>
    <row r="208" spans="1:10" x14ac:dyDescent="0.25">
      <c r="A208">
        <v>2</v>
      </c>
      <c r="B208" s="1">
        <v>40655</v>
      </c>
      <c r="C208">
        <v>0</v>
      </c>
      <c r="D208">
        <v>69.39</v>
      </c>
      <c r="E208">
        <v>3.8069999999999999</v>
      </c>
      <c r="F208">
        <v>215.10966569999999</v>
      </c>
      <c r="G208">
        <v>1886339.6</v>
      </c>
      <c r="H208" t="str">
        <f>TEXT(Ventas[[#This Row],[Fecha_venta]],"dd")</f>
        <v>22</v>
      </c>
      <c r="I208" t="str">
        <f>TEXT(Ventas[[#This Row],[Fecha_venta]],"m")</f>
        <v>4</v>
      </c>
      <c r="J208" t="str">
        <f>TEXT(Ventas[[#This Row],[Fecha_venta]],"yyyy")</f>
        <v>2011</v>
      </c>
    </row>
    <row r="209" spans="1:10" x14ac:dyDescent="0.25">
      <c r="A209">
        <v>2</v>
      </c>
      <c r="B209" s="1">
        <v>40662</v>
      </c>
      <c r="C209">
        <v>0</v>
      </c>
      <c r="D209">
        <v>69.209999999999994</v>
      </c>
      <c r="E209">
        <v>3.81</v>
      </c>
      <c r="F209">
        <v>215.2772683</v>
      </c>
      <c r="G209">
        <v>1745545.28</v>
      </c>
      <c r="H209" t="str">
        <f>TEXT(Ventas[[#This Row],[Fecha_venta]],"dd")</f>
        <v>29</v>
      </c>
      <c r="I209" t="str">
        <f>TEXT(Ventas[[#This Row],[Fecha_venta]],"m")</f>
        <v>4</v>
      </c>
      <c r="J209" t="str">
        <f>TEXT(Ventas[[#This Row],[Fecha_venta]],"yyyy")</f>
        <v>2011</v>
      </c>
    </row>
    <row r="210" spans="1:10" x14ac:dyDescent="0.25">
      <c r="A210">
        <v>2</v>
      </c>
      <c r="B210" s="1">
        <v>40669</v>
      </c>
      <c r="C210">
        <v>0</v>
      </c>
      <c r="D210">
        <v>61.48</v>
      </c>
      <c r="E210">
        <v>3.9060000000000001</v>
      </c>
      <c r="F210">
        <v>215.44487090000001</v>
      </c>
      <c r="G210">
        <v>1837743.6</v>
      </c>
      <c r="H210" t="str">
        <f>TEXT(Ventas[[#This Row],[Fecha_venta]],"dd")</f>
        <v>06</v>
      </c>
      <c r="I210" t="str">
        <f>TEXT(Ventas[[#This Row],[Fecha_venta]],"m")</f>
        <v>5</v>
      </c>
      <c r="J210" t="str">
        <f>TEXT(Ventas[[#This Row],[Fecha_venta]],"yyyy")</f>
        <v>2011</v>
      </c>
    </row>
    <row r="211" spans="1:10" x14ac:dyDescent="0.25">
      <c r="A211">
        <v>2</v>
      </c>
      <c r="B211" s="1">
        <v>40676</v>
      </c>
      <c r="C211">
        <v>0</v>
      </c>
      <c r="D211">
        <v>74.61</v>
      </c>
      <c r="E211">
        <v>3.899</v>
      </c>
      <c r="F211">
        <v>215.61247349999999</v>
      </c>
      <c r="G211">
        <v>1838513.07</v>
      </c>
      <c r="H211" t="str">
        <f>TEXT(Ventas[[#This Row],[Fecha_venta]],"dd")</f>
        <v>13</v>
      </c>
      <c r="I211" t="str">
        <f>TEXT(Ventas[[#This Row],[Fecha_venta]],"m")</f>
        <v>5</v>
      </c>
      <c r="J211" t="str">
        <f>TEXT(Ventas[[#This Row],[Fecha_venta]],"yyyy")</f>
        <v>2011</v>
      </c>
    </row>
    <row r="212" spans="1:10" x14ac:dyDescent="0.25">
      <c r="A212">
        <v>2</v>
      </c>
      <c r="B212" s="1">
        <v>40683</v>
      </c>
      <c r="C212">
        <v>0</v>
      </c>
      <c r="D212">
        <v>67.14</v>
      </c>
      <c r="E212">
        <v>3.907</v>
      </c>
      <c r="F212">
        <v>215.38347780000001</v>
      </c>
      <c r="G212">
        <v>1688281.86</v>
      </c>
      <c r="H212" t="str">
        <f>TEXT(Ventas[[#This Row],[Fecha_venta]],"dd")</f>
        <v>20</v>
      </c>
      <c r="I212" t="str">
        <f>TEXT(Ventas[[#This Row],[Fecha_venta]],"m")</f>
        <v>5</v>
      </c>
      <c r="J212" t="str">
        <f>TEXT(Ventas[[#This Row],[Fecha_venta]],"yyyy")</f>
        <v>2011</v>
      </c>
    </row>
    <row r="213" spans="1:10" x14ac:dyDescent="0.25">
      <c r="A213">
        <v>2</v>
      </c>
      <c r="B213" s="1">
        <v>40690</v>
      </c>
      <c r="C213">
        <v>0</v>
      </c>
      <c r="D213">
        <v>76.42</v>
      </c>
      <c r="E213">
        <v>3.786</v>
      </c>
      <c r="F213">
        <v>215.15448219999999</v>
      </c>
      <c r="G213">
        <v>1797732.56</v>
      </c>
      <c r="H213" t="str">
        <f>TEXT(Ventas[[#This Row],[Fecha_venta]],"dd")</f>
        <v>27</v>
      </c>
      <c r="I213" t="str">
        <f>TEXT(Ventas[[#This Row],[Fecha_venta]],"m")</f>
        <v>5</v>
      </c>
      <c r="J213" t="str">
        <f>TEXT(Ventas[[#This Row],[Fecha_venta]],"yyyy")</f>
        <v>2011</v>
      </c>
    </row>
    <row r="214" spans="1:10" x14ac:dyDescent="0.25">
      <c r="A214">
        <v>2</v>
      </c>
      <c r="B214" s="1">
        <v>40697</v>
      </c>
      <c r="C214">
        <v>0</v>
      </c>
      <c r="D214">
        <v>83.07</v>
      </c>
      <c r="E214">
        <v>3.6989999999999998</v>
      </c>
      <c r="F214">
        <v>214.92548650000001</v>
      </c>
      <c r="G214">
        <v>1933756.21</v>
      </c>
      <c r="H214" t="str">
        <f>TEXT(Ventas[[#This Row],[Fecha_venta]],"dd")</f>
        <v>03</v>
      </c>
      <c r="I214" t="str">
        <f>TEXT(Ventas[[#This Row],[Fecha_venta]],"m")</f>
        <v>6</v>
      </c>
      <c r="J214" t="str">
        <f>TEXT(Ventas[[#This Row],[Fecha_venta]],"yyyy")</f>
        <v>2011</v>
      </c>
    </row>
    <row r="215" spans="1:10" x14ac:dyDescent="0.25">
      <c r="A215">
        <v>2</v>
      </c>
      <c r="B215" s="1">
        <v>40704</v>
      </c>
      <c r="C215">
        <v>5</v>
      </c>
      <c r="D215">
        <v>83.4</v>
      </c>
      <c r="E215">
        <v>3.6480000000000001</v>
      </c>
      <c r="F215">
        <v>214.69649079999999</v>
      </c>
      <c r="G215">
        <v>1929153.16</v>
      </c>
      <c r="H215" t="str">
        <f>TEXT(Ventas[[#This Row],[Fecha_venta]],"dd")</f>
        <v>10</v>
      </c>
      <c r="I215" t="str">
        <f>TEXT(Ventas[[#This Row],[Fecha_venta]],"m")</f>
        <v>6</v>
      </c>
      <c r="J215" t="str">
        <f>TEXT(Ventas[[#This Row],[Fecha_venta]],"yyyy")</f>
        <v>2011</v>
      </c>
    </row>
    <row r="216" spans="1:10" x14ac:dyDescent="0.25">
      <c r="A216">
        <v>2</v>
      </c>
      <c r="B216" s="1">
        <v>40711</v>
      </c>
      <c r="C216">
        <v>0</v>
      </c>
      <c r="D216">
        <v>86.53</v>
      </c>
      <c r="E216">
        <v>3.637</v>
      </c>
      <c r="F216">
        <v>214.65135380000001</v>
      </c>
      <c r="G216">
        <v>1953771.99</v>
      </c>
      <c r="H216" t="str">
        <f>TEXT(Ventas[[#This Row],[Fecha_venta]],"dd")</f>
        <v>17</v>
      </c>
      <c r="I216" t="str">
        <f>TEXT(Ventas[[#This Row],[Fecha_venta]],"m")</f>
        <v>6</v>
      </c>
      <c r="J216" t="str">
        <f>TEXT(Ventas[[#This Row],[Fecha_venta]],"yyyy")</f>
        <v>2011</v>
      </c>
    </row>
    <row r="217" spans="1:10" x14ac:dyDescent="0.25">
      <c r="A217">
        <v>2</v>
      </c>
      <c r="B217" s="1">
        <v>40718</v>
      </c>
      <c r="C217">
        <v>0</v>
      </c>
      <c r="D217">
        <v>85.17</v>
      </c>
      <c r="E217">
        <v>3.5939999999999999</v>
      </c>
      <c r="F217">
        <v>214.74411079999999</v>
      </c>
      <c r="G217">
        <v>1790925.8</v>
      </c>
      <c r="H217" t="str">
        <f>TEXT(Ventas[[#This Row],[Fecha_venta]],"dd")</f>
        <v>24</v>
      </c>
      <c r="I217" t="str">
        <f>TEXT(Ventas[[#This Row],[Fecha_venta]],"m")</f>
        <v>6</v>
      </c>
      <c r="J217" t="str">
        <f>TEXT(Ventas[[#This Row],[Fecha_venta]],"yyyy")</f>
        <v>2011</v>
      </c>
    </row>
    <row r="218" spans="1:10" x14ac:dyDescent="0.25">
      <c r="A218">
        <v>2</v>
      </c>
      <c r="B218" s="1">
        <v>40725</v>
      </c>
      <c r="C218">
        <v>0</v>
      </c>
      <c r="D218">
        <v>85.69</v>
      </c>
      <c r="E218">
        <v>3.524</v>
      </c>
      <c r="F218">
        <v>214.83686779999999</v>
      </c>
      <c r="G218">
        <v>1866243</v>
      </c>
      <c r="H218" t="str">
        <f>TEXT(Ventas[[#This Row],[Fecha_venta]],"dd")</f>
        <v>01</v>
      </c>
      <c r="I218" t="str">
        <f>TEXT(Ventas[[#This Row],[Fecha_venta]],"m")</f>
        <v>7</v>
      </c>
      <c r="J218" t="str">
        <f>TEXT(Ventas[[#This Row],[Fecha_venta]],"yyyy")</f>
        <v>2011</v>
      </c>
    </row>
    <row r="219" spans="1:10" x14ac:dyDescent="0.25">
      <c r="A219">
        <v>2</v>
      </c>
      <c r="B219" s="1">
        <v>40732</v>
      </c>
      <c r="C219">
        <v>0</v>
      </c>
      <c r="D219">
        <v>87.7</v>
      </c>
      <c r="E219">
        <v>3.48</v>
      </c>
      <c r="F219">
        <v>214.92962489999999</v>
      </c>
      <c r="G219">
        <v>1853161.99</v>
      </c>
      <c r="H219" t="str">
        <f>TEXT(Ventas[[#This Row],[Fecha_venta]],"dd")</f>
        <v>08</v>
      </c>
      <c r="I219" t="str">
        <f>TEXT(Ventas[[#This Row],[Fecha_venta]],"m")</f>
        <v>7</v>
      </c>
      <c r="J219" t="str">
        <f>TEXT(Ventas[[#This Row],[Fecha_venta]],"yyyy")</f>
        <v>2011</v>
      </c>
    </row>
    <row r="220" spans="1:10" x14ac:dyDescent="0.25">
      <c r="A220">
        <v>2</v>
      </c>
      <c r="B220" s="1">
        <v>40739</v>
      </c>
      <c r="C220">
        <v>0</v>
      </c>
      <c r="D220">
        <v>89.83</v>
      </c>
      <c r="E220">
        <v>3.5750000000000002</v>
      </c>
      <c r="F220">
        <v>215.01344259999999</v>
      </c>
      <c r="G220">
        <v>1785187.29</v>
      </c>
      <c r="H220" t="str">
        <f>TEXT(Ventas[[#This Row],[Fecha_venta]],"dd")</f>
        <v>15</v>
      </c>
      <c r="I220" t="str">
        <f>TEXT(Ventas[[#This Row],[Fecha_venta]],"m")</f>
        <v>7</v>
      </c>
      <c r="J220" t="str">
        <f>TEXT(Ventas[[#This Row],[Fecha_venta]],"yyyy")</f>
        <v>2011</v>
      </c>
    </row>
    <row r="221" spans="1:10" x14ac:dyDescent="0.25">
      <c r="A221">
        <v>2</v>
      </c>
      <c r="B221" s="1">
        <v>40746</v>
      </c>
      <c r="C221">
        <v>0</v>
      </c>
      <c r="D221">
        <v>89.34</v>
      </c>
      <c r="E221">
        <v>3.6509999999999998</v>
      </c>
      <c r="F221">
        <v>215.0749122</v>
      </c>
      <c r="G221">
        <v>1743816.41</v>
      </c>
      <c r="H221" t="str">
        <f>TEXT(Ventas[[#This Row],[Fecha_venta]],"dd")</f>
        <v>22</v>
      </c>
      <c r="I221" t="str">
        <f>TEXT(Ventas[[#This Row],[Fecha_venta]],"m")</f>
        <v>7</v>
      </c>
      <c r="J221" t="str">
        <f>TEXT(Ventas[[#This Row],[Fecha_venta]],"yyyy")</f>
        <v>2011</v>
      </c>
    </row>
    <row r="222" spans="1:10" x14ac:dyDescent="0.25">
      <c r="A222">
        <v>2</v>
      </c>
      <c r="B222" s="1">
        <v>40753</v>
      </c>
      <c r="C222">
        <v>0</v>
      </c>
      <c r="D222">
        <v>90.07</v>
      </c>
      <c r="E222">
        <v>3.6819999999999999</v>
      </c>
      <c r="F222">
        <v>215.1363819</v>
      </c>
      <c r="G222">
        <v>1680693.06</v>
      </c>
      <c r="H222" t="str">
        <f>TEXT(Ventas[[#This Row],[Fecha_venta]],"dd")</f>
        <v>29</v>
      </c>
      <c r="I222" t="str">
        <f>TEXT(Ventas[[#This Row],[Fecha_venta]],"m")</f>
        <v>7</v>
      </c>
      <c r="J222" t="str">
        <f>TEXT(Ventas[[#This Row],[Fecha_venta]],"yyyy")</f>
        <v>2011</v>
      </c>
    </row>
    <row r="223" spans="1:10" x14ac:dyDescent="0.25">
      <c r="A223">
        <v>2</v>
      </c>
      <c r="B223" s="1">
        <v>40760</v>
      </c>
      <c r="C223">
        <v>0</v>
      </c>
      <c r="D223">
        <v>93.34</v>
      </c>
      <c r="E223">
        <v>3.6840000000000002</v>
      </c>
      <c r="F223">
        <v>215.19785150000001</v>
      </c>
      <c r="G223">
        <v>1876704.26</v>
      </c>
      <c r="H223" t="str">
        <f>TEXT(Ventas[[#This Row],[Fecha_venta]],"dd")</f>
        <v>05</v>
      </c>
      <c r="I223" t="str">
        <f>TEXT(Ventas[[#This Row],[Fecha_venta]],"m")</f>
        <v>8</v>
      </c>
      <c r="J223" t="str">
        <f>TEXT(Ventas[[#This Row],[Fecha_venta]],"yyyy")</f>
        <v>2011</v>
      </c>
    </row>
    <row r="224" spans="1:10" x14ac:dyDescent="0.25">
      <c r="A224">
        <v>2</v>
      </c>
      <c r="B224" s="1">
        <v>40767</v>
      </c>
      <c r="C224">
        <v>0</v>
      </c>
      <c r="D224">
        <v>91.58</v>
      </c>
      <c r="E224">
        <v>3.6379999999999999</v>
      </c>
      <c r="F224">
        <v>215.25932109999999</v>
      </c>
      <c r="G224">
        <v>1812768.26</v>
      </c>
      <c r="H224" t="str">
        <f>TEXT(Ventas[[#This Row],[Fecha_venta]],"dd")</f>
        <v>12</v>
      </c>
      <c r="I224" t="str">
        <f>TEXT(Ventas[[#This Row],[Fecha_venta]],"m")</f>
        <v>8</v>
      </c>
      <c r="J224" t="str">
        <f>TEXT(Ventas[[#This Row],[Fecha_venta]],"yyyy")</f>
        <v>2011</v>
      </c>
    </row>
    <row r="225" spans="1:10" x14ac:dyDescent="0.25">
      <c r="A225">
        <v>2</v>
      </c>
      <c r="B225" s="1">
        <v>40774</v>
      </c>
      <c r="C225">
        <v>0</v>
      </c>
      <c r="D225">
        <v>89.86</v>
      </c>
      <c r="E225">
        <v>3.5539999999999998</v>
      </c>
      <c r="F225">
        <v>215.3229307</v>
      </c>
      <c r="G225">
        <v>1844094.59</v>
      </c>
      <c r="H225" t="str">
        <f>TEXT(Ventas[[#This Row],[Fecha_venta]],"dd")</f>
        <v>19</v>
      </c>
      <c r="I225" t="str">
        <f>TEXT(Ventas[[#This Row],[Fecha_venta]],"m")</f>
        <v>8</v>
      </c>
      <c r="J225" t="str">
        <f>TEXT(Ventas[[#This Row],[Fecha_venta]],"yyyy")</f>
        <v>2011</v>
      </c>
    </row>
    <row r="226" spans="1:10" x14ac:dyDescent="0.25">
      <c r="A226">
        <v>2</v>
      </c>
      <c r="B226" s="1">
        <v>40781</v>
      </c>
      <c r="C226">
        <v>0</v>
      </c>
      <c r="D226">
        <v>90.45</v>
      </c>
      <c r="E226">
        <v>3.5230000000000001</v>
      </c>
      <c r="F226">
        <v>215.386897</v>
      </c>
      <c r="G226">
        <v>1821139.91</v>
      </c>
      <c r="H226" t="str">
        <f>TEXT(Ventas[[#This Row],[Fecha_venta]],"dd")</f>
        <v>26</v>
      </c>
      <c r="I226" t="str">
        <f>TEXT(Ventas[[#This Row],[Fecha_venta]],"m")</f>
        <v>8</v>
      </c>
      <c r="J226" t="str">
        <f>TEXT(Ventas[[#This Row],[Fecha_venta]],"yyyy")</f>
        <v>2011</v>
      </c>
    </row>
    <row r="227" spans="1:10" x14ac:dyDescent="0.25">
      <c r="A227">
        <v>2</v>
      </c>
      <c r="B227" s="1">
        <v>40788</v>
      </c>
      <c r="C227">
        <v>0</v>
      </c>
      <c r="D227">
        <v>89.64</v>
      </c>
      <c r="E227">
        <v>3.5329999999999999</v>
      </c>
      <c r="F227">
        <v>215.45086319999999</v>
      </c>
      <c r="G227">
        <v>1809119.7</v>
      </c>
      <c r="H227" t="str">
        <f>TEXT(Ventas[[#This Row],[Fecha_venta]],"dd")</f>
        <v>02</v>
      </c>
      <c r="I227" t="str">
        <f>TEXT(Ventas[[#This Row],[Fecha_venta]],"m")</f>
        <v>9</v>
      </c>
      <c r="J227" t="str">
        <f>TEXT(Ventas[[#This Row],[Fecha_venta]],"yyyy")</f>
        <v>2011</v>
      </c>
    </row>
    <row r="228" spans="1:10" x14ac:dyDescent="0.25">
      <c r="A228">
        <v>2</v>
      </c>
      <c r="B228" s="1">
        <v>40795</v>
      </c>
      <c r="C228">
        <v>1</v>
      </c>
      <c r="D228">
        <v>77.97</v>
      </c>
      <c r="E228">
        <v>3.5459999999999998</v>
      </c>
      <c r="F228">
        <v>215.51482949999999</v>
      </c>
      <c r="G228">
        <v>1748000.65</v>
      </c>
      <c r="H228" t="str">
        <f>TEXT(Ventas[[#This Row],[Fecha_venta]],"dd")</f>
        <v>09</v>
      </c>
      <c r="I228" t="str">
        <f>TEXT(Ventas[[#This Row],[Fecha_venta]],"m")</f>
        <v>9</v>
      </c>
      <c r="J228" t="str">
        <f>TEXT(Ventas[[#This Row],[Fecha_venta]],"yyyy")</f>
        <v>2011</v>
      </c>
    </row>
    <row r="229" spans="1:10" x14ac:dyDescent="0.25">
      <c r="A229">
        <v>2</v>
      </c>
      <c r="B229" s="1">
        <v>40802</v>
      </c>
      <c r="C229">
        <v>0</v>
      </c>
      <c r="D229">
        <v>78.849999999999994</v>
      </c>
      <c r="E229">
        <v>3.5259999999999998</v>
      </c>
      <c r="F229">
        <v>215.6944378</v>
      </c>
      <c r="G229">
        <v>1691439.52</v>
      </c>
      <c r="H229" t="str">
        <f>TEXT(Ventas[[#This Row],[Fecha_venta]],"dd")</f>
        <v>16</v>
      </c>
      <c r="I229" t="str">
        <f>TEXT(Ventas[[#This Row],[Fecha_venta]],"m")</f>
        <v>9</v>
      </c>
      <c r="J229" t="str">
        <f>TEXT(Ventas[[#This Row],[Fecha_venta]],"yyyy")</f>
        <v>2011</v>
      </c>
    </row>
    <row r="230" spans="1:10" x14ac:dyDescent="0.25">
      <c r="A230">
        <v>2</v>
      </c>
      <c r="B230" s="1">
        <v>40809</v>
      </c>
      <c r="C230">
        <v>0</v>
      </c>
      <c r="D230">
        <v>75.58</v>
      </c>
      <c r="E230">
        <v>3.4670000000000001</v>
      </c>
      <c r="F230">
        <v>216.02823559999999</v>
      </c>
      <c r="G230">
        <v>1669299.78</v>
      </c>
      <c r="H230" t="str">
        <f>TEXT(Ventas[[#This Row],[Fecha_venta]],"dd")</f>
        <v>23</v>
      </c>
      <c r="I230" t="str">
        <f>TEXT(Ventas[[#This Row],[Fecha_venta]],"m")</f>
        <v>9</v>
      </c>
      <c r="J230" t="str">
        <f>TEXT(Ventas[[#This Row],[Fecha_venta]],"yyyy")</f>
        <v>2011</v>
      </c>
    </row>
    <row r="231" spans="1:10" x14ac:dyDescent="0.25">
      <c r="A231">
        <v>2</v>
      </c>
      <c r="B231" s="1">
        <v>40816</v>
      </c>
      <c r="C231">
        <v>0</v>
      </c>
      <c r="D231">
        <v>78.14</v>
      </c>
      <c r="E231">
        <v>3.355</v>
      </c>
      <c r="F231">
        <v>216.36203330000001</v>
      </c>
      <c r="G231">
        <v>1650394.44</v>
      </c>
      <c r="H231" t="str">
        <f>TEXT(Ventas[[#This Row],[Fecha_venta]],"dd")</f>
        <v>30</v>
      </c>
      <c r="I231" t="str">
        <f>TEXT(Ventas[[#This Row],[Fecha_venta]],"m")</f>
        <v>9</v>
      </c>
      <c r="J231" t="str">
        <f>TEXT(Ventas[[#This Row],[Fecha_venta]],"yyyy")</f>
        <v>2011</v>
      </c>
    </row>
    <row r="232" spans="1:10" x14ac:dyDescent="0.25">
      <c r="A232">
        <v>2</v>
      </c>
      <c r="B232" s="1">
        <v>40823</v>
      </c>
      <c r="C232">
        <v>0</v>
      </c>
      <c r="D232">
        <v>69.92</v>
      </c>
      <c r="E232">
        <v>3.2850000000000001</v>
      </c>
      <c r="F232">
        <v>216.69583109999999</v>
      </c>
      <c r="G232">
        <v>1837553.43</v>
      </c>
      <c r="H232" t="str">
        <f>TEXT(Ventas[[#This Row],[Fecha_venta]],"dd")</f>
        <v>07</v>
      </c>
      <c r="I232" t="str">
        <f>TEXT(Ventas[[#This Row],[Fecha_venta]],"m")</f>
        <v>10</v>
      </c>
      <c r="J232" t="str">
        <f>TEXT(Ventas[[#This Row],[Fecha_venta]],"yyyy")</f>
        <v>2011</v>
      </c>
    </row>
    <row r="233" spans="1:10" x14ac:dyDescent="0.25">
      <c r="A233">
        <v>2</v>
      </c>
      <c r="B233" s="1">
        <v>40830</v>
      </c>
      <c r="C233">
        <v>0</v>
      </c>
      <c r="D233">
        <v>71.67</v>
      </c>
      <c r="E233">
        <v>3.274</v>
      </c>
      <c r="F233">
        <v>217.0048261</v>
      </c>
      <c r="G233">
        <v>1743882.19</v>
      </c>
      <c r="H233" t="str">
        <f>TEXT(Ventas[[#This Row],[Fecha_venta]],"dd")</f>
        <v>14</v>
      </c>
      <c r="I233" t="str">
        <f>TEXT(Ventas[[#This Row],[Fecha_venta]],"m")</f>
        <v>10</v>
      </c>
      <c r="J233" t="str">
        <f>TEXT(Ventas[[#This Row],[Fecha_venta]],"yyyy")</f>
        <v>2011</v>
      </c>
    </row>
    <row r="234" spans="1:10" x14ac:dyDescent="0.25">
      <c r="A234">
        <v>2</v>
      </c>
      <c r="B234" s="1">
        <v>40837</v>
      </c>
      <c r="C234">
        <v>0</v>
      </c>
      <c r="D234">
        <v>64.53</v>
      </c>
      <c r="E234">
        <v>3.3530000000000002</v>
      </c>
      <c r="F234">
        <v>217.1650042</v>
      </c>
      <c r="G234">
        <v>1834680.25</v>
      </c>
      <c r="H234" t="str">
        <f>TEXT(Ventas[[#This Row],[Fecha_venta]],"dd")</f>
        <v>21</v>
      </c>
      <c r="I234" t="str">
        <f>TEXT(Ventas[[#This Row],[Fecha_venta]],"m")</f>
        <v>10</v>
      </c>
      <c r="J234" t="str">
        <f>TEXT(Ventas[[#This Row],[Fecha_venta]],"yyyy")</f>
        <v>2011</v>
      </c>
    </row>
    <row r="235" spans="1:10" x14ac:dyDescent="0.25">
      <c r="A235">
        <v>2</v>
      </c>
      <c r="B235" s="1">
        <v>40844</v>
      </c>
      <c r="C235">
        <v>0</v>
      </c>
      <c r="D235">
        <v>65.87</v>
      </c>
      <c r="E235">
        <v>3.3719999999999999</v>
      </c>
      <c r="F235">
        <v>217.32518239999999</v>
      </c>
      <c r="G235">
        <v>1769296.25</v>
      </c>
      <c r="H235" t="str">
        <f>TEXT(Ventas[[#This Row],[Fecha_venta]],"dd")</f>
        <v>28</v>
      </c>
      <c r="I235" t="str">
        <f>TEXT(Ventas[[#This Row],[Fecha_venta]],"m")</f>
        <v>10</v>
      </c>
      <c r="J235" t="str">
        <f>TEXT(Ventas[[#This Row],[Fecha_venta]],"yyyy")</f>
        <v>2011</v>
      </c>
    </row>
    <row r="236" spans="1:10" x14ac:dyDescent="0.25">
      <c r="A236">
        <v>2</v>
      </c>
      <c r="B236" s="1">
        <v>40851</v>
      </c>
      <c r="C236">
        <v>0</v>
      </c>
      <c r="D236">
        <v>55.53</v>
      </c>
      <c r="E236">
        <v>3.3319999999999999</v>
      </c>
      <c r="F236">
        <v>217.48536050000001</v>
      </c>
      <c r="G236">
        <v>1959707.9</v>
      </c>
      <c r="H236" t="str">
        <f>TEXT(Ventas[[#This Row],[Fecha_venta]],"dd")</f>
        <v>04</v>
      </c>
      <c r="I236" t="str">
        <f>TEXT(Ventas[[#This Row],[Fecha_venta]],"m")</f>
        <v>11</v>
      </c>
      <c r="J236" t="str">
        <f>TEXT(Ventas[[#This Row],[Fecha_venta]],"yyyy")</f>
        <v>2011</v>
      </c>
    </row>
    <row r="237" spans="1:10" x14ac:dyDescent="0.25">
      <c r="A237">
        <v>2</v>
      </c>
      <c r="B237" s="1">
        <v>40858</v>
      </c>
      <c r="C237">
        <v>0</v>
      </c>
      <c r="D237">
        <v>59.33</v>
      </c>
      <c r="E237">
        <v>3.2970000000000002</v>
      </c>
      <c r="F237">
        <v>217.6455387</v>
      </c>
      <c r="G237">
        <v>1920725.15</v>
      </c>
      <c r="H237" t="str">
        <f>TEXT(Ventas[[#This Row],[Fecha_venta]],"dd")</f>
        <v>11</v>
      </c>
      <c r="I237" t="str">
        <f>TEXT(Ventas[[#This Row],[Fecha_venta]],"m")</f>
        <v>11</v>
      </c>
      <c r="J237" t="str">
        <f>TEXT(Ventas[[#This Row],[Fecha_venta]],"yyyy")</f>
        <v>2011</v>
      </c>
    </row>
    <row r="238" spans="1:10" x14ac:dyDescent="0.25">
      <c r="A238">
        <v>2</v>
      </c>
      <c r="B238" s="1">
        <v>40865</v>
      </c>
      <c r="C238">
        <v>0</v>
      </c>
      <c r="D238">
        <v>62.01</v>
      </c>
      <c r="E238">
        <v>3.3079999999999998</v>
      </c>
      <c r="F238">
        <v>217.8670218</v>
      </c>
      <c r="G238">
        <v>1902762.5</v>
      </c>
      <c r="H238" t="str">
        <f>TEXT(Ventas[[#This Row],[Fecha_venta]],"dd")</f>
        <v>18</v>
      </c>
      <c r="I238" t="str">
        <f>TEXT(Ventas[[#This Row],[Fecha_venta]],"m")</f>
        <v>11</v>
      </c>
      <c r="J238" t="str">
        <f>TEXT(Ventas[[#This Row],[Fecha_venta]],"yyyy")</f>
        <v>2011</v>
      </c>
    </row>
    <row r="239" spans="1:10" x14ac:dyDescent="0.25">
      <c r="A239">
        <v>2</v>
      </c>
      <c r="B239" s="1">
        <v>40872</v>
      </c>
      <c r="C239">
        <v>1</v>
      </c>
      <c r="D239">
        <v>56.36</v>
      </c>
      <c r="E239">
        <v>3.2360000000000002</v>
      </c>
      <c r="F239">
        <v>218.11302689999999</v>
      </c>
      <c r="G239">
        <v>2614202.2999999998</v>
      </c>
      <c r="H239" t="str">
        <f>TEXT(Ventas[[#This Row],[Fecha_venta]],"dd")</f>
        <v>25</v>
      </c>
      <c r="I239" t="str">
        <f>TEXT(Ventas[[#This Row],[Fecha_venta]],"m")</f>
        <v>11</v>
      </c>
      <c r="J239" t="str">
        <f>TEXT(Ventas[[#This Row],[Fecha_venta]],"yyyy")</f>
        <v>2011</v>
      </c>
    </row>
    <row r="240" spans="1:10" x14ac:dyDescent="0.25">
      <c r="A240">
        <v>2</v>
      </c>
      <c r="B240" s="1">
        <v>40879</v>
      </c>
      <c r="C240">
        <v>0</v>
      </c>
      <c r="D240">
        <v>48.74</v>
      </c>
      <c r="E240">
        <v>3.1720000000000002</v>
      </c>
      <c r="F240">
        <v>218.35903189999999</v>
      </c>
      <c r="G240">
        <v>1954952</v>
      </c>
      <c r="H240" t="str">
        <f>TEXT(Ventas[[#This Row],[Fecha_venta]],"dd")</f>
        <v>02</v>
      </c>
      <c r="I240" t="str">
        <f>TEXT(Ventas[[#This Row],[Fecha_venta]],"m")</f>
        <v>12</v>
      </c>
      <c r="J240" t="str">
        <f>TEXT(Ventas[[#This Row],[Fecha_venta]],"yyyy")</f>
        <v>2011</v>
      </c>
    </row>
    <row r="241" spans="1:10" x14ac:dyDescent="0.25">
      <c r="A241">
        <v>2</v>
      </c>
      <c r="B241" s="1">
        <v>40886</v>
      </c>
      <c r="C241">
        <v>0</v>
      </c>
      <c r="D241">
        <v>41.76</v>
      </c>
      <c r="E241">
        <v>3.1579999999999999</v>
      </c>
      <c r="F241">
        <v>218.60503700000001</v>
      </c>
      <c r="G241">
        <v>2290549.3199999998</v>
      </c>
      <c r="H241" t="str">
        <f>TEXT(Ventas[[#This Row],[Fecha_venta]],"dd")</f>
        <v>09</v>
      </c>
      <c r="I241" t="str">
        <f>TEXT(Ventas[[#This Row],[Fecha_venta]],"m")</f>
        <v>12</v>
      </c>
      <c r="J241" t="str">
        <f>TEXT(Ventas[[#This Row],[Fecha_venta]],"yyyy")</f>
        <v>2011</v>
      </c>
    </row>
    <row r="242" spans="1:10" x14ac:dyDescent="0.25">
      <c r="A242">
        <v>2</v>
      </c>
      <c r="B242" s="1">
        <v>40893</v>
      </c>
      <c r="C242">
        <v>0</v>
      </c>
      <c r="D242">
        <v>50.13</v>
      </c>
      <c r="E242">
        <v>3.1589999999999998</v>
      </c>
      <c r="F242">
        <v>218.8217928</v>
      </c>
      <c r="G242">
        <v>2432736.52</v>
      </c>
      <c r="H242" t="str">
        <f>TEXT(Ventas[[#This Row],[Fecha_venta]],"dd")</f>
        <v>16</v>
      </c>
      <c r="I242" t="str">
        <f>TEXT(Ventas[[#This Row],[Fecha_venta]],"m")</f>
        <v>12</v>
      </c>
      <c r="J242" t="str">
        <f>TEXT(Ventas[[#This Row],[Fecha_venta]],"yyyy")</f>
        <v>2011</v>
      </c>
    </row>
    <row r="243" spans="1:10" x14ac:dyDescent="0.25">
      <c r="A243">
        <v>2</v>
      </c>
      <c r="B243" s="1">
        <v>40900</v>
      </c>
      <c r="C243">
        <v>0</v>
      </c>
      <c r="D243">
        <v>46.66</v>
      </c>
      <c r="E243">
        <v>3.1120000000000001</v>
      </c>
      <c r="F243">
        <v>218.9995495</v>
      </c>
      <c r="G243">
        <v>3224369.8</v>
      </c>
      <c r="H243" t="str">
        <f>TEXT(Ventas[[#This Row],[Fecha_venta]],"dd")</f>
        <v>23</v>
      </c>
      <c r="I243" t="str">
        <f>TEXT(Ventas[[#This Row],[Fecha_venta]],"m")</f>
        <v>12</v>
      </c>
      <c r="J243" t="str">
        <f>TEXT(Ventas[[#This Row],[Fecha_venta]],"yyyy")</f>
        <v>2011</v>
      </c>
    </row>
    <row r="244" spans="1:10" x14ac:dyDescent="0.25">
      <c r="A244">
        <v>2</v>
      </c>
      <c r="B244" s="1">
        <v>40907</v>
      </c>
      <c r="C244">
        <v>1</v>
      </c>
      <c r="D244">
        <v>44.57</v>
      </c>
      <c r="E244">
        <v>3.129</v>
      </c>
      <c r="F244">
        <v>219.1773063</v>
      </c>
      <c r="G244">
        <v>1874226.52</v>
      </c>
      <c r="H244" t="str">
        <f>TEXT(Ventas[[#This Row],[Fecha_venta]],"dd")</f>
        <v>30</v>
      </c>
      <c r="I244" t="str">
        <f>TEXT(Ventas[[#This Row],[Fecha_venta]],"m")</f>
        <v>12</v>
      </c>
      <c r="J244" t="str">
        <f>TEXT(Ventas[[#This Row],[Fecha_venta]],"yyyy")</f>
        <v>2011</v>
      </c>
    </row>
    <row r="245" spans="1:10" x14ac:dyDescent="0.25">
      <c r="A245">
        <v>2</v>
      </c>
      <c r="B245" s="1">
        <v>40914</v>
      </c>
      <c r="C245">
        <v>0</v>
      </c>
      <c r="D245">
        <v>46.75</v>
      </c>
      <c r="E245">
        <v>3.157</v>
      </c>
      <c r="F245">
        <v>219.355063</v>
      </c>
      <c r="G245">
        <v>1799520.14</v>
      </c>
      <c r="H245" t="str">
        <f>TEXT(Ventas[[#This Row],[Fecha_venta]],"dd")</f>
        <v>06</v>
      </c>
      <c r="I245" t="str">
        <f>TEXT(Ventas[[#This Row],[Fecha_venta]],"m")</f>
        <v>1</v>
      </c>
      <c r="J245" t="str">
        <f>TEXT(Ventas[[#This Row],[Fecha_venta]],"yyyy")</f>
        <v>2012</v>
      </c>
    </row>
    <row r="246" spans="1:10" x14ac:dyDescent="0.25">
      <c r="A246">
        <v>2</v>
      </c>
      <c r="B246" s="1">
        <v>40921</v>
      </c>
      <c r="C246">
        <v>0</v>
      </c>
      <c r="D246">
        <v>45.99</v>
      </c>
      <c r="E246">
        <v>3.2610000000000001</v>
      </c>
      <c r="F246">
        <v>219.5328198</v>
      </c>
      <c r="G246">
        <v>1744725.48</v>
      </c>
      <c r="H246" t="str">
        <f>TEXT(Ventas[[#This Row],[Fecha_venta]],"dd")</f>
        <v>13</v>
      </c>
      <c r="I246" t="str">
        <f>TEXT(Ventas[[#This Row],[Fecha_venta]],"m")</f>
        <v>1</v>
      </c>
      <c r="J246" t="str">
        <f>TEXT(Ventas[[#This Row],[Fecha_venta]],"yyyy")</f>
        <v>2012</v>
      </c>
    </row>
    <row r="247" spans="1:10" x14ac:dyDescent="0.25">
      <c r="A247">
        <v>2</v>
      </c>
      <c r="B247" s="1">
        <v>40928</v>
      </c>
      <c r="C247">
        <v>0</v>
      </c>
      <c r="D247">
        <v>51.7</v>
      </c>
      <c r="E247">
        <v>3.2679999999999998</v>
      </c>
      <c r="F247">
        <v>219.6258417</v>
      </c>
      <c r="G247">
        <v>1711769.11</v>
      </c>
      <c r="H247" t="str">
        <f>TEXT(Ventas[[#This Row],[Fecha_venta]],"dd")</f>
        <v>20</v>
      </c>
      <c r="I247" t="str">
        <f>TEXT(Ventas[[#This Row],[Fecha_venta]],"m")</f>
        <v>1</v>
      </c>
      <c r="J247" t="str">
        <f>TEXT(Ventas[[#This Row],[Fecha_venta]],"yyyy")</f>
        <v>2012</v>
      </c>
    </row>
    <row r="248" spans="1:10" x14ac:dyDescent="0.25">
      <c r="A248">
        <v>2</v>
      </c>
      <c r="B248" s="1">
        <v>40935</v>
      </c>
      <c r="C248">
        <v>0</v>
      </c>
      <c r="D248">
        <v>50.5</v>
      </c>
      <c r="E248">
        <v>3.29</v>
      </c>
      <c r="F248">
        <v>219.71886359999999</v>
      </c>
      <c r="G248">
        <v>1660906.14</v>
      </c>
      <c r="H248" t="str">
        <f>TEXT(Ventas[[#This Row],[Fecha_venta]],"dd")</f>
        <v>27</v>
      </c>
      <c r="I248" t="str">
        <f>TEXT(Ventas[[#This Row],[Fecha_venta]],"m")</f>
        <v>1</v>
      </c>
      <c r="J248" t="str">
        <f>TEXT(Ventas[[#This Row],[Fecha_venta]],"yyyy")</f>
        <v>2012</v>
      </c>
    </row>
    <row r="249" spans="1:10" x14ac:dyDescent="0.25">
      <c r="A249">
        <v>2</v>
      </c>
      <c r="B249" s="1">
        <v>40942</v>
      </c>
      <c r="C249">
        <v>0</v>
      </c>
      <c r="D249">
        <v>55.21</v>
      </c>
      <c r="E249">
        <v>3.36</v>
      </c>
      <c r="F249">
        <v>219.81188539999999</v>
      </c>
      <c r="G249">
        <v>1935299.94</v>
      </c>
      <c r="H249" t="str">
        <f>TEXT(Ventas[[#This Row],[Fecha_venta]],"dd")</f>
        <v>03</v>
      </c>
      <c r="I249" t="str">
        <f>TEXT(Ventas[[#This Row],[Fecha_venta]],"m")</f>
        <v>2</v>
      </c>
      <c r="J249" t="str">
        <f>TEXT(Ventas[[#This Row],[Fecha_venta]],"yyyy")</f>
        <v>2012</v>
      </c>
    </row>
    <row r="250" spans="1:10" x14ac:dyDescent="0.25">
      <c r="A250">
        <v>2</v>
      </c>
      <c r="B250" s="1">
        <v>40949</v>
      </c>
      <c r="C250">
        <v>1</v>
      </c>
      <c r="D250">
        <v>46.98</v>
      </c>
      <c r="E250">
        <v>3.4089999999999998</v>
      </c>
      <c r="F250">
        <v>219.90490729999999</v>
      </c>
      <c r="G250">
        <v>2103322.6800000002</v>
      </c>
      <c r="H250" t="str">
        <f>TEXT(Ventas[[#This Row],[Fecha_venta]],"dd")</f>
        <v>10</v>
      </c>
      <c r="I250" t="str">
        <f>TEXT(Ventas[[#This Row],[Fecha_venta]],"m")</f>
        <v>2</v>
      </c>
      <c r="J250" t="str">
        <f>TEXT(Ventas[[#This Row],[Fecha_venta]],"yyyy")</f>
        <v>2012</v>
      </c>
    </row>
    <row r="251" spans="1:10" x14ac:dyDescent="0.25">
      <c r="A251">
        <v>2</v>
      </c>
      <c r="B251" s="1">
        <v>40956</v>
      </c>
      <c r="C251">
        <v>0</v>
      </c>
      <c r="D251">
        <v>43.82</v>
      </c>
      <c r="E251">
        <v>3.51</v>
      </c>
      <c r="F251">
        <v>220.06519929999999</v>
      </c>
      <c r="G251">
        <v>2196688.46</v>
      </c>
      <c r="H251" t="str">
        <f>TEXT(Ventas[[#This Row],[Fecha_venta]],"dd")</f>
        <v>17</v>
      </c>
      <c r="I251" t="str">
        <f>TEXT(Ventas[[#This Row],[Fecha_venta]],"m")</f>
        <v>2</v>
      </c>
      <c r="J251" t="str">
        <f>TEXT(Ventas[[#This Row],[Fecha_venta]],"yyyy")</f>
        <v>2012</v>
      </c>
    </row>
    <row r="252" spans="1:10" x14ac:dyDescent="0.25">
      <c r="A252">
        <v>2</v>
      </c>
      <c r="B252" s="1">
        <v>40963</v>
      </c>
      <c r="C252">
        <v>0</v>
      </c>
      <c r="D252">
        <v>54.63</v>
      </c>
      <c r="E252">
        <v>3.5550000000000002</v>
      </c>
      <c r="F252">
        <v>220.27594400000001</v>
      </c>
      <c r="G252">
        <v>1861802.7</v>
      </c>
      <c r="H252" t="str">
        <f>TEXT(Ventas[[#This Row],[Fecha_venta]],"dd")</f>
        <v>24</v>
      </c>
      <c r="I252" t="str">
        <f>TEXT(Ventas[[#This Row],[Fecha_venta]],"m")</f>
        <v>2</v>
      </c>
      <c r="J252" t="str">
        <f>TEXT(Ventas[[#This Row],[Fecha_venta]],"yyyy")</f>
        <v>2012</v>
      </c>
    </row>
    <row r="253" spans="1:10" x14ac:dyDescent="0.25">
      <c r="A253">
        <v>2</v>
      </c>
      <c r="B253" s="1">
        <v>40970</v>
      </c>
      <c r="C253">
        <v>0</v>
      </c>
      <c r="D253">
        <v>58.79</v>
      </c>
      <c r="E253">
        <v>3.63</v>
      </c>
      <c r="F253">
        <v>220.48668860000001</v>
      </c>
      <c r="G253">
        <v>1952555.66</v>
      </c>
      <c r="H253" t="str">
        <f>TEXT(Ventas[[#This Row],[Fecha_venta]],"dd")</f>
        <v>02</v>
      </c>
      <c r="I253" t="str">
        <f>TEXT(Ventas[[#This Row],[Fecha_venta]],"m")</f>
        <v>3</v>
      </c>
      <c r="J253" t="str">
        <f>TEXT(Ventas[[#This Row],[Fecha_venta]],"yyyy")</f>
        <v>2012</v>
      </c>
    </row>
    <row r="254" spans="1:10" x14ac:dyDescent="0.25">
      <c r="A254">
        <v>2</v>
      </c>
      <c r="B254" s="1">
        <v>40977</v>
      </c>
      <c r="C254">
        <v>0</v>
      </c>
      <c r="D254">
        <v>57.11</v>
      </c>
      <c r="E254">
        <v>3.669</v>
      </c>
      <c r="F254">
        <v>220.69743320000001</v>
      </c>
      <c r="G254">
        <v>1937628.26</v>
      </c>
      <c r="H254" t="str">
        <f>TEXT(Ventas[[#This Row],[Fecha_venta]],"dd")</f>
        <v>09</v>
      </c>
      <c r="I254" t="str">
        <f>TEXT(Ventas[[#This Row],[Fecha_venta]],"m")</f>
        <v>3</v>
      </c>
      <c r="J254" t="str">
        <f>TEXT(Ventas[[#This Row],[Fecha_venta]],"yyyy")</f>
        <v>2012</v>
      </c>
    </row>
    <row r="255" spans="1:10" x14ac:dyDescent="0.25">
      <c r="A255">
        <v>2</v>
      </c>
      <c r="B255" s="1">
        <v>40984</v>
      </c>
      <c r="C255">
        <v>0</v>
      </c>
      <c r="D255">
        <v>63.68</v>
      </c>
      <c r="E255">
        <v>0</v>
      </c>
      <c r="F255">
        <v>220.84984679999999</v>
      </c>
      <c r="G255">
        <v>1976082.13</v>
      </c>
      <c r="H255" t="str">
        <f>TEXT(Ventas[[#This Row],[Fecha_venta]],"dd")</f>
        <v>16</v>
      </c>
      <c r="I255" t="str">
        <f>TEXT(Ventas[[#This Row],[Fecha_venta]],"m")</f>
        <v>3</v>
      </c>
      <c r="J255" t="str">
        <f>TEXT(Ventas[[#This Row],[Fecha_venta]],"yyyy")</f>
        <v>2012</v>
      </c>
    </row>
    <row r="256" spans="1:10" x14ac:dyDescent="0.25">
      <c r="A256">
        <v>2</v>
      </c>
      <c r="B256" s="1">
        <v>40991</v>
      </c>
      <c r="C256">
        <v>0</v>
      </c>
      <c r="D256">
        <v>64.010000000000005</v>
      </c>
      <c r="E256">
        <v>3.7869999999999999</v>
      </c>
      <c r="F256">
        <v>220.92448580000001</v>
      </c>
      <c r="G256">
        <v>1790439.16</v>
      </c>
      <c r="H256" t="str">
        <f>TEXT(Ventas[[#This Row],[Fecha_venta]],"dd")</f>
        <v>23</v>
      </c>
      <c r="I256" t="str">
        <f>TEXT(Ventas[[#This Row],[Fecha_venta]],"m")</f>
        <v>3</v>
      </c>
      <c r="J256" t="str">
        <f>TEXT(Ventas[[#This Row],[Fecha_venta]],"yyyy")</f>
        <v>2012</v>
      </c>
    </row>
    <row r="257" spans="1:10" x14ac:dyDescent="0.25">
      <c r="A257">
        <v>2</v>
      </c>
      <c r="B257" s="1">
        <v>40998</v>
      </c>
      <c r="C257">
        <v>0</v>
      </c>
      <c r="D257">
        <v>66.83</v>
      </c>
      <c r="E257">
        <v>3.8450000000000002</v>
      </c>
      <c r="F257">
        <v>220.9991248</v>
      </c>
      <c r="G257">
        <v>1857480.84</v>
      </c>
      <c r="H257" t="str">
        <f>TEXT(Ventas[[#This Row],[Fecha_venta]],"dd")</f>
        <v>30</v>
      </c>
      <c r="I257" t="str">
        <f>TEXT(Ventas[[#This Row],[Fecha_venta]],"m")</f>
        <v>3</v>
      </c>
      <c r="J257" t="str">
        <f>TEXT(Ventas[[#This Row],[Fecha_venta]],"yyyy")</f>
        <v>2012</v>
      </c>
    </row>
    <row r="258" spans="1:10" x14ac:dyDescent="0.25">
      <c r="A258">
        <v>2</v>
      </c>
      <c r="B258" s="1">
        <v>41005</v>
      </c>
      <c r="C258">
        <v>0</v>
      </c>
      <c r="D258">
        <v>68.430000000000007</v>
      </c>
      <c r="E258">
        <v>3.891</v>
      </c>
      <c r="F258">
        <v>221.07376379999999</v>
      </c>
      <c r="G258">
        <v>2129035.91</v>
      </c>
      <c r="H258" t="str">
        <f>TEXT(Ventas[[#This Row],[Fecha_venta]],"dd")</f>
        <v>06</v>
      </c>
      <c r="I258" t="str">
        <f>TEXT(Ventas[[#This Row],[Fecha_venta]],"m")</f>
        <v>4</v>
      </c>
      <c r="J258" t="str">
        <f>TEXT(Ventas[[#This Row],[Fecha_venta]],"yyyy")</f>
        <v>2012</v>
      </c>
    </row>
    <row r="259" spans="1:10" x14ac:dyDescent="0.25">
      <c r="A259">
        <v>2</v>
      </c>
      <c r="B259" s="1">
        <v>41012</v>
      </c>
      <c r="C259">
        <v>0</v>
      </c>
      <c r="D259">
        <v>68.08</v>
      </c>
      <c r="E259">
        <v>3.891</v>
      </c>
      <c r="F259">
        <v>221.14840280000001</v>
      </c>
      <c r="G259">
        <v>-2</v>
      </c>
      <c r="H259" t="str">
        <f>TEXT(Ventas[[#This Row],[Fecha_venta]],"dd")</f>
        <v>13</v>
      </c>
      <c r="I259" t="str">
        <f>TEXT(Ventas[[#This Row],[Fecha_venta]],"m")</f>
        <v>4</v>
      </c>
      <c r="J259" t="str">
        <f>TEXT(Ventas[[#This Row],[Fecha_venta]],"yyyy")</f>
        <v>2012</v>
      </c>
    </row>
    <row r="260" spans="1:10" x14ac:dyDescent="0.25">
      <c r="A260">
        <v>2</v>
      </c>
      <c r="B260" s="1">
        <v>41019</v>
      </c>
      <c r="C260">
        <v>0</v>
      </c>
      <c r="D260">
        <v>65.69</v>
      </c>
      <c r="E260">
        <v>3.8769999999999998</v>
      </c>
      <c r="F260">
        <v>221.20210739999999</v>
      </c>
      <c r="G260">
        <v>1847344.45</v>
      </c>
      <c r="H260" t="str">
        <f>TEXT(Ventas[[#This Row],[Fecha_venta]],"dd")</f>
        <v>20</v>
      </c>
      <c r="I260" t="str">
        <f>TEXT(Ventas[[#This Row],[Fecha_venta]],"m")</f>
        <v>4</v>
      </c>
      <c r="J260" t="str">
        <f>TEXT(Ventas[[#This Row],[Fecha_venta]],"yyyy")</f>
        <v>2012</v>
      </c>
    </row>
    <row r="261" spans="1:10" x14ac:dyDescent="0.25">
      <c r="A261">
        <v>2</v>
      </c>
      <c r="B261" s="1">
        <v>41026</v>
      </c>
      <c r="C261">
        <v>0</v>
      </c>
      <c r="D261">
        <v>67.2</v>
      </c>
      <c r="E261">
        <v>3.8140000000000001</v>
      </c>
      <c r="F261">
        <v>221.25581199999999</v>
      </c>
      <c r="G261">
        <v>1764133.09</v>
      </c>
      <c r="H261" t="str">
        <f>TEXT(Ventas[[#This Row],[Fecha_venta]],"dd")</f>
        <v>27</v>
      </c>
      <c r="I261" t="str">
        <f>TEXT(Ventas[[#This Row],[Fecha_venta]],"m")</f>
        <v>4</v>
      </c>
      <c r="J261" t="str">
        <f>TEXT(Ventas[[#This Row],[Fecha_venta]],"yyyy")</f>
        <v>2012</v>
      </c>
    </row>
    <row r="262" spans="1:10" x14ac:dyDescent="0.25">
      <c r="A262">
        <v>2</v>
      </c>
      <c r="B262" s="1">
        <v>41033</v>
      </c>
      <c r="C262">
        <v>0</v>
      </c>
      <c r="D262">
        <v>76.73</v>
      </c>
      <c r="E262">
        <v>3.7490000000000001</v>
      </c>
      <c r="F262">
        <v>221.30951659999999</v>
      </c>
      <c r="G262">
        <v>1923957.09</v>
      </c>
      <c r="H262" t="str">
        <f>TEXT(Ventas[[#This Row],[Fecha_venta]],"dd")</f>
        <v>04</v>
      </c>
      <c r="I262" t="str">
        <f>TEXT(Ventas[[#This Row],[Fecha_venta]],"m")</f>
        <v>5</v>
      </c>
      <c r="J262" t="str">
        <f>TEXT(Ventas[[#This Row],[Fecha_venta]],"yyyy")</f>
        <v>2012</v>
      </c>
    </row>
    <row r="263" spans="1:10" x14ac:dyDescent="0.25">
      <c r="A263">
        <v>2</v>
      </c>
      <c r="B263" s="1">
        <v>41040</v>
      </c>
      <c r="C263">
        <v>0</v>
      </c>
      <c r="D263">
        <v>73.87</v>
      </c>
      <c r="E263">
        <v>3.6880000000000002</v>
      </c>
      <c r="F263">
        <v>221.3632212</v>
      </c>
      <c r="G263">
        <v>1917520.99</v>
      </c>
      <c r="H263" t="str">
        <f>TEXT(Ventas[[#This Row],[Fecha_venta]],"dd")</f>
        <v>11</v>
      </c>
      <c r="I263" t="str">
        <f>TEXT(Ventas[[#This Row],[Fecha_venta]],"m")</f>
        <v>5</v>
      </c>
      <c r="J263" t="str">
        <f>TEXT(Ventas[[#This Row],[Fecha_venta]],"yyyy")</f>
        <v>2012</v>
      </c>
    </row>
    <row r="264" spans="1:10" x14ac:dyDescent="0.25">
      <c r="A264">
        <v>2</v>
      </c>
      <c r="B264" s="1">
        <v>41047</v>
      </c>
      <c r="C264">
        <v>0</v>
      </c>
      <c r="D264">
        <v>71.27</v>
      </c>
      <c r="E264">
        <v>3.63</v>
      </c>
      <c r="F264">
        <v>221.38033100000001</v>
      </c>
      <c r="G264">
        <v>2000940.67</v>
      </c>
      <c r="H264" t="str">
        <f>TEXT(Ventas[[#This Row],[Fecha_venta]],"dd")</f>
        <v>18</v>
      </c>
      <c r="I264" t="str">
        <f>TEXT(Ventas[[#This Row],[Fecha_venta]],"m")</f>
        <v>5</v>
      </c>
      <c r="J264" t="str">
        <f>TEXT(Ventas[[#This Row],[Fecha_venta]],"yyyy")</f>
        <v>2012</v>
      </c>
    </row>
    <row r="265" spans="1:10" x14ac:dyDescent="0.25">
      <c r="A265">
        <v>2</v>
      </c>
      <c r="B265" s="1">
        <v>41054</v>
      </c>
      <c r="C265">
        <v>0</v>
      </c>
      <c r="D265">
        <v>78.19</v>
      </c>
      <c r="E265">
        <v>3.5609999999999999</v>
      </c>
      <c r="F265">
        <v>221.3828029</v>
      </c>
      <c r="G265">
        <v>1912791.09</v>
      </c>
      <c r="H265" t="str">
        <f>TEXT(Ventas[[#This Row],[Fecha_venta]],"dd")</f>
        <v>25</v>
      </c>
      <c r="I265" t="str">
        <f>TEXT(Ventas[[#This Row],[Fecha_venta]],"m")</f>
        <v>5</v>
      </c>
      <c r="J265" t="str">
        <f>TEXT(Ventas[[#This Row],[Fecha_venta]],"yyyy")</f>
        <v>2012</v>
      </c>
    </row>
    <row r="266" spans="1:10" x14ac:dyDescent="0.25">
      <c r="A266">
        <v>2</v>
      </c>
      <c r="B266" s="1">
        <v>41061</v>
      </c>
      <c r="C266">
        <v>0</v>
      </c>
      <c r="D266">
        <v>78.38</v>
      </c>
      <c r="E266">
        <v>3.5009999999999999</v>
      </c>
      <c r="F266">
        <v>221.38527479999999</v>
      </c>
      <c r="G266">
        <v>1910092.37</v>
      </c>
      <c r="H266" t="str">
        <f>TEXT(Ventas[[#This Row],[Fecha_venta]],"dd")</f>
        <v>01</v>
      </c>
      <c r="I266" t="str">
        <f>TEXT(Ventas[[#This Row],[Fecha_venta]],"m")</f>
        <v>6</v>
      </c>
      <c r="J266" t="str">
        <f>TEXT(Ventas[[#This Row],[Fecha_venta]],"yyyy")</f>
        <v>2012</v>
      </c>
    </row>
    <row r="267" spans="1:10" x14ac:dyDescent="0.25">
      <c r="A267">
        <v>2</v>
      </c>
      <c r="B267" s="1">
        <v>41068</v>
      </c>
      <c r="C267">
        <v>0</v>
      </c>
      <c r="D267">
        <v>78.69</v>
      </c>
      <c r="E267">
        <v>3.452</v>
      </c>
      <c r="F267">
        <v>221.38774670000001</v>
      </c>
      <c r="G267">
        <v>2010216.49</v>
      </c>
      <c r="H267" t="str">
        <f>TEXT(Ventas[[#This Row],[Fecha_venta]],"dd")</f>
        <v>08</v>
      </c>
      <c r="I267" t="str">
        <f>TEXT(Ventas[[#This Row],[Fecha_venta]],"m")</f>
        <v>6</v>
      </c>
      <c r="J267" t="str">
        <f>TEXT(Ventas[[#This Row],[Fecha_venta]],"yyyy")</f>
        <v>2012</v>
      </c>
    </row>
    <row r="268" spans="1:10" x14ac:dyDescent="0.25">
      <c r="A268">
        <v>2</v>
      </c>
      <c r="B268" s="1">
        <v>41075</v>
      </c>
      <c r="C268">
        <v>0</v>
      </c>
      <c r="D268">
        <v>80.56</v>
      </c>
      <c r="E268">
        <v>3.3929999999999998</v>
      </c>
      <c r="F268">
        <v>221.4009901</v>
      </c>
      <c r="G268">
        <v>1962924.3</v>
      </c>
      <c r="H268" t="str">
        <f>TEXT(Ventas[[#This Row],[Fecha_venta]],"dd")</f>
        <v>15</v>
      </c>
      <c r="I268" t="str">
        <f>TEXT(Ventas[[#This Row],[Fecha_venta]],"m")</f>
        <v>6</v>
      </c>
      <c r="J268" t="str">
        <f>TEXT(Ventas[[#This Row],[Fecha_venta]],"yyyy")</f>
        <v>2012</v>
      </c>
    </row>
    <row r="269" spans="1:10" x14ac:dyDescent="0.25">
      <c r="A269">
        <v>2</v>
      </c>
      <c r="B269" s="1">
        <v>41082</v>
      </c>
      <c r="C269">
        <v>0</v>
      </c>
      <c r="D269">
        <v>81.040000000000006</v>
      </c>
      <c r="E269">
        <v>3.3460000000000001</v>
      </c>
      <c r="F269">
        <v>221.44116220000001</v>
      </c>
      <c r="G269">
        <v>1887733.21</v>
      </c>
      <c r="H269" t="str">
        <f>TEXT(Ventas[[#This Row],[Fecha_venta]],"dd")</f>
        <v>22</v>
      </c>
      <c r="I269" t="str">
        <f>TEXT(Ventas[[#This Row],[Fecha_venta]],"m")</f>
        <v>6</v>
      </c>
      <c r="J269" t="str">
        <f>TEXT(Ventas[[#This Row],[Fecha_venta]],"yyyy")</f>
        <v>2012</v>
      </c>
    </row>
    <row r="270" spans="1:10" x14ac:dyDescent="0.25">
      <c r="A270">
        <v>2</v>
      </c>
      <c r="B270" s="1">
        <v>41089</v>
      </c>
      <c r="C270">
        <v>0</v>
      </c>
      <c r="D270">
        <v>86.32</v>
      </c>
      <c r="E270">
        <v>3.286</v>
      </c>
      <c r="F270">
        <v>221.48133429999999</v>
      </c>
      <c r="G270">
        <v>1881046.12</v>
      </c>
      <c r="H270" t="str">
        <f>TEXT(Ventas[[#This Row],[Fecha_venta]],"dd")</f>
        <v>29</v>
      </c>
      <c r="I270" t="str">
        <f>TEXT(Ventas[[#This Row],[Fecha_venta]],"m")</f>
        <v>6</v>
      </c>
      <c r="J270" t="str">
        <f>TEXT(Ventas[[#This Row],[Fecha_venta]],"yyyy")</f>
        <v>2012</v>
      </c>
    </row>
    <row r="271" spans="1:10" x14ac:dyDescent="0.25">
      <c r="A271">
        <v>2</v>
      </c>
      <c r="B271" s="1">
        <v>41096</v>
      </c>
      <c r="C271">
        <v>0</v>
      </c>
      <c r="D271">
        <v>84.2</v>
      </c>
      <c r="E271">
        <v>3.2269999999999999</v>
      </c>
      <c r="F271">
        <v>221.52150639999999</v>
      </c>
      <c r="G271">
        <v>2041507.4</v>
      </c>
      <c r="H271" t="str">
        <f>TEXT(Ventas[[#This Row],[Fecha_venta]],"dd")</f>
        <v>06</v>
      </c>
      <c r="I271" t="str">
        <f>TEXT(Ventas[[#This Row],[Fecha_venta]],"m")</f>
        <v>7</v>
      </c>
      <c r="J271" t="str">
        <f>TEXT(Ventas[[#This Row],[Fecha_venta]],"yyyy")</f>
        <v>2012</v>
      </c>
    </row>
    <row r="272" spans="1:10" x14ac:dyDescent="0.25">
      <c r="A272">
        <v>2</v>
      </c>
      <c r="B272" s="1">
        <v>41103</v>
      </c>
      <c r="C272">
        <v>0</v>
      </c>
      <c r="D272">
        <v>80.17</v>
      </c>
      <c r="E272">
        <v>3.2559999999999998</v>
      </c>
      <c r="F272">
        <v>221.56167840000001</v>
      </c>
      <c r="G272">
        <v>1830075.13</v>
      </c>
      <c r="H272" t="str">
        <f>TEXT(Ventas[[#This Row],[Fecha_venta]],"dd")</f>
        <v>13</v>
      </c>
      <c r="I272" t="str">
        <f>TEXT(Ventas[[#This Row],[Fecha_venta]],"m")</f>
        <v>7</v>
      </c>
      <c r="J272" t="str">
        <f>TEXT(Ventas[[#This Row],[Fecha_venta]],"yyyy")</f>
        <v>2012</v>
      </c>
    </row>
    <row r="273" spans="1:10" x14ac:dyDescent="0.25">
      <c r="A273">
        <v>2</v>
      </c>
      <c r="B273" s="1">
        <v>41110</v>
      </c>
      <c r="C273">
        <v>0</v>
      </c>
      <c r="D273">
        <v>83.23</v>
      </c>
      <c r="E273">
        <v>3.3109999999999999</v>
      </c>
      <c r="F273">
        <v>221.57011230000001</v>
      </c>
      <c r="G273">
        <v>1819666.46</v>
      </c>
      <c r="H273" t="str">
        <f>TEXT(Ventas[[#This Row],[Fecha_venta]],"dd")</f>
        <v>20</v>
      </c>
      <c r="I273" t="str">
        <f>TEXT(Ventas[[#This Row],[Fecha_venta]],"m")</f>
        <v>7</v>
      </c>
      <c r="J273" t="str">
        <f>TEXT(Ventas[[#This Row],[Fecha_venta]],"yyyy")</f>
        <v>2012</v>
      </c>
    </row>
    <row r="274" spans="1:10" x14ac:dyDescent="0.25">
      <c r="A274">
        <v>2</v>
      </c>
      <c r="B274" s="1">
        <v>41117</v>
      </c>
      <c r="C274">
        <v>0</v>
      </c>
      <c r="D274">
        <v>86.37</v>
      </c>
      <c r="E274">
        <v>3.407</v>
      </c>
      <c r="F274">
        <v>221.57854610000001</v>
      </c>
      <c r="G274">
        <v>1757923.88</v>
      </c>
      <c r="H274" t="str">
        <f>TEXT(Ventas[[#This Row],[Fecha_venta]],"dd")</f>
        <v>27</v>
      </c>
      <c r="I274" t="str">
        <f>TEXT(Ventas[[#This Row],[Fecha_venta]],"m")</f>
        <v>7</v>
      </c>
      <c r="J274" t="str">
        <f>TEXT(Ventas[[#This Row],[Fecha_venta]],"yyyy")</f>
        <v>2012</v>
      </c>
    </row>
    <row r="275" spans="1:10" x14ac:dyDescent="0.25">
      <c r="A275">
        <v>2</v>
      </c>
      <c r="B275" s="1">
        <v>41124</v>
      </c>
      <c r="C275">
        <v>0</v>
      </c>
      <c r="D275">
        <v>90.22</v>
      </c>
      <c r="E275">
        <v>3.4169999999999998</v>
      </c>
      <c r="F275">
        <v>221.58697989999999</v>
      </c>
      <c r="G275">
        <v>1946104.64</v>
      </c>
      <c r="H275" t="str">
        <f>TEXT(Ventas[[#This Row],[Fecha_venta]],"dd")</f>
        <v>03</v>
      </c>
      <c r="I275" t="str">
        <f>TEXT(Ventas[[#This Row],[Fecha_venta]],"m")</f>
        <v>8</v>
      </c>
      <c r="J275" t="str">
        <f>TEXT(Ventas[[#This Row],[Fecha_venta]],"yyyy")</f>
        <v>2012</v>
      </c>
    </row>
    <row r="276" spans="1:10" x14ac:dyDescent="0.25">
      <c r="A276">
        <v>2</v>
      </c>
      <c r="B276" s="1">
        <v>41131</v>
      </c>
      <c r="C276">
        <v>0</v>
      </c>
      <c r="D276">
        <v>88.55</v>
      </c>
      <c r="E276">
        <v>3.4940000000000002</v>
      </c>
      <c r="F276">
        <v>221.59541379999999</v>
      </c>
      <c r="G276">
        <v>1866719.96</v>
      </c>
      <c r="H276" t="str">
        <f>TEXT(Ventas[[#This Row],[Fecha_venta]],"dd")</f>
        <v>10</v>
      </c>
      <c r="I276" t="str">
        <f>TEXT(Ventas[[#This Row],[Fecha_venta]],"m")</f>
        <v>8</v>
      </c>
      <c r="J276" t="str">
        <f>TEXT(Ventas[[#This Row],[Fecha_venta]],"yyyy")</f>
        <v>2012</v>
      </c>
    </row>
    <row r="277" spans="1:10" x14ac:dyDescent="0.25">
      <c r="A277">
        <v>2</v>
      </c>
      <c r="B277" s="1">
        <v>41138</v>
      </c>
      <c r="C277">
        <v>0</v>
      </c>
      <c r="D277">
        <v>84.79</v>
      </c>
      <c r="E277">
        <v>3.5710000000000002</v>
      </c>
      <c r="F277">
        <v>221.67514589999999</v>
      </c>
      <c r="G277">
        <v>1928016.01</v>
      </c>
      <c r="H277" t="str">
        <f>TEXT(Ventas[[#This Row],[Fecha_venta]],"dd")</f>
        <v>17</v>
      </c>
      <c r="I277" t="str">
        <f>TEXT(Ventas[[#This Row],[Fecha_venta]],"m")</f>
        <v>8</v>
      </c>
      <c r="J277" t="str">
        <f>TEXT(Ventas[[#This Row],[Fecha_venta]],"yyyy")</f>
        <v>2012</v>
      </c>
    </row>
    <row r="278" spans="1:10" x14ac:dyDescent="0.25">
      <c r="A278">
        <v>2</v>
      </c>
      <c r="B278" s="1">
        <v>41145</v>
      </c>
      <c r="C278">
        <v>0</v>
      </c>
      <c r="D278">
        <v>76.91</v>
      </c>
      <c r="E278">
        <v>3.62</v>
      </c>
      <c r="F278">
        <v>221.8083518</v>
      </c>
      <c r="G278">
        <v>1876788.15</v>
      </c>
      <c r="H278" t="str">
        <f>TEXT(Ventas[[#This Row],[Fecha_venta]],"dd")</f>
        <v>24</v>
      </c>
      <c r="I278" t="str">
        <f>TEXT(Ventas[[#This Row],[Fecha_venta]],"m")</f>
        <v>8</v>
      </c>
      <c r="J278" t="str">
        <f>TEXT(Ventas[[#This Row],[Fecha_venta]],"yyyy")</f>
        <v>2012</v>
      </c>
    </row>
    <row r="279" spans="1:10" x14ac:dyDescent="0.25">
      <c r="A279">
        <v>2</v>
      </c>
      <c r="B279" s="1">
        <v>41152</v>
      </c>
      <c r="C279">
        <v>0</v>
      </c>
      <c r="D279">
        <v>82.64</v>
      </c>
      <c r="E279">
        <v>3.6379999999999999</v>
      </c>
      <c r="F279">
        <v>221.94155760000001</v>
      </c>
      <c r="G279">
        <v>1947083.3</v>
      </c>
      <c r="H279" t="str">
        <f>TEXT(Ventas[[#This Row],[Fecha_venta]],"dd")</f>
        <v>31</v>
      </c>
      <c r="I279" t="str">
        <f>TEXT(Ventas[[#This Row],[Fecha_venta]],"m")</f>
        <v>8</v>
      </c>
      <c r="J279" t="str">
        <f>TEXT(Ventas[[#This Row],[Fecha_venta]],"yyyy")</f>
        <v>2012</v>
      </c>
    </row>
    <row r="280" spans="1:10" x14ac:dyDescent="0.25">
      <c r="A280">
        <v>2</v>
      </c>
      <c r="B280" s="1">
        <v>41159</v>
      </c>
      <c r="C280">
        <v>1</v>
      </c>
      <c r="D280">
        <v>87.65</v>
      </c>
      <c r="E280">
        <v>3.73</v>
      </c>
      <c r="F280">
        <v>222.07476349999999</v>
      </c>
      <c r="G280">
        <v>1898777.07</v>
      </c>
      <c r="H280" t="str">
        <f>TEXT(Ventas[[#This Row],[Fecha_venta]],"dd")</f>
        <v>07</v>
      </c>
      <c r="I280" t="str">
        <f>TEXT(Ventas[[#This Row],[Fecha_venta]],"m")</f>
        <v>9</v>
      </c>
      <c r="J280" t="str">
        <f>TEXT(Ventas[[#This Row],[Fecha_venta]],"yyyy")</f>
        <v>2012</v>
      </c>
    </row>
    <row r="281" spans="1:10" x14ac:dyDescent="0.25">
      <c r="A281">
        <v>2</v>
      </c>
      <c r="B281" s="1">
        <v>41166</v>
      </c>
      <c r="C281">
        <v>0</v>
      </c>
      <c r="D281">
        <v>75.88</v>
      </c>
      <c r="E281">
        <v>3.7170000000000001</v>
      </c>
      <c r="F281">
        <v>222.21743950000001</v>
      </c>
      <c r="G281">
        <v>1814806.63</v>
      </c>
      <c r="H281" t="str">
        <f>TEXT(Ventas[[#This Row],[Fecha_venta]],"dd")</f>
        <v>14</v>
      </c>
      <c r="I281" t="str">
        <f>TEXT(Ventas[[#This Row],[Fecha_venta]],"m")</f>
        <v>9</v>
      </c>
      <c r="J281" t="str">
        <f>TEXT(Ventas[[#This Row],[Fecha_venta]],"yyyy")</f>
        <v>2012</v>
      </c>
    </row>
    <row r="282" spans="1:10" x14ac:dyDescent="0.25">
      <c r="A282">
        <v>2</v>
      </c>
      <c r="B282" s="1">
        <v>41173</v>
      </c>
      <c r="C282">
        <v>0</v>
      </c>
      <c r="D282">
        <v>71.09</v>
      </c>
      <c r="E282">
        <v>3.7210000000000001</v>
      </c>
      <c r="F282">
        <v>222.41693620000001</v>
      </c>
      <c r="G282">
        <v>1829415.67</v>
      </c>
      <c r="H282" t="str">
        <f>TEXT(Ventas[[#This Row],[Fecha_venta]],"dd")</f>
        <v>21</v>
      </c>
      <c r="I282" t="str">
        <f>TEXT(Ventas[[#This Row],[Fecha_venta]],"m")</f>
        <v>9</v>
      </c>
      <c r="J282" t="str">
        <f>TEXT(Ventas[[#This Row],[Fecha_venta]],"yyyy")</f>
        <v>2012</v>
      </c>
    </row>
    <row r="283" spans="1:10" x14ac:dyDescent="0.25">
      <c r="A283">
        <v>2</v>
      </c>
      <c r="B283" s="1">
        <v>41180</v>
      </c>
      <c r="C283">
        <v>0</v>
      </c>
      <c r="D283">
        <v>79.45</v>
      </c>
      <c r="E283">
        <v>3.6659999999999999</v>
      </c>
      <c r="F283">
        <v>222.61643290000001</v>
      </c>
      <c r="G283">
        <v>1746470.56</v>
      </c>
      <c r="H283" t="str">
        <f>TEXT(Ventas[[#This Row],[Fecha_venta]],"dd")</f>
        <v>28</v>
      </c>
      <c r="I283" t="str">
        <f>TEXT(Ventas[[#This Row],[Fecha_venta]],"m")</f>
        <v>9</v>
      </c>
      <c r="J283" t="str">
        <f>TEXT(Ventas[[#This Row],[Fecha_venta]],"yyyy")</f>
        <v>2012</v>
      </c>
    </row>
    <row r="284" spans="1:10" x14ac:dyDescent="0.25">
      <c r="A284">
        <v>2</v>
      </c>
      <c r="B284" s="1">
        <v>41187</v>
      </c>
      <c r="C284">
        <v>0</v>
      </c>
      <c r="D284">
        <v>70.27</v>
      </c>
      <c r="E284">
        <v>3.617</v>
      </c>
      <c r="F284">
        <v>222.8159296</v>
      </c>
      <c r="G284">
        <v>1998321.04</v>
      </c>
      <c r="H284" t="str">
        <f>TEXT(Ventas[[#This Row],[Fecha_venta]],"dd")</f>
        <v>05</v>
      </c>
      <c r="I284" t="str">
        <f>TEXT(Ventas[[#This Row],[Fecha_venta]],"m")</f>
        <v>10</v>
      </c>
      <c r="J284" t="str">
        <f>TEXT(Ventas[[#This Row],[Fecha_venta]],"yyyy")</f>
        <v>2012</v>
      </c>
    </row>
    <row r="285" spans="1:10" x14ac:dyDescent="0.25">
      <c r="A285">
        <v>2</v>
      </c>
      <c r="B285" s="1">
        <v>41194</v>
      </c>
      <c r="C285">
        <v>0</v>
      </c>
      <c r="D285">
        <v>60.97</v>
      </c>
      <c r="E285">
        <v>3.601</v>
      </c>
      <c r="F285">
        <v>223.0154263</v>
      </c>
      <c r="G285">
        <v>1900745.13</v>
      </c>
      <c r="H285" t="str">
        <f>TEXT(Ventas[[#This Row],[Fecha_venta]],"dd")</f>
        <v>12</v>
      </c>
      <c r="I285" t="str">
        <f>TEXT(Ventas[[#This Row],[Fecha_venta]],"m")</f>
        <v>10</v>
      </c>
      <c r="J285" t="str">
        <f>TEXT(Ventas[[#This Row],[Fecha_venta]],"yyyy")</f>
        <v>2012</v>
      </c>
    </row>
    <row r="286" spans="1:10" x14ac:dyDescent="0.25">
      <c r="A286">
        <v>2</v>
      </c>
      <c r="B286" s="1">
        <v>41201</v>
      </c>
      <c r="C286">
        <v>0</v>
      </c>
      <c r="D286">
        <v>68.08</v>
      </c>
      <c r="E286">
        <v>3.5939999999999999</v>
      </c>
      <c r="F286">
        <v>223.05980769999999</v>
      </c>
      <c r="G286">
        <v>1847990.41</v>
      </c>
      <c r="H286" t="str">
        <f>TEXT(Ventas[[#This Row],[Fecha_venta]],"dd")</f>
        <v>19</v>
      </c>
      <c r="I286" t="str">
        <f>TEXT(Ventas[[#This Row],[Fecha_venta]],"m")</f>
        <v>10</v>
      </c>
      <c r="J286" t="str">
        <f>TEXT(Ventas[[#This Row],[Fecha_venta]],"yyyy")</f>
        <v>2012</v>
      </c>
    </row>
    <row r="287" spans="1:10" x14ac:dyDescent="0.25">
      <c r="A287">
        <v>2</v>
      </c>
      <c r="B287" s="1">
        <v>41208</v>
      </c>
      <c r="C287">
        <v>0</v>
      </c>
      <c r="D287">
        <v>69.790000000000006</v>
      </c>
      <c r="E287">
        <v>3.5059999999999998</v>
      </c>
      <c r="F287">
        <v>223.0783366</v>
      </c>
      <c r="G287">
        <v>1834458.35</v>
      </c>
      <c r="H287" t="str">
        <f>TEXT(Ventas[[#This Row],[Fecha_venta]],"dd")</f>
        <v>26</v>
      </c>
      <c r="I287" t="str">
        <f>TEXT(Ventas[[#This Row],[Fecha_venta]],"m")</f>
        <v>10</v>
      </c>
      <c r="J287" t="str">
        <f>TEXT(Ventas[[#This Row],[Fecha_venta]],"yyyy")</f>
        <v>2012</v>
      </c>
    </row>
    <row r="288" spans="1:10" x14ac:dyDescent="0.25">
      <c r="A288">
        <v>3</v>
      </c>
      <c r="B288" s="1">
        <v>40214</v>
      </c>
      <c r="C288">
        <v>0</v>
      </c>
      <c r="D288">
        <v>45.71</v>
      </c>
      <c r="E288">
        <v>2.5720000000000001</v>
      </c>
      <c r="F288">
        <v>214.42488119999999</v>
      </c>
      <c r="G288">
        <v>461622.22</v>
      </c>
      <c r="H288" t="str">
        <f>TEXT(Ventas[[#This Row],[Fecha_venta]],"dd")</f>
        <v>05</v>
      </c>
      <c r="I288" t="str">
        <f>TEXT(Ventas[[#This Row],[Fecha_venta]],"m")</f>
        <v>2</v>
      </c>
      <c r="J288" t="str">
        <f>TEXT(Ventas[[#This Row],[Fecha_venta]],"yyyy")</f>
        <v>2010</v>
      </c>
    </row>
    <row r="289" spans="1:10" x14ac:dyDescent="0.25">
      <c r="A289">
        <v>3</v>
      </c>
      <c r="B289" s="1">
        <v>40221</v>
      </c>
      <c r="C289">
        <v>1</v>
      </c>
      <c r="D289">
        <v>47.93</v>
      </c>
      <c r="E289">
        <v>2.548</v>
      </c>
      <c r="F289">
        <v>214.5747916</v>
      </c>
      <c r="G289">
        <v>420728.96</v>
      </c>
      <c r="H289" t="str">
        <f>TEXT(Ventas[[#This Row],[Fecha_venta]],"dd")</f>
        <v>12</v>
      </c>
      <c r="I289" t="str">
        <f>TEXT(Ventas[[#This Row],[Fecha_venta]],"m")</f>
        <v>2</v>
      </c>
      <c r="J289" t="str">
        <f>TEXT(Ventas[[#This Row],[Fecha_venta]],"yyyy")</f>
        <v>2010</v>
      </c>
    </row>
    <row r="290" spans="1:10" x14ac:dyDescent="0.25">
      <c r="A290">
        <v>3</v>
      </c>
      <c r="B290" s="1">
        <v>40228</v>
      </c>
      <c r="C290">
        <v>0</v>
      </c>
      <c r="D290">
        <v>47.07</v>
      </c>
      <c r="E290">
        <v>2.5139999999999998</v>
      </c>
      <c r="F290">
        <v>214.61988679999999</v>
      </c>
      <c r="G290">
        <v>421642.19</v>
      </c>
      <c r="H290" t="str">
        <f>TEXT(Ventas[[#This Row],[Fecha_venta]],"dd")</f>
        <v>19</v>
      </c>
      <c r="I290" t="str">
        <f>TEXT(Ventas[[#This Row],[Fecha_venta]],"m")</f>
        <v>2</v>
      </c>
      <c r="J290" t="str">
        <f>TEXT(Ventas[[#This Row],[Fecha_venta]],"yyyy")</f>
        <v>2010</v>
      </c>
    </row>
    <row r="291" spans="1:10" x14ac:dyDescent="0.25">
      <c r="A291">
        <v>3</v>
      </c>
      <c r="B291" s="1">
        <v>40235</v>
      </c>
      <c r="C291">
        <v>0</v>
      </c>
      <c r="D291">
        <v>52.05</v>
      </c>
      <c r="E291">
        <v>2.5609999999999999</v>
      </c>
      <c r="F291">
        <v>214.64751269999999</v>
      </c>
      <c r="G291">
        <v>407204.86</v>
      </c>
      <c r="H291" t="str">
        <f>TEXT(Ventas[[#This Row],[Fecha_venta]],"dd")</f>
        <v>26</v>
      </c>
      <c r="I291" t="str">
        <f>TEXT(Ventas[[#This Row],[Fecha_venta]],"m")</f>
        <v>2</v>
      </c>
      <c r="J291" t="str">
        <f>TEXT(Ventas[[#This Row],[Fecha_venta]],"yyyy")</f>
        <v>2010</v>
      </c>
    </row>
    <row r="292" spans="1:10" x14ac:dyDescent="0.25">
      <c r="A292">
        <v>3</v>
      </c>
      <c r="B292" s="1">
        <v>40242</v>
      </c>
      <c r="C292">
        <v>0</v>
      </c>
      <c r="D292">
        <v>53.04</v>
      </c>
      <c r="E292">
        <v>2.625</v>
      </c>
      <c r="F292">
        <v>214.6751386</v>
      </c>
      <c r="G292">
        <v>415202.04</v>
      </c>
      <c r="H292" t="str">
        <f>TEXT(Ventas[[#This Row],[Fecha_venta]],"dd")</f>
        <v>05</v>
      </c>
      <c r="I292" t="str">
        <f>TEXT(Ventas[[#This Row],[Fecha_venta]],"m")</f>
        <v>3</v>
      </c>
      <c r="J292" t="str">
        <f>TEXT(Ventas[[#This Row],[Fecha_venta]],"yyyy")</f>
        <v>2010</v>
      </c>
    </row>
    <row r="293" spans="1:10" x14ac:dyDescent="0.25">
      <c r="A293">
        <v>3</v>
      </c>
      <c r="B293" s="1">
        <v>40249</v>
      </c>
      <c r="C293">
        <v>0</v>
      </c>
      <c r="D293">
        <v>63.08</v>
      </c>
      <c r="E293">
        <v>2.6669999999999998</v>
      </c>
      <c r="F293">
        <v>214.70276459999999</v>
      </c>
      <c r="G293">
        <v>384200.69</v>
      </c>
      <c r="H293" t="str">
        <f>TEXT(Ventas[[#This Row],[Fecha_venta]],"dd")</f>
        <v>12</v>
      </c>
      <c r="I293" t="str">
        <f>TEXT(Ventas[[#This Row],[Fecha_venta]],"m")</f>
        <v>3</v>
      </c>
      <c r="J293" t="str">
        <f>TEXT(Ventas[[#This Row],[Fecha_venta]],"yyyy")</f>
        <v>2010</v>
      </c>
    </row>
    <row r="294" spans="1:10" x14ac:dyDescent="0.25">
      <c r="A294">
        <v>3</v>
      </c>
      <c r="B294" s="1">
        <v>40256</v>
      </c>
      <c r="C294">
        <v>0</v>
      </c>
      <c r="D294">
        <v>60.42</v>
      </c>
      <c r="E294">
        <v>2.72</v>
      </c>
      <c r="F294">
        <v>214.53012190000001</v>
      </c>
      <c r="G294">
        <v>375328.59</v>
      </c>
      <c r="H294" t="str">
        <f>TEXT(Ventas[[#This Row],[Fecha_venta]],"dd")</f>
        <v>19</v>
      </c>
      <c r="I294" t="str">
        <f>TEXT(Ventas[[#This Row],[Fecha_venta]],"m")</f>
        <v>3</v>
      </c>
      <c r="J294" t="str">
        <f>TEXT(Ventas[[#This Row],[Fecha_venta]],"yyyy")</f>
        <v>2010</v>
      </c>
    </row>
    <row r="295" spans="1:10" x14ac:dyDescent="0.25">
      <c r="A295">
        <v>3</v>
      </c>
      <c r="B295" s="1">
        <v>40263</v>
      </c>
      <c r="C295">
        <v>0</v>
      </c>
      <c r="D295">
        <v>57.06</v>
      </c>
      <c r="E295">
        <v>2.7320000000000002</v>
      </c>
      <c r="F295">
        <v>214.32410110000001</v>
      </c>
      <c r="G295">
        <v>359949.27</v>
      </c>
      <c r="H295" t="str">
        <f>TEXT(Ventas[[#This Row],[Fecha_venta]],"dd")</f>
        <v>26</v>
      </c>
      <c r="I295" t="str">
        <f>TEXT(Ventas[[#This Row],[Fecha_venta]],"m")</f>
        <v>3</v>
      </c>
      <c r="J295" t="str">
        <f>TEXT(Ventas[[#This Row],[Fecha_venta]],"yyyy")</f>
        <v>2010</v>
      </c>
    </row>
    <row r="296" spans="1:10" x14ac:dyDescent="0.25">
      <c r="A296">
        <v>3</v>
      </c>
      <c r="B296" s="1">
        <v>40270</v>
      </c>
      <c r="C296">
        <v>0</v>
      </c>
      <c r="D296">
        <v>65.56</v>
      </c>
      <c r="E296">
        <v>2.7189999999999999</v>
      </c>
      <c r="F296">
        <v>214.1180803</v>
      </c>
      <c r="G296">
        <v>423294.4</v>
      </c>
      <c r="H296" t="str">
        <f>TEXT(Ventas[[#This Row],[Fecha_venta]],"dd")</f>
        <v>02</v>
      </c>
      <c r="I296" t="str">
        <f>TEXT(Ventas[[#This Row],[Fecha_venta]],"m")</f>
        <v>4</v>
      </c>
      <c r="J296" t="str">
        <f>TEXT(Ventas[[#This Row],[Fecha_venta]],"yyyy")</f>
        <v>2010</v>
      </c>
    </row>
    <row r="297" spans="1:10" x14ac:dyDescent="0.25">
      <c r="A297">
        <v>3</v>
      </c>
      <c r="B297" s="1">
        <v>40277</v>
      </c>
      <c r="C297">
        <v>0</v>
      </c>
      <c r="D297">
        <v>68</v>
      </c>
      <c r="E297">
        <v>2.77</v>
      </c>
      <c r="F297">
        <v>213.9120595</v>
      </c>
      <c r="G297">
        <v>415870.28</v>
      </c>
      <c r="H297" t="str">
        <f>TEXT(Ventas[[#This Row],[Fecha_venta]],"dd")</f>
        <v>09</v>
      </c>
      <c r="I297" t="str">
        <f>TEXT(Ventas[[#This Row],[Fecha_venta]],"m")</f>
        <v>4</v>
      </c>
      <c r="J297" t="str">
        <f>TEXT(Ventas[[#This Row],[Fecha_venta]],"yyyy")</f>
        <v>2010</v>
      </c>
    </row>
    <row r="298" spans="1:10" x14ac:dyDescent="0.25">
      <c r="A298">
        <v>3</v>
      </c>
      <c r="B298" s="1">
        <v>40284</v>
      </c>
      <c r="C298">
        <v>0</v>
      </c>
      <c r="D298">
        <v>66.98</v>
      </c>
      <c r="E298">
        <v>2.8079999999999998</v>
      </c>
      <c r="F298">
        <v>213.77268889999999</v>
      </c>
      <c r="G298">
        <v>354993.26</v>
      </c>
      <c r="H298" t="str">
        <f>TEXT(Ventas[[#This Row],[Fecha_venta]],"dd")</f>
        <v>16</v>
      </c>
      <c r="I298" t="str">
        <f>TEXT(Ventas[[#This Row],[Fecha_venta]],"m")</f>
        <v>4</v>
      </c>
      <c r="J298" t="str">
        <f>TEXT(Ventas[[#This Row],[Fecha_venta]],"yyyy")</f>
        <v>2010</v>
      </c>
    </row>
    <row r="299" spans="1:10" x14ac:dyDescent="0.25">
      <c r="A299">
        <v>3</v>
      </c>
      <c r="B299" s="1">
        <v>40291</v>
      </c>
      <c r="C299">
        <v>0</v>
      </c>
      <c r="D299">
        <v>67.87</v>
      </c>
      <c r="E299">
        <v>2.7949999999999999</v>
      </c>
      <c r="F299">
        <v>213.72218520000001</v>
      </c>
      <c r="G299">
        <v>339976.65</v>
      </c>
      <c r="H299" t="str">
        <f>TEXT(Ventas[[#This Row],[Fecha_venta]],"dd")</f>
        <v>23</v>
      </c>
      <c r="I299" t="str">
        <f>TEXT(Ventas[[#This Row],[Fecha_venta]],"m")</f>
        <v>4</v>
      </c>
      <c r="J299" t="str">
        <f>TEXT(Ventas[[#This Row],[Fecha_venta]],"yyyy")</f>
        <v>2010</v>
      </c>
    </row>
    <row r="300" spans="1:10" x14ac:dyDescent="0.25">
      <c r="A300">
        <v>3</v>
      </c>
      <c r="B300" s="1">
        <v>40298</v>
      </c>
      <c r="C300">
        <v>0</v>
      </c>
      <c r="D300">
        <v>70.239999999999995</v>
      </c>
      <c r="E300">
        <v>2.78</v>
      </c>
      <c r="F300">
        <v>213.67168150000001</v>
      </c>
      <c r="G300">
        <v>361248.39</v>
      </c>
      <c r="H300" t="str">
        <f>TEXT(Ventas[[#This Row],[Fecha_venta]],"dd")</f>
        <v>30</v>
      </c>
      <c r="I300" t="str">
        <f>TEXT(Ventas[[#This Row],[Fecha_venta]],"m")</f>
        <v>4</v>
      </c>
      <c r="J300" t="str">
        <f>TEXT(Ventas[[#This Row],[Fecha_venta]],"yyyy")</f>
        <v>2010</v>
      </c>
    </row>
    <row r="301" spans="1:10" x14ac:dyDescent="0.25">
      <c r="A301">
        <v>3</v>
      </c>
      <c r="B301" s="1">
        <v>40305</v>
      </c>
      <c r="C301">
        <v>0</v>
      </c>
      <c r="D301">
        <v>73.47</v>
      </c>
      <c r="E301">
        <v>2.835</v>
      </c>
      <c r="F301">
        <v>213.6211778</v>
      </c>
      <c r="G301">
        <v>399323.86</v>
      </c>
      <c r="H301" t="str">
        <f>TEXT(Ventas[[#This Row],[Fecha_venta]],"dd")</f>
        <v>07</v>
      </c>
      <c r="I301" t="str">
        <f>TEXT(Ventas[[#This Row],[Fecha_venta]],"m")</f>
        <v>5</v>
      </c>
      <c r="J301" t="str">
        <f>TEXT(Ventas[[#This Row],[Fecha_venta]],"yyyy")</f>
        <v>2010</v>
      </c>
    </row>
    <row r="302" spans="1:10" x14ac:dyDescent="0.25">
      <c r="A302">
        <v>3</v>
      </c>
      <c r="B302" s="1">
        <v>40312</v>
      </c>
      <c r="C302">
        <v>0</v>
      </c>
      <c r="D302">
        <v>77.180000000000007</v>
      </c>
      <c r="E302">
        <v>2.8540000000000001</v>
      </c>
      <c r="F302">
        <v>213.61961389999999</v>
      </c>
      <c r="G302">
        <v>384357.94</v>
      </c>
      <c r="H302" t="str">
        <f>TEXT(Ventas[[#This Row],[Fecha_venta]],"dd")</f>
        <v>14</v>
      </c>
      <c r="I302" t="str">
        <f>TEXT(Ventas[[#This Row],[Fecha_venta]],"m")</f>
        <v>5</v>
      </c>
      <c r="J302" t="str">
        <f>TEXT(Ventas[[#This Row],[Fecha_venta]],"yyyy")</f>
        <v>2010</v>
      </c>
    </row>
    <row r="303" spans="1:10" x14ac:dyDescent="0.25">
      <c r="A303">
        <v>3</v>
      </c>
      <c r="B303" s="1">
        <v>40319</v>
      </c>
      <c r="C303">
        <v>0</v>
      </c>
      <c r="D303">
        <v>75.81</v>
      </c>
      <c r="E303">
        <v>2.8260000000000001</v>
      </c>
      <c r="F303">
        <v>213.91168859999999</v>
      </c>
      <c r="G303">
        <v>343763.17</v>
      </c>
      <c r="H303" t="str">
        <f>TEXT(Ventas[[#This Row],[Fecha_venta]],"dd")</f>
        <v>21</v>
      </c>
      <c r="I303" t="str">
        <f>TEXT(Ventas[[#This Row],[Fecha_venta]],"m")</f>
        <v>5</v>
      </c>
      <c r="J303" t="str">
        <f>TEXT(Ventas[[#This Row],[Fecha_venta]],"yyyy")</f>
        <v>2010</v>
      </c>
    </row>
    <row r="304" spans="1:10" x14ac:dyDescent="0.25">
      <c r="A304">
        <v>3</v>
      </c>
      <c r="B304" s="1">
        <v>40326</v>
      </c>
      <c r="C304">
        <v>0</v>
      </c>
      <c r="D304">
        <v>78.599999999999994</v>
      </c>
      <c r="E304">
        <v>2.7589999999999999</v>
      </c>
      <c r="F304">
        <v>214.20376340000001</v>
      </c>
      <c r="G304">
        <v>350089.23</v>
      </c>
      <c r="H304" t="str">
        <f>TEXT(Ventas[[#This Row],[Fecha_venta]],"dd")</f>
        <v>28</v>
      </c>
      <c r="I304" t="str">
        <f>TEXT(Ventas[[#This Row],[Fecha_venta]],"m")</f>
        <v>5</v>
      </c>
      <c r="J304" t="str">
        <f>TEXT(Ventas[[#This Row],[Fecha_venta]],"yyyy")</f>
        <v>2010</v>
      </c>
    </row>
    <row r="305" spans="1:10" x14ac:dyDescent="0.25">
      <c r="A305">
        <v>3</v>
      </c>
      <c r="B305" s="1">
        <v>40333</v>
      </c>
      <c r="C305">
        <v>0</v>
      </c>
      <c r="D305">
        <v>78.53</v>
      </c>
      <c r="E305">
        <v>2.7050000000000001</v>
      </c>
      <c r="F305">
        <v>214.49583820000001</v>
      </c>
      <c r="G305">
        <v>396968.8</v>
      </c>
      <c r="H305" t="str">
        <f>TEXT(Ventas[[#This Row],[Fecha_venta]],"dd")</f>
        <v>04</v>
      </c>
      <c r="I305" t="str">
        <f>TEXT(Ventas[[#This Row],[Fecha_venta]],"m")</f>
        <v>6</v>
      </c>
      <c r="J305" t="str">
        <f>TEXT(Ventas[[#This Row],[Fecha_venta]],"yyyy")</f>
        <v>2010</v>
      </c>
    </row>
    <row r="306" spans="1:10" x14ac:dyDescent="0.25">
      <c r="A306">
        <v>3</v>
      </c>
      <c r="B306" s="1">
        <v>40340</v>
      </c>
      <c r="C306">
        <v>7</v>
      </c>
      <c r="D306">
        <v>82.1</v>
      </c>
      <c r="E306">
        <v>2.6680000000000001</v>
      </c>
      <c r="F306">
        <v>214.787913</v>
      </c>
      <c r="G306">
        <v>355017.09</v>
      </c>
      <c r="H306" t="str">
        <f>TEXT(Ventas[[#This Row],[Fecha_venta]],"dd")</f>
        <v>11</v>
      </c>
      <c r="I306" t="str">
        <f>TEXT(Ventas[[#This Row],[Fecha_venta]],"m")</f>
        <v>6</v>
      </c>
      <c r="J306" t="str">
        <f>TEXT(Ventas[[#This Row],[Fecha_venta]],"yyyy")</f>
        <v>2010</v>
      </c>
    </row>
    <row r="307" spans="1:10" x14ac:dyDescent="0.25">
      <c r="A307">
        <v>3</v>
      </c>
      <c r="B307" s="1">
        <v>40347</v>
      </c>
      <c r="C307">
        <v>0</v>
      </c>
      <c r="D307">
        <v>83.52</v>
      </c>
      <c r="E307">
        <v>2.637</v>
      </c>
      <c r="F307">
        <v>214.78582589999999</v>
      </c>
      <c r="G307">
        <v>364076.85</v>
      </c>
      <c r="H307" t="str">
        <f>TEXT(Ventas[[#This Row],[Fecha_venta]],"dd")</f>
        <v>18</v>
      </c>
      <c r="I307" t="str">
        <f>TEXT(Ventas[[#This Row],[Fecha_venta]],"m")</f>
        <v>6</v>
      </c>
      <c r="J307" t="str">
        <f>TEXT(Ventas[[#This Row],[Fecha_venta]],"yyyy")</f>
        <v>2010</v>
      </c>
    </row>
    <row r="308" spans="1:10" x14ac:dyDescent="0.25">
      <c r="A308">
        <v>3</v>
      </c>
      <c r="B308" s="1">
        <v>40354</v>
      </c>
      <c r="C308">
        <v>0</v>
      </c>
      <c r="D308">
        <v>83.79</v>
      </c>
      <c r="E308">
        <v>2.653</v>
      </c>
      <c r="F308">
        <v>214.6660741</v>
      </c>
      <c r="G308">
        <v>357346.48</v>
      </c>
      <c r="H308" t="str">
        <f>TEXT(Ventas[[#This Row],[Fecha_venta]],"dd")</f>
        <v>25</v>
      </c>
      <c r="I308" t="str">
        <f>TEXT(Ventas[[#This Row],[Fecha_venta]],"m")</f>
        <v>6</v>
      </c>
      <c r="J308" t="str">
        <f>TEXT(Ventas[[#This Row],[Fecha_venta]],"yyyy")</f>
        <v>2010</v>
      </c>
    </row>
    <row r="309" spans="1:10" x14ac:dyDescent="0.25">
      <c r="A309">
        <v>3</v>
      </c>
      <c r="B309" s="1">
        <v>40361</v>
      </c>
      <c r="C309">
        <v>0</v>
      </c>
      <c r="D309">
        <v>82.2</v>
      </c>
      <c r="E309">
        <v>2.669</v>
      </c>
      <c r="F309">
        <v>214.54632219999999</v>
      </c>
      <c r="G309">
        <v>381151.72</v>
      </c>
      <c r="H309" t="str">
        <f>TEXT(Ventas[[#This Row],[Fecha_venta]],"dd")</f>
        <v>02</v>
      </c>
      <c r="I309" t="str">
        <f>TEXT(Ventas[[#This Row],[Fecha_venta]],"m")</f>
        <v>7</v>
      </c>
      <c r="J309" t="str">
        <f>TEXT(Ventas[[#This Row],[Fecha_venta]],"yyyy")</f>
        <v>2010</v>
      </c>
    </row>
    <row r="310" spans="1:10" x14ac:dyDescent="0.25">
      <c r="A310">
        <v>3</v>
      </c>
      <c r="B310" s="1">
        <v>40368</v>
      </c>
      <c r="C310">
        <v>0</v>
      </c>
      <c r="D310">
        <v>81.75</v>
      </c>
      <c r="E310">
        <v>2.6419999999999999</v>
      </c>
      <c r="F310">
        <v>214.4265704</v>
      </c>
      <c r="G310">
        <v>349214.18</v>
      </c>
      <c r="H310" t="str">
        <f>TEXT(Ventas[[#This Row],[Fecha_venta]],"dd")</f>
        <v>09</v>
      </c>
      <c r="I310" t="str">
        <f>TEXT(Ventas[[#This Row],[Fecha_venta]],"m")</f>
        <v>7</v>
      </c>
      <c r="J310" t="str">
        <f>TEXT(Ventas[[#This Row],[Fecha_venta]],"yyyy")</f>
        <v>2010</v>
      </c>
    </row>
    <row r="311" spans="1:10" x14ac:dyDescent="0.25">
      <c r="A311">
        <v>3</v>
      </c>
      <c r="B311" s="1">
        <v>40375</v>
      </c>
      <c r="C311">
        <v>0</v>
      </c>
      <c r="D311">
        <v>84.32</v>
      </c>
      <c r="E311">
        <v>2.6230000000000002</v>
      </c>
      <c r="F311">
        <v>214.41764760000001</v>
      </c>
      <c r="G311">
        <v>352728.78</v>
      </c>
      <c r="H311" t="str">
        <f>TEXT(Ventas[[#This Row],[Fecha_venta]],"dd")</f>
        <v>16</v>
      </c>
      <c r="I311" t="str">
        <f>TEXT(Ventas[[#This Row],[Fecha_venta]],"m")</f>
        <v>7</v>
      </c>
      <c r="J311" t="str">
        <f>TEXT(Ventas[[#This Row],[Fecha_venta]],"yyyy")</f>
        <v>2010</v>
      </c>
    </row>
    <row r="312" spans="1:10" x14ac:dyDescent="0.25">
      <c r="A312">
        <v>3</v>
      </c>
      <c r="B312" s="1">
        <v>40382</v>
      </c>
      <c r="C312">
        <v>0</v>
      </c>
      <c r="D312">
        <v>83.32</v>
      </c>
      <c r="E312">
        <v>2.6080000000000001</v>
      </c>
      <c r="F312">
        <v>214.55649679999999</v>
      </c>
      <c r="G312">
        <v>352864.49</v>
      </c>
      <c r="H312" t="str">
        <f>TEXT(Ventas[[#This Row],[Fecha_venta]],"dd")</f>
        <v>23</v>
      </c>
      <c r="I312" t="str">
        <f>TEXT(Ventas[[#This Row],[Fecha_venta]],"m")</f>
        <v>7</v>
      </c>
      <c r="J312" t="str">
        <f>TEXT(Ventas[[#This Row],[Fecha_venta]],"yyyy")</f>
        <v>2010</v>
      </c>
    </row>
    <row r="313" spans="1:10" x14ac:dyDescent="0.25">
      <c r="A313">
        <v>3</v>
      </c>
      <c r="B313" s="1">
        <v>40389</v>
      </c>
      <c r="C313">
        <v>0</v>
      </c>
      <c r="D313">
        <v>82.04</v>
      </c>
      <c r="E313">
        <v>2.64</v>
      </c>
      <c r="F313">
        <v>214.695346</v>
      </c>
      <c r="G313">
        <v>347955.05</v>
      </c>
      <c r="H313" t="str">
        <f>TEXT(Ventas[[#This Row],[Fecha_venta]],"dd")</f>
        <v>30</v>
      </c>
      <c r="I313" t="str">
        <f>TEXT(Ventas[[#This Row],[Fecha_venta]],"m")</f>
        <v>7</v>
      </c>
      <c r="J313" t="str">
        <f>TEXT(Ventas[[#This Row],[Fecha_venta]],"yyyy")</f>
        <v>2010</v>
      </c>
    </row>
    <row r="314" spans="1:10" x14ac:dyDescent="0.25">
      <c r="A314">
        <v>3</v>
      </c>
      <c r="B314" s="1">
        <v>40396</v>
      </c>
      <c r="C314">
        <v>0</v>
      </c>
      <c r="D314">
        <v>85.13</v>
      </c>
      <c r="E314">
        <v>2.6269999999999998</v>
      </c>
      <c r="F314">
        <v>214.83419520000001</v>
      </c>
      <c r="G314">
        <v>402635.76</v>
      </c>
      <c r="H314" t="str">
        <f>TEXT(Ventas[[#This Row],[Fecha_venta]],"dd")</f>
        <v>06</v>
      </c>
      <c r="I314" t="str">
        <f>TEXT(Ventas[[#This Row],[Fecha_venta]],"m")</f>
        <v>8</v>
      </c>
      <c r="J314" t="str">
        <f>TEXT(Ventas[[#This Row],[Fecha_venta]],"yyyy")</f>
        <v>2010</v>
      </c>
    </row>
    <row r="315" spans="1:10" x14ac:dyDescent="0.25">
      <c r="A315">
        <v>3</v>
      </c>
      <c r="B315" s="1">
        <v>40403</v>
      </c>
      <c r="C315">
        <v>0</v>
      </c>
      <c r="D315">
        <v>86.74</v>
      </c>
      <c r="E315">
        <v>2.6920000000000002</v>
      </c>
      <c r="F315">
        <v>214.97304439999999</v>
      </c>
      <c r="G315">
        <v>339597.38</v>
      </c>
      <c r="H315" t="str">
        <f>TEXT(Ventas[[#This Row],[Fecha_venta]],"dd")</f>
        <v>13</v>
      </c>
      <c r="I315" t="str">
        <f>TEXT(Ventas[[#This Row],[Fecha_venta]],"m")</f>
        <v>8</v>
      </c>
      <c r="J315" t="str">
        <f>TEXT(Ventas[[#This Row],[Fecha_venta]],"yyyy")</f>
        <v>2010</v>
      </c>
    </row>
    <row r="316" spans="1:10" x14ac:dyDescent="0.25">
      <c r="A316">
        <v>3</v>
      </c>
      <c r="B316" s="1">
        <v>40410</v>
      </c>
      <c r="C316">
        <v>0</v>
      </c>
      <c r="D316">
        <v>88.02</v>
      </c>
      <c r="E316">
        <v>2.6640000000000001</v>
      </c>
      <c r="F316">
        <v>214.9314191</v>
      </c>
      <c r="G316">
        <v>351728.21</v>
      </c>
      <c r="H316" t="str">
        <f>TEXT(Ventas[[#This Row],[Fecha_venta]],"dd")</f>
        <v>20</v>
      </c>
      <c r="I316" t="str">
        <f>TEXT(Ventas[[#This Row],[Fecha_venta]],"m")</f>
        <v>8</v>
      </c>
      <c r="J316" t="str">
        <f>TEXT(Ventas[[#This Row],[Fecha_venta]],"yyyy")</f>
        <v>2010</v>
      </c>
    </row>
    <row r="317" spans="1:10" x14ac:dyDescent="0.25">
      <c r="A317">
        <v>3</v>
      </c>
      <c r="B317" s="1">
        <v>40417</v>
      </c>
      <c r="C317">
        <v>0</v>
      </c>
      <c r="D317">
        <v>86.15</v>
      </c>
      <c r="E317">
        <v>2.6190000000000002</v>
      </c>
      <c r="F317">
        <v>214.88979380000001</v>
      </c>
      <c r="G317">
        <v>362134.09</v>
      </c>
      <c r="H317" t="str">
        <f>TEXT(Ventas[[#This Row],[Fecha_venta]],"dd")</f>
        <v>27</v>
      </c>
      <c r="I317" t="str">
        <f>TEXT(Ventas[[#This Row],[Fecha_venta]],"m")</f>
        <v>8</v>
      </c>
      <c r="J317" t="str">
        <f>TEXT(Ventas[[#This Row],[Fecha_venta]],"yyyy")</f>
        <v>2010</v>
      </c>
    </row>
    <row r="318" spans="1:10" x14ac:dyDescent="0.25">
      <c r="A318">
        <v>3</v>
      </c>
      <c r="B318" s="1">
        <v>40424</v>
      </c>
      <c r="C318">
        <v>0</v>
      </c>
      <c r="D318">
        <v>84.16</v>
      </c>
      <c r="E318">
        <v>2.577</v>
      </c>
      <c r="F318">
        <v>214.84816850000001</v>
      </c>
      <c r="G318">
        <v>366473.97</v>
      </c>
      <c r="H318" t="str">
        <f>TEXT(Ventas[[#This Row],[Fecha_venta]],"dd")</f>
        <v>03</v>
      </c>
      <c r="I318" t="str">
        <f>TEXT(Ventas[[#This Row],[Fecha_venta]],"m")</f>
        <v>9</v>
      </c>
      <c r="J318" t="str">
        <f>TEXT(Ventas[[#This Row],[Fecha_venta]],"yyyy")</f>
        <v>2010</v>
      </c>
    </row>
    <row r="319" spans="1:10" x14ac:dyDescent="0.25">
      <c r="A319">
        <v>3</v>
      </c>
      <c r="B319" s="1">
        <v>40431</v>
      </c>
      <c r="C319">
        <v>1</v>
      </c>
      <c r="D319">
        <v>80.84</v>
      </c>
      <c r="E319">
        <v>2.5649999999999999</v>
      </c>
      <c r="F319">
        <v>214.8065431</v>
      </c>
      <c r="G319">
        <v>352260.97</v>
      </c>
      <c r="H319" t="str">
        <f>TEXT(Ventas[[#This Row],[Fecha_venta]],"dd")</f>
        <v>10</v>
      </c>
      <c r="I319" t="str">
        <f>TEXT(Ventas[[#This Row],[Fecha_venta]],"m")</f>
        <v>9</v>
      </c>
      <c r="J319" t="str">
        <f>TEXT(Ventas[[#This Row],[Fecha_venta]],"yyyy")</f>
        <v>2010</v>
      </c>
    </row>
    <row r="320" spans="1:10" x14ac:dyDescent="0.25">
      <c r="A320">
        <v>3</v>
      </c>
      <c r="B320" s="1">
        <v>40438</v>
      </c>
      <c r="C320">
        <v>0</v>
      </c>
      <c r="D320">
        <v>82.36</v>
      </c>
      <c r="E320">
        <v>2.5819999999999999</v>
      </c>
      <c r="F320">
        <v>214.8322484</v>
      </c>
      <c r="G320">
        <v>363064.64</v>
      </c>
      <c r="H320" t="str">
        <f>TEXT(Ventas[[#This Row],[Fecha_venta]],"dd")</f>
        <v>17</v>
      </c>
      <c r="I320" t="str">
        <f>TEXT(Ventas[[#This Row],[Fecha_venta]],"m")</f>
        <v>9</v>
      </c>
      <c r="J320" t="str">
        <f>TEXT(Ventas[[#This Row],[Fecha_venta]],"yyyy")</f>
        <v>2010</v>
      </c>
    </row>
    <row r="321" spans="1:10" x14ac:dyDescent="0.25">
      <c r="A321">
        <v>3</v>
      </c>
      <c r="B321" s="1">
        <v>40445</v>
      </c>
      <c r="C321">
        <v>0</v>
      </c>
      <c r="D321">
        <v>76.900000000000006</v>
      </c>
      <c r="E321">
        <v>2.6240000000000001</v>
      </c>
      <c r="F321">
        <v>214.90845160000001</v>
      </c>
      <c r="G321">
        <v>355626.87</v>
      </c>
      <c r="H321" t="str">
        <f>TEXT(Ventas[[#This Row],[Fecha_venta]],"dd")</f>
        <v>24</v>
      </c>
      <c r="I321" t="str">
        <f>TEXT(Ventas[[#This Row],[Fecha_venta]],"m")</f>
        <v>9</v>
      </c>
      <c r="J321" t="str">
        <f>TEXT(Ventas[[#This Row],[Fecha_venta]],"yyyy")</f>
        <v>2010</v>
      </c>
    </row>
    <row r="322" spans="1:10" x14ac:dyDescent="0.25">
      <c r="A322">
        <v>3</v>
      </c>
      <c r="B322" s="1">
        <v>40452</v>
      </c>
      <c r="C322">
        <v>0</v>
      </c>
      <c r="D322">
        <v>73.599999999999994</v>
      </c>
      <c r="E322">
        <v>2.6030000000000002</v>
      </c>
      <c r="F322">
        <v>214.98465479999999</v>
      </c>
      <c r="G322">
        <v>358784.1</v>
      </c>
      <c r="H322" t="str">
        <f>TEXT(Ventas[[#This Row],[Fecha_venta]],"dd")</f>
        <v>01</v>
      </c>
      <c r="I322" t="str">
        <f>TEXT(Ventas[[#This Row],[Fecha_venta]],"m")</f>
        <v>10</v>
      </c>
      <c r="J322" t="str">
        <f>TEXT(Ventas[[#This Row],[Fecha_venta]],"yyyy")</f>
        <v>2010</v>
      </c>
    </row>
    <row r="323" spans="1:10" x14ac:dyDescent="0.25">
      <c r="A323">
        <v>3</v>
      </c>
      <c r="B323" s="1">
        <v>40459</v>
      </c>
      <c r="C323">
        <v>0</v>
      </c>
      <c r="D323">
        <v>66.989999999999995</v>
      </c>
      <c r="E323">
        <v>2.633</v>
      </c>
      <c r="F323">
        <v>215.060858</v>
      </c>
      <c r="G323">
        <v>395107.35</v>
      </c>
      <c r="H323" t="str">
        <f>TEXT(Ventas[[#This Row],[Fecha_venta]],"dd")</f>
        <v>08</v>
      </c>
      <c r="I323" t="str">
        <f>TEXT(Ventas[[#This Row],[Fecha_venta]],"m")</f>
        <v>10</v>
      </c>
      <c r="J323" t="str">
        <f>TEXT(Ventas[[#This Row],[Fecha_venta]],"yyyy")</f>
        <v>2010</v>
      </c>
    </row>
    <row r="324" spans="1:10" x14ac:dyDescent="0.25">
      <c r="A324">
        <v>3</v>
      </c>
      <c r="B324" s="1">
        <v>40466</v>
      </c>
      <c r="C324">
        <v>0</v>
      </c>
      <c r="D324">
        <v>69.709999999999994</v>
      </c>
      <c r="E324">
        <v>2.72</v>
      </c>
      <c r="F324">
        <v>215.12931140000001</v>
      </c>
      <c r="G324">
        <v>345584.39</v>
      </c>
      <c r="H324" t="str">
        <f>TEXT(Ventas[[#This Row],[Fecha_venta]],"dd")</f>
        <v>15</v>
      </c>
      <c r="I324" t="str">
        <f>TEXT(Ventas[[#This Row],[Fecha_venta]],"m")</f>
        <v>10</v>
      </c>
      <c r="J324" t="str">
        <f>TEXT(Ventas[[#This Row],[Fecha_venta]],"yyyy")</f>
        <v>2010</v>
      </c>
    </row>
    <row r="325" spans="1:10" x14ac:dyDescent="0.25">
      <c r="A325">
        <v>3</v>
      </c>
      <c r="B325" s="1">
        <v>40473</v>
      </c>
      <c r="C325">
        <v>0</v>
      </c>
      <c r="D325">
        <v>71.64</v>
      </c>
      <c r="E325">
        <v>2.7250000000000001</v>
      </c>
      <c r="F325">
        <v>215.17839000000001</v>
      </c>
      <c r="G325">
        <v>348895.98</v>
      </c>
      <c r="H325" t="str">
        <f>TEXT(Ventas[[#This Row],[Fecha_venta]],"dd")</f>
        <v>22</v>
      </c>
      <c r="I325" t="str">
        <f>TEXT(Ventas[[#This Row],[Fecha_venta]],"m")</f>
        <v>10</v>
      </c>
      <c r="J325" t="str">
        <f>TEXT(Ventas[[#This Row],[Fecha_venta]],"yyyy")</f>
        <v>2010</v>
      </c>
    </row>
    <row r="326" spans="1:10" x14ac:dyDescent="0.25">
      <c r="A326">
        <v>3</v>
      </c>
      <c r="B326" s="1">
        <v>40480</v>
      </c>
      <c r="C326">
        <v>0</v>
      </c>
      <c r="D326">
        <v>72.040000000000006</v>
      </c>
      <c r="E326">
        <v>2.7160000000000002</v>
      </c>
      <c r="F326">
        <v>215.22746860000001</v>
      </c>
      <c r="G326">
        <v>348591.74</v>
      </c>
      <c r="H326" t="str">
        <f>TEXT(Ventas[[#This Row],[Fecha_venta]],"dd")</f>
        <v>29</v>
      </c>
      <c r="I326" t="str">
        <f>TEXT(Ventas[[#This Row],[Fecha_venta]],"m")</f>
        <v>10</v>
      </c>
      <c r="J326" t="str">
        <f>TEXT(Ventas[[#This Row],[Fecha_venta]],"yyyy")</f>
        <v>2010</v>
      </c>
    </row>
    <row r="327" spans="1:10" x14ac:dyDescent="0.25">
      <c r="A327">
        <v>3</v>
      </c>
      <c r="B327" s="1">
        <v>40487</v>
      </c>
      <c r="C327">
        <v>0</v>
      </c>
      <c r="D327">
        <v>62.94</v>
      </c>
      <c r="E327">
        <v>2.6890000000000001</v>
      </c>
      <c r="F327">
        <v>215.27654720000001</v>
      </c>
      <c r="G327">
        <v>423175.56</v>
      </c>
      <c r="H327" t="str">
        <f>TEXT(Ventas[[#This Row],[Fecha_venta]],"dd")</f>
        <v>05</v>
      </c>
      <c r="I327" t="str">
        <f>TEXT(Ventas[[#This Row],[Fecha_venta]],"m")</f>
        <v>11</v>
      </c>
      <c r="J327" t="str">
        <f>TEXT(Ventas[[#This Row],[Fecha_venta]],"yyyy")</f>
        <v>2010</v>
      </c>
    </row>
    <row r="328" spans="1:10" x14ac:dyDescent="0.25">
      <c r="A328">
        <v>3</v>
      </c>
      <c r="B328" s="1">
        <v>40494</v>
      </c>
      <c r="C328">
        <v>0</v>
      </c>
      <c r="D328">
        <v>62.79</v>
      </c>
      <c r="E328">
        <v>2.7280000000000002</v>
      </c>
      <c r="F328">
        <v>215.32562580000001</v>
      </c>
      <c r="G328">
        <v>386635.03</v>
      </c>
      <c r="H328" t="str">
        <f>TEXT(Ventas[[#This Row],[Fecha_venta]],"dd")</f>
        <v>12</v>
      </c>
      <c r="I328" t="str">
        <f>TEXT(Ventas[[#This Row],[Fecha_venta]],"m")</f>
        <v>11</v>
      </c>
      <c r="J328" t="str">
        <f>TEXT(Ventas[[#This Row],[Fecha_venta]],"yyyy")</f>
        <v>2010</v>
      </c>
    </row>
    <row r="329" spans="1:10" x14ac:dyDescent="0.25">
      <c r="A329">
        <v>3</v>
      </c>
      <c r="B329" s="1">
        <v>40501</v>
      </c>
      <c r="C329">
        <v>0</v>
      </c>
      <c r="D329">
        <v>57.72</v>
      </c>
      <c r="E329">
        <v>2.7709999999999999</v>
      </c>
      <c r="F329">
        <v>215.2074519</v>
      </c>
      <c r="G329">
        <v>372545.32</v>
      </c>
      <c r="H329" t="str">
        <f>TEXT(Ventas[[#This Row],[Fecha_venta]],"dd")</f>
        <v>19</v>
      </c>
      <c r="I329" t="str">
        <f>TEXT(Ventas[[#This Row],[Fecha_venta]],"m")</f>
        <v>11</v>
      </c>
      <c r="J329" t="str">
        <f>TEXT(Ventas[[#This Row],[Fecha_venta]],"yyyy")</f>
        <v>2010</v>
      </c>
    </row>
    <row r="330" spans="1:10" x14ac:dyDescent="0.25">
      <c r="A330">
        <v>3</v>
      </c>
      <c r="B330" s="1">
        <v>40508</v>
      </c>
      <c r="C330">
        <v>1</v>
      </c>
      <c r="D330">
        <v>68.709999999999994</v>
      </c>
      <c r="E330">
        <v>2.7349999999999999</v>
      </c>
      <c r="F330">
        <v>215.06140250000001</v>
      </c>
      <c r="G330">
        <v>565567.84</v>
      </c>
      <c r="H330" t="str">
        <f>TEXT(Ventas[[#This Row],[Fecha_venta]],"dd")</f>
        <v>26</v>
      </c>
      <c r="I330" t="str">
        <f>TEXT(Ventas[[#This Row],[Fecha_venta]],"m")</f>
        <v>11</v>
      </c>
      <c r="J330" t="str">
        <f>TEXT(Ventas[[#This Row],[Fecha_venta]],"yyyy")</f>
        <v>2010</v>
      </c>
    </row>
    <row r="331" spans="1:10" x14ac:dyDescent="0.25">
      <c r="A331">
        <v>3</v>
      </c>
      <c r="B331" s="1">
        <v>40515</v>
      </c>
      <c r="C331">
        <v>0</v>
      </c>
      <c r="D331">
        <v>53.76</v>
      </c>
      <c r="E331">
        <v>2.7080000000000002</v>
      </c>
      <c r="F331">
        <v>214.9153531</v>
      </c>
      <c r="G331">
        <v>476420.77</v>
      </c>
      <c r="H331" t="str">
        <f>TEXT(Ventas[[#This Row],[Fecha_venta]],"dd")</f>
        <v>03</v>
      </c>
      <c r="I331" t="str">
        <f>TEXT(Ventas[[#This Row],[Fecha_venta]],"m")</f>
        <v>12</v>
      </c>
      <c r="J331" t="str">
        <f>TEXT(Ventas[[#This Row],[Fecha_venta]],"yyyy")</f>
        <v>2010</v>
      </c>
    </row>
    <row r="332" spans="1:10" x14ac:dyDescent="0.25">
      <c r="A332">
        <v>3</v>
      </c>
      <c r="B332" s="1">
        <v>40522</v>
      </c>
      <c r="C332">
        <v>0</v>
      </c>
      <c r="D332">
        <v>51.13</v>
      </c>
      <c r="E332">
        <v>2.843</v>
      </c>
      <c r="F332">
        <v>214.76930369999999</v>
      </c>
      <c r="G332">
        <v>467642.03</v>
      </c>
      <c r="H332" t="str">
        <f>TEXT(Ventas[[#This Row],[Fecha_venta]],"dd")</f>
        <v>10</v>
      </c>
      <c r="I332" t="str">
        <f>TEXT(Ventas[[#This Row],[Fecha_venta]],"m")</f>
        <v>12</v>
      </c>
      <c r="J332" t="str">
        <f>TEXT(Ventas[[#This Row],[Fecha_venta]],"yyyy")</f>
        <v>2010</v>
      </c>
    </row>
    <row r="333" spans="1:10" x14ac:dyDescent="0.25">
      <c r="A333">
        <v>3</v>
      </c>
      <c r="B333" s="1">
        <v>40529</v>
      </c>
      <c r="C333">
        <v>0</v>
      </c>
      <c r="D333">
        <v>52.2</v>
      </c>
      <c r="E333">
        <v>2.8690000000000002</v>
      </c>
      <c r="F333">
        <v>214.70491899999999</v>
      </c>
      <c r="G333">
        <v>498159.39</v>
      </c>
      <c r="H333" t="str">
        <f>TEXT(Ventas[[#This Row],[Fecha_venta]],"dd")</f>
        <v>17</v>
      </c>
      <c r="I333" t="str">
        <f>TEXT(Ventas[[#This Row],[Fecha_venta]],"m")</f>
        <v>12</v>
      </c>
      <c r="J333" t="str">
        <f>TEXT(Ventas[[#This Row],[Fecha_venta]],"yyyy")</f>
        <v>2010</v>
      </c>
    </row>
    <row r="334" spans="1:10" x14ac:dyDescent="0.25">
      <c r="A334">
        <v>3</v>
      </c>
      <c r="B334" s="1">
        <v>40536</v>
      </c>
      <c r="C334">
        <v>0</v>
      </c>
      <c r="D334">
        <v>57.16</v>
      </c>
      <c r="E334">
        <v>2.8860000000000001</v>
      </c>
      <c r="F334">
        <v>214.70178279999999</v>
      </c>
      <c r="G334">
        <v>605990.41</v>
      </c>
      <c r="H334" t="str">
        <f>TEXT(Ventas[[#This Row],[Fecha_venta]],"dd")</f>
        <v>24</v>
      </c>
      <c r="I334" t="str">
        <f>TEXT(Ventas[[#This Row],[Fecha_venta]],"m")</f>
        <v>12</v>
      </c>
      <c r="J334" t="str">
        <f>TEXT(Ventas[[#This Row],[Fecha_venta]],"yyyy")</f>
        <v>2010</v>
      </c>
    </row>
    <row r="335" spans="1:10" x14ac:dyDescent="0.25">
      <c r="A335">
        <v>3</v>
      </c>
      <c r="B335" s="1">
        <v>40543</v>
      </c>
      <c r="C335">
        <v>1</v>
      </c>
      <c r="D335">
        <v>53.2</v>
      </c>
      <c r="E335">
        <v>2.9430000000000001</v>
      </c>
      <c r="F335">
        <v>214.69864659999999</v>
      </c>
      <c r="G335">
        <v>382677.76000000001</v>
      </c>
      <c r="H335" t="str">
        <f>TEXT(Ventas[[#This Row],[Fecha_venta]],"dd")</f>
        <v>31</v>
      </c>
      <c r="I335" t="str">
        <f>TEXT(Ventas[[#This Row],[Fecha_venta]],"m")</f>
        <v>12</v>
      </c>
      <c r="J335" t="str">
        <f>TEXT(Ventas[[#This Row],[Fecha_venta]],"yyyy")</f>
        <v>2010</v>
      </c>
    </row>
    <row r="336" spans="1:10" x14ac:dyDescent="0.25">
      <c r="A336">
        <v>3</v>
      </c>
      <c r="B336" s="1">
        <v>40550</v>
      </c>
      <c r="C336">
        <v>0</v>
      </c>
      <c r="D336">
        <v>53.35</v>
      </c>
      <c r="E336">
        <v>2.976</v>
      </c>
      <c r="F336">
        <v>214.69551039999999</v>
      </c>
      <c r="G336">
        <v>378241.34</v>
      </c>
      <c r="H336" t="str">
        <f>TEXT(Ventas[[#This Row],[Fecha_venta]],"dd")</f>
        <v>07</v>
      </c>
      <c r="I336" t="str">
        <f>TEXT(Ventas[[#This Row],[Fecha_venta]],"m")</f>
        <v>1</v>
      </c>
      <c r="J336" t="str">
        <f>TEXT(Ventas[[#This Row],[Fecha_venta]],"yyyy")</f>
        <v>2011</v>
      </c>
    </row>
    <row r="337" spans="1:10" x14ac:dyDescent="0.25">
      <c r="A337">
        <v>3</v>
      </c>
      <c r="B337" s="1">
        <v>40557</v>
      </c>
      <c r="C337">
        <v>0</v>
      </c>
      <c r="D337">
        <v>44.76</v>
      </c>
      <c r="E337">
        <v>2.9830000000000001</v>
      </c>
      <c r="F337">
        <v>214.74707290000001</v>
      </c>
      <c r="G337">
        <v>381061.1</v>
      </c>
      <c r="H337" t="str">
        <f>TEXT(Ventas[[#This Row],[Fecha_venta]],"dd")</f>
        <v>14</v>
      </c>
      <c r="I337" t="str">
        <f>TEXT(Ventas[[#This Row],[Fecha_venta]],"m")</f>
        <v>1</v>
      </c>
      <c r="J337" t="str">
        <f>TEXT(Ventas[[#This Row],[Fecha_venta]],"yyyy")</f>
        <v>2011</v>
      </c>
    </row>
    <row r="338" spans="1:10" x14ac:dyDescent="0.25">
      <c r="A338">
        <v>3</v>
      </c>
      <c r="B338" s="1">
        <v>40564</v>
      </c>
      <c r="C338">
        <v>0</v>
      </c>
      <c r="D338">
        <v>50.74</v>
      </c>
      <c r="E338">
        <v>3.016</v>
      </c>
      <c r="F338">
        <v>215.12682749999999</v>
      </c>
      <c r="G338">
        <v>350876.7</v>
      </c>
      <c r="H338" t="str">
        <f>TEXT(Ventas[[#This Row],[Fecha_venta]],"dd")</f>
        <v>21</v>
      </c>
      <c r="I338" t="str">
        <f>TEXT(Ventas[[#This Row],[Fecha_venta]],"m")</f>
        <v>1</v>
      </c>
      <c r="J338" t="str">
        <f>TEXT(Ventas[[#This Row],[Fecha_venta]],"yyyy")</f>
        <v>2011</v>
      </c>
    </row>
    <row r="339" spans="1:10" x14ac:dyDescent="0.25">
      <c r="A339">
        <v>3</v>
      </c>
      <c r="B339" s="1">
        <v>40571</v>
      </c>
      <c r="C339">
        <v>0</v>
      </c>
      <c r="D339">
        <v>48.71</v>
      </c>
      <c r="E339">
        <v>3.01</v>
      </c>
      <c r="F339">
        <v>215.5065821</v>
      </c>
      <c r="G339">
        <v>364866.24</v>
      </c>
      <c r="H339" t="str">
        <f>TEXT(Ventas[[#This Row],[Fecha_venta]],"dd")</f>
        <v>28</v>
      </c>
      <c r="I339" t="str">
        <f>TEXT(Ventas[[#This Row],[Fecha_venta]],"m")</f>
        <v>1</v>
      </c>
      <c r="J339" t="str">
        <f>TEXT(Ventas[[#This Row],[Fecha_venta]],"yyyy")</f>
        <v>2011</v>
      </c>
    </row>
    <row r="340" spans="1:10" x14ac:dyDescent="0.25">
      <c r="A340">
        <v>3</v>
      </c>
      <c r="B340" s="1">
        <v>40578</v>
      </c>
      <c r="C340">
        <v>0</v>
      </c>
      <c r="D340">
        <v>45.95</v>
      </c>
      <c r="E340">
        <v>2.9889999999999999</v>
      </c>
      <c r="F340">
        <v>215.88633669999999</v>
      </c>
      <c r="G340">
        <v>438516.53</v>
      </c>
      <c r="H340" t="str">
        <f>TEXT(Ventas[[#This Row],[Fecha_venta]],"dd")</f>
        <v>04</v>
      </c>
      <c r="I340" t="str">
        <f>TEXT(Ventas[[#This Row],[Fecha_venta]],"m")</f>
        <v>2</v>
      </c>
      <c r="J340" t="str">
        <f>TEXT(Ventas[[#This Row],[Fecha_venta]],"yyyy")</f>
        <v>2011</v>
      </c>
    </row>
    <row r="341" spans="1:10" x14ac:dyDescent="0.25">
      <c r="A341">
        <v>3</v>
      </c>
      <c r="B341" s="1">
        <v>40585</v>
      </c>
      <c r="C341">
        <v>1</v>
      </c>
      <c r="D341">
        <v>43.57</v>
      </c>
      <c r="E341">
        <v>3.0219999999999998</v>
      </c>
      <c r="F341">
        <v>216.2660913</v>
      </c>
      <c r="G341">
        <v>430526.21</v>
      </c>
      <c r="H341" t="str">
        <f>TEXT(Ventas[[#This Row],[Fecha_venta]],"dd")</f>
        <v>11</v>
      </c>
      <c r="I341" t="str">
        <f>TEXT(Ventas[[#This Row],[Fecha_venta]],"m")</f>
        <v>2</v>
      </c>
      <c r="J341" t="str">
        <f>TEXT(Ventas[[#This Row],[Fecha_venta]],"yyyy")</f>
        <v>2011</v>
      </c>
    </row>
    <row r="342" spans="1:10" x14ac:dyDescent="0.25">
      <c r="A342">
        <v>3</v>
      </c>
      <c r="B342" s="1">
        <v>40592</v>
      </c>
      <c r="C342">
        <v>0</v>
      </c>
      <c r="D342">
        <v>61.58</v>
      </c>
      <c r="E342">
        <v>3.0449999999999999</v>
      </c>
      <c r="F342">
        <v>216.58435710000001</v>
      </c>
      <c r="G342">
        <v>432782.1</v>
      </c>
      <c r="H342" t="str">
        <f>TEXT(Ventas[[#This Row],[Fecha_venta]],"dd")</f>
        <v>18</v>
      </c>
      <c r="I342" t="str">
        <f>TEXT(Ventas[[#This Row],[Fecha_venta]],"m")</f>
        <v>2</v>
      </c>
      <c r="J342" t="str">
        <f>TEXT(Ventas[[#This Row],[Fecha_venta]],"yyyy")</f>
        <v>2011</v>
      </c>
    </row>
    <row r="343" spans="1:10" x14ac:dyDescent="0.25">
      <c r="A343">
        <v>3</v>
      </c>
      <c r="B343" s="1">
        <v>40599</v>
      </c>
      <c r="C343">
        <v>0</v>
      </c>
      <c r="D343">
        <v>67.400000000000006</v>
      </c>
      <c r="E343">
        <v>3.0649999999999999</v>
      </c>
      <c r="F343">
        <v>216.8780275</v>
      </c>
      <c r="G343">
        <v>397211.19</v>
      </c>
      <c r="H343" t="str">
        <f>TEXT(Ventas[[#This Row],[Fecha_venta]],"dd")</f>
        <v>25</v>
      </c>
      <c r="I343" t="str">
        <f>TEXT(Ventas[[#This Row],[Fecha_venta]],"m")</f>
        <v>2</v>
      </c>
      <c r="J343" t="str">
        <f>TEXT(Ventas[[#This Row],[Fecha_venta]],"yyyy")</f>
        <v>2011</v>
      </c>
    </row>
    <row r="344" spans="1:10" x14ac:dyDescent="0.25">
      <c r="A344">
        <v>3</v>
      </c>
      <c r="B344" s="1">
        <v>40606</v>
      </c>
      <c r="C344">
        <v>0</v>
      </c>
      <c r="D344">
        <v>65.11</v>
      </c>
      <c r="E344">
        <v>3.2879999999999998</v>
      </c>
      <c r="F344">
        <v>217.1716979</v>
      </c>
      <c r="G344">
        <v>437084.51</v>
      </c>
      <c r="H344" t="str">
        <f>TEXT(Ventas[[#This Row],[Fecha_venta]],"dd")</f>
        <v>04</v>
      </c>
      <c r="I344" t="str">
        <f>TEXT(Ventas[[#This Row],[Fecha_venta]],"m")</f>
        <v>3</v>
      </c>
      <c r="J344" t="str">
        <f>TEXT(Ventas[[#This Row],[Fecha_venta]],"yyyy")</f>
        <v>2011</v>
      </c>
    </row>
    <row r="345" spans="1:10" x14ac:dyDescent="0.25">
      <c r="A345">
        <v>3</v>
      </c>
      <c r="B345" s="1">
        <v>40613</v>
      </c>
      <c r="C345">
        <v>0</v>
      </c>
      <c r="D345">
        <v>61.29</v>
      </c>
      <c r="E345">
        <v>3.4590000000000001</v>
      </c>
      <c r="F345">
        <v>217.46536829999999</v>
      </c>
      <c r="G345">
        <v>404753.3</v>
      </c>
      <c r="H345" t="str">
        <f>TEXT(Ventas[[#This Row],[Fecha_venta]],"dd")</f>
        <v>11</v>
      </c>
      <c r="I345" t="str">
        <f>TEXT(Ventas[[#This Row],[Fecha_venta]],"m")</f>
        <v>3</v>
      </c>
      <c r="J345" t="str">
        <f>TEXT(Ventas[[#This Row],[Fecha_venta]],"yyyy")</f>
        <v>2011</v>
      </c>
    </row>
    <row r="346" spans="1:10" x14ac:dyDescent="0.25">
      <c r="A346">
        <v>3</v>
      </c>
      <c r="B346" s="1">
        <v>40620</v>
      </c>
      <c r="C346">
        <v>0</v>
      </c>
      <c r="D346">
        <v>69.47</v>
      </c>
      <c r="E346">
        <v>3.488</v>
      </c>
      <c r="F346">
        <v>217.7235226</v>
      </c>
      <c r="G346">
        <v>392109.51</v>
      </c>
      <c r="H346" t="str">
        <f>TEXT(Ventas[[#This Row],[Fecha_venta]],"dd")</f>
        <v>18</v>
      </c>
      <c r="I346" t="str">
        <f>TEXT(Ventas[[#This Row],[Fecha_venta]],"m")</f>
        <v>3</v>
      </c>
      <c r="J346" t="str">
        <f>TEXT(Ventas[[#This Row],[Fecha_venta]],"yyyy")</f>
        <v>2011</v>
      </c>
    </row>
    <row r="347" spans="1:10" x14ac:dyDescent="0.25">
      <c r="A347">
        <v>3</v>
      </c>
      <c r="B347" s="1">
        <v>40627</v>
      </c>
      <c r="C347">
        <v>0</v>
      </c>
      <c r="D347">
        <v>72.94</v>
      </c>
      <c r="E347">
        <v>3.4729999999999999</v>
      </c>
      <c r="F347">
        <v>217.96747049999999</v>
      </c>
      <c r="G347">
        <v>380683.67</v>
      </c>
      <c r="H347" t="str">
        <f>TEXT(Ventas[[#This Row],[Fecha_venta]],"dd")</f>
        <v>25</v>
      </c>
      <c r="I347" t="str">
        <f>TEXT(Ventas[[#This Row],[Fecha_venta]],"m")</f>
        <v>3</v>
      </c>
      <c r="J347" t="str">
        <f>TEXT(Ventas[[#This Row],[Fecha_venta]],"yyyy")</f>
        <v>2011</v>
      </c>
    </row>
    <row r="348" spans="1:10" x14ac:dyDescent="0.25">
      <c r="A348">
        <v>3</v>
      </c>
      <c r="B348" s="1">
        <v>40634</v>
      </c>
      <c r="C348">
        <v>0</v>
      </c>
      <c r="D348">
        <v>68.760000000000005</v>
      </c>
      <c r="E348">
        <v>3.524</v>
      </c>
      <c r="F348">
        <v>218.21141840000001</v>
      </c>
      <c r="G348">
        <v>374556.08</v>
      </c>
      <c r="H348" t="str">
        <f>TEXT(Ventas[[#This Row],[Fecha_venta]],"dd")</f>
        <v>01</v>
      </c>
      <c r="I348" t="str">
        <f>TEXT(Ventas[[#This Row],[Fecha_venta]],"m")</f>
        <v>4</v>
      </c>
      <c r="J348" t="str">
        <f>TEXT(Ventas[[#This Row],[Fecha_venta]],"yyyy")</f>
        <v>2011</v>
      </c>
    </row>
    <row r="349" spans="1:10" x14ac:dyDescent="0.25">
      <c r="A349">
        <v>3</v>
      </c>
      <c r="B349" s="1">
        <v>40641</v>
      </c>
      <c r="C349">
        <v>0</v>
      </c>
      <c r="D349">
        <v>72.55</v>
      </c>
      <c r="E349">
        <v>3.6219999999999999</v>
      </c>
      <c r="F349">
        <v>218.45536630000001</v>
      </c>
      <c r="G349">
        <v>384075.31</v>
      </c>
      <c r="H349" t="str">
        <f>TEXT(Ventas[[#This Row],[Fecha_venta]],"dd")</f>
        <v>08</v>
      </c>
      <c r="I349" t="str">
        <f>TEXT(Ventas[[#This Row],[Fecha_venta]],"m")</f>
        <v>4</v>
      </c>
      <c r="J349" t="str">
        <f>TEXT(Ventas[[#This Row],[Fecha_venta]],"yyyy")</f>
        <v>2011</v>
      </c>
    </row>
    <row r="350" spans="1:10" x14ac:dyDescent="0.25">
      <c r="A350">
        <v>3</v>
      </c>
      <c r="B350" s="1">
        <v>40648</v>
      </c>
      <c r="C350">
        <v>0</v>
      </c>
      <c r="D350">
        <v>75.88</v>
      </c>
      <c r="E350">
        <v>3.7429999999999999</v>
      </c>
      <c r="F350">
        <v>218.67886419999999</v>
      </c>
      <c r="G350">
        <v>366250.69</v>
      </c>
      <c r="H350" t="str">
        <f>TEXT(Ventas[[#This Row],[Fecha_venta]],"dd")</f>
        <v>15</v>
      </c>
      <c r="I350" t="str">
        <f>TEXT(Ventas[[#This Row],[Fecha_venta]],"m")</f>
        <v>4</v>
      </c>
      <c r="J350" t="str">
        <f>TEXT(Ventas[[#This Row],[Fecha_venta]],"yyyy")</f>
        <v>2011</v>
      </c>
    </row>
    <row r="351" spans="1:10" x14ac:dyDescent="0.25">
      <c r="A351">
        <v>3</v>
      </c>
      <c r="B351" s="1">
        <v>40655</v>
      </c>
      <c r="C351">
        <v>0</v>
      </c>
      <c r="D351">
        <v>76.91</v>
      </c>
      <c r="E351">
        <v>3.8069999999999999</v>
      </c>
      <c r="F351">
        <v>218.851237</v>
      </c>
      <c r="G351">
        <v>391860.04</v>
      </c>
      <c r="H351" t="str">
        <f>TEXT(Ventas[[#This Row],[Fecha_venta]],"dd")</f>
        <v>22</v>
      </c>
      <c r="I351" t="str">
        <f>TEXT(Ventas[[#This Row],[Fecha_venta]],"m")</f>
        <v>4</v>
      </c>
      <c r="J351" t="str">
        <f>TEXT(Ventas[[#This Row],[Fecha_venta]],"yyyy")</f>
        <v>2011</v>
      </c>
    </row>
    <row r="352" spans="1:10" x14ac:dyDescent="0.25">
      <c r="A352">
        <v>3</v>
      </c>
      <c r="B352" s="1">
        <v>40662</v>
      </c>
      <c r="C352">
        <v>0</v>
      </c>
      <c r="D352">
        <v>78.69</v>
      </c>
      <c r="E352">
        <v>3.81</v>
      </c>
      <c r="F352">
        <v>219.0236099</v>
      </c>
      <c r="G352">
        <v>367405.4</v>
      </c>
      <c r="H352" t="str">
        <f>TEXT(Ventas[[#This Row],[Fecha_venta]],"dd")</f>
        <v>29</v>
      </c>
      <c r="I352" t="str">
        <f>TEXT(Ventas[[#This Row],[Fecha_venta]],"m")</f>
        <v>4</v>
      </c>
      <c r="J352" t="str">
        <f>TEXT(Ventas[[#This Row],[Fecha_venta]],"yyyy")</f>
        <v>2011</v>
      </c>
    </row>
    <row r="353" spans="1:10" x14ac:dyDescent="0.25">
      <c r="A353">
        <v>3</v>
      </c>
      <c r="B353" s="1">
        <v>40669</v>
      </c>
      <c r="C353">
        <v>0</v>
      </c>
      <c r="D353">
        <v>69.45</v>
      </c>
      <c r="E353">
        <v>3.9060000000000001</v>
      </c>
      <c r="F353">
        <v>219.1959827</v>
      </c>
      <c r="G353">
        <v>413042.12</v>
      </c>
      <c r="H353" t="str">
        <f>TEXT(Ventas[[#This Row],[Fecha_venta]],"dd")</f>
        <v>06</v>
      </c>
      <c r="I353" t="str">
        <f>TEXT(Ventas[[#This Row],[Fecha_venta]],"m")</f>
        <v>5</v>
      </c>
      <c r="J353" t="str">
        <f>TEXT(Ventas[[#This Row],[Fecha_venta]],"yyyy")</f>
        <v>2011</v>
      </c>
    </row>
    <row r="354" spans="1:10" x14ac:dyDescent="0.25">
      <c r="A354">
        <v>3</v>
      </c>
      <c r="B354" s="1">
        <v>40676</v>
      </c>
      <c r="C354">
        <v>0</v>
      </c>
      <c r="D354">
        <v>79.87</v>
      </c>
      <c r="E354">
        <v>3.899</v>
      </c>
      <c r="F354">
        <v>219.3683556</v>
      </c>
      <c r="G354">
        <v>386312.68</v>
      </c>
      <c r="H354" t="str">
        <f>TEXT(Ventas[[#This Row],[Fecha_venta]],"dd")</f>
        <v>13</v>
      </c>
      <c r="I354" t="str">
        <f>TEXT(Ventas[[#This Row],[Fecha_venta]],"m")</f>
        <v>5</v>
      </c>
      <c r="J354" t="str">
        <f>TEXT(Ventas[[#This Row],[Fecha_venta]],"yyyy")</f>
        <v>2011</v>
      </c>
    </row>
    <row r="355" spans="1:10" x14ac:dyDescent="0.25">
      <c r="A355">
        <v>3</v>
      </c>
      <c r="B355" s="1">
        <v>40683</v>
      </c>
      <c r="C355">
        <v>0</v>
      </c>
      <c r="D355">
        <v>75.790000000000006</v>
      </c>
      <c r="E355">
        <v>3.907</v>
      </c>
      <c r="F355">
        <v>219.127216</v>
      </c>
      <c r="G355">
        <v>364603.13</v>
      </c>
      <c r="H355" t="str">
        <f>TEXT(Ventas[[#This Row],[Fecha_venta]],"dd")</f>
        <v>20</v>
      </c>
      <c r="I355" t="str">
        <f>TEXT(Ventas[[#This Row],[Fecha_venta]],"m")</f>
        <v>5</v>
      </c>
      <c r="J355" t="str">
        <f>TEXT(Ventas[[#This Row],[Fecha_venta]],"yyyy")</f>
        <v>2011</v>
      </c>
    </row>
    <row r="356" spans="1:10" x14ac:dyDescent="0.25">
      <c r="A356">
        <v>3</v>
      </c>
      <c r="B356" s="1">
        <v>40690</v>
      </c>
      <c r="C356">
        <v>0</v>
      </c>
      <c r="D356">
        <v>84.41</v>
      </c>
      <c r="E356">
        <v>3.786</v>
      </c>
      <c r="F356">
        <v>218.8860765</v>
      </c>
      <c r="G356">
        <v>369350.6</v>
      </c>
      <c r="H356" t="str">
        <f>TEXT(Ventas[[#This Row],[Fecha_venta]],"dd")</f>
        <v>27</v>
      </c>
      <c r="I356" t="str">
        <f>TEXT(Ventas[[#This Row],[Fecha_venta]],"m")</f>
        <v>5</v>
      </c>
      <c r="J356" t="str">
        <f>TEXT(Ventas[[#This Row],[Fecha_venta]],"yyyy")</f>
        <v>2011</v>
      </c>
    </row>
    <row r="357" spans="1:10" x14ac:dyDescent="0.25">
      <c r="A357">
        <v>3</v>
      </c>
      <c r="B357" s="1">
        <v>40697</v>
      </c>
      <c r="C357">
        <v>0</v>
      </c>
      <c r="D357">
        <v>84.29</v>
      </c>
      <c r="E357">
        <v>3.6989999999999998</v>
      </c>
      <c r="F357">
        <v>218.6449369</v>
      </c>
      <c r="G357">
        <v>394507.84</v>
      </c>
      <c r="H357" t="str">
        <f>TEXT(Ventas[[#This Row],[Fecha_venta]],"dd")</f>
        <v>03</v>
      </c>
      <c r="I357" t="str">
        <f>TEXT(Ventas[[#This Row],[Fecha_venta]],"m")</f>
        <v>6</v>
      </c>
      <c r="J357" t="str">
        <f>TEXT(Ventas[[#This Row],[Fecha_venta]],"yyyy")</f>
        <v>2011</v>
      </c>
    </row>
    <row r="358" spans="1:10" x14ac:dyDescent="0.25">
      <c r="A358">
        <v>3</v>
      </c>
      <c r="B358" s="1">
        <v>40704</v>
      </c>
      <c r="C358">
        <v>0</v>
      </c>
      <c r="D358">
        <v>84.84</v>
      </c>
      <c r="E358">
        <v>3.6480000000000001</v>
      </c>
      <c r="F358">
        <v>218.4037974</v>
      </c>
      <c r="G358">
        <v>391638.75</v>
      </c>
      <c r="H358" t="str">
        <f>TEXT(Ventas[[#This Row],[Fecha_venta]],"dd")</f>
        <v>10</v>
      </c>
      <c r="I358" t="str">
        <f>TEXT(Ventas[[#This Row],[Fecha_venta]],"m")</f>
        <v>6</v>
      </c>
      <c r="J358" t="str">
        <f>TEXT(Ventas[[#This Row],[Fecha_venta]],"yyyy")</f>
        <v>2011</v>
      </c>
    </row>
    <row r="359" spans="1:10" x14ac:dyDescent="0.25">
      <c r="A359">
        <v>3</v>
      </c>
      <c r="B359" s="1">
        <v>40711</v>
      </c>
      <c r="C359">
        <v>0</v>
      </c>
      <c r="D359">
        <v>86.96</v>
      </c>
      <c r="E359">
        <v>3.637</v>
      </c>
      <c r="F359">
        <v>218.35517479999999</v>
      </c>
      <c r="G359">
        <v>403423.34</v>
      </c>
      <c r="H359" t="str">
        <f>TEXT(Ventas[[#This Row],[Fecha_venta]],"dd")</f>
        <v>17</v>
      </c>
      <c r="I359" t="str">
        <f>TEXT(Ventas[[#This Row],[Fecha_venta]],"m")</f>
        <v>6</v>
      </c>
      <c r="J359" t="str">
        <f>TEXT(Ventas[[#This Row],[Fecha_venta]],"yyyy")</f>
        <v>2011</v>
      </c>
    </row>
    <row r="360" spans="1:10" x14ac:dyDescent="0.25">
      <c r="A360">
        <v>3</v>
      </c>
      <c r="B360" s="1">
        <v>40718</v>
      </c>
      <c r="C360">
        <v>0</v>
      </c>
      <c r="D360">
        <v>84.94</v>
      </c>
      <c r="E360">
        <v>3.5939999999999999</v>
      </c>
      <c r="F360">
        <v>218.45094</v>
      </c>
      <c r="G360">
        <v>385520.71</v>
      </c>
      <c r="H360" t="str">
        <f>TEXT(Ventas[[#This Row],[Fecha_venta]],"dd")</f>
        <v>24</v>
      </c>
      <c r="I360" t="str">
        <f>TEXT(Ventas[[#This Row],[Fecha_venta]],"m")</f>
        <v>6</v>
      </c>
      <c r="J360" t="str">
        <f>TEXT(Ventas[[#This Row],[Fecha_venta]],"yyyy")</f>
        <v>2011</v>
      </c>
    </row>
    <row r="361" spans="1:10" x14ac:dyDescent="0.25">
      <c r="A361">
        <v>3</v>
      </c>
      <c r="B361" s="1">
        <v>40725</v>
      </c>
      <c r="C361">
        <v>0</v>
      </c>
      <c r="D361">
        <v>85.1</v>
      </c>
      <c r="E361">
        <v>3.524</v>
      </c>
      <c r="F361">
        <v>218.54670519999999</v>
      </c>
      <c r="G361">
        <v>368962.72</v>
      </c>
      <c r="H361" t="str">
        <f>TEXT(Ventas[[#This Row],[Fecha_venta]],"dd")</f>
        <v>01</v>
      </c>
      <c r="I361" t="str">
        <f>TEXT(Ventas[[#This Row],[Fecha_venta]],"m")</f>
        <v>7</v>
      </c>
      <c r="J361" t="str">
        <f>TEXT(Ventas[[#This Row],[Fecha_venta]],"yyyy")</f>
        <v>2011</v>
      </c>
    </row>
    <row r="362" spans="1:10" x14ac:dyDescent="0.25">
      <c r="A362">
        <v>3</v>
      </c>
      <c r="B362" s="1">
        <v>40732</v>
      </c>
      <c r="C362">
        <v>0</v>
      </c>
      <c r="D362">
        <v>85.38</v>
      </c>
      <c r="E362">
        <v>3.48</v>
      </c>
      <c r="F362">
        <v>218.64247040000001</v>
      </c>
      <c r="G362">
        <v>395146.23999999999</v>
      </c>
      <c r="H362" t="str">
        <f>TEXT(Ventas[[#This Row],[Fecha_venta]],"dd")</f>
        <v>08</v>
      </c>
      <c r="I362" t="str">
        <f>TEXT(Ventas[[#This Row],[Fecha_venta]],"m")</f>
        <v>7</v>
      </c>
      <c r="J362" t="str">
        <f>TEXT(Ventas[[#This Row],[Fecha_venta]],"yyyy")</f>
        <v>2011</v>
      </c>
    </row>
    <row r="363" spans="1:10" x14ac:dyDescent="0.25">
      <c r="A363">
        <v>3</v>
      </c>
      <c r="B363" s="1">
        <v>40739</v>
      </c>
      <c r="C363">
        <v>0</v>
      </c>
      <c r="D363">
        <v>87.14</v>
      </c>
      <c r="E363">
        <v>3.5750000000000002</v>
      </c>
      <c r="F363">
        <v>218.72752159999999</v>
      </c>
      <c r="G363">
        <v>373454.33</v>
      </c>
      <c r="H363" t="str">
        <f>TEXT(Ventas[[#This Row],[Fecha_venta]],"dd")</f>
        <v>15</v>
      </c>
      <c r="I363" t="str">
        <f>TEXT(Ventas[[#This Row],[Fecha_venta]],"m")</f>
        <v>7</v>
      </c>
      <c r="J363" t="str">
        <f>TEXT(Ventas[[#This Row],[Fecha_venta]],"yyyy")</f>
        <v>2011</v>
      </c>
    </row>
    <row r="364" spans="1:10" x14ac:dyDescent="0.25">
      <c r="A364">
        <v>3</v>
      </c>
      <c r="B364" s="1">
        <v>40746</v>
      </c>
      <c r="C364">
        <v>0</v>
      </c>
      <c r="D364">
        <v>86.19</v>
      </c>
      <c r="E364">
        <v>3.6509999999999998</v>
      </c>
      <c r="F364">
        <v>218.78578809999999</v>
      </c>
      <c r="G364">
        <v>360617.37</v>
      </c>
      <c r="H364" t="str">
        <f>TEXT(Ventas[[#This Row],[Fecha_venta]],"dd")</f>
        <v>22</v>
      </c>
      <c r="I364" t="str">
        <f>TEXT(Ventas[[#This Row],[Fecha_venta]],"m")</f>
        <v>7</v>
      </c>
      <c r="J364" t="str">
        <f>TEXT(Ventas[[#This Row],[Fecha_venta]],"yyyy")</f>
        <v>2011</v>
      </c>
    </row>
    <row r="365" spans="1:10" x14ac:dyDescent="0.25">
      <c r="A365">
        <v>3</v>
      </c>
      <c r="B365" s="1">
        <v>40753</v>
      </c>
      <c r="C365">
        <v>0</v>
      </c>
      <c r="D365">
        <v>88.07</v>
      </c>
      <c r="E365">
        <v>3.6819999999999999</v>
      </c>
      <c r="F365">
        <v>218.8440545</v>
      </c>
      <c r="G365">
        <v>345381.29</v>
      </c>
      <c r="H365" t="str">
        <f>TEXT(Ventas[[#This Row],[Fecha_venta]],"dd")</f>
        <v>29</v>
      </c>
      <c r="I365" t="str">
        <f>TEXT(Ventas[[#This Row],[Fecha_venta]],"m")</f>
        <v>7</v>
      </c>
      <c r="J365" t="str">
        <f>TEXT(Ventas[[#This Row],[Fecha_venta]],"yyyy")</f>
        <v>2011</v>
      </c>
    </row>
    <row r="366" spans="1:10" x14ac:dyDescent="0.25">
      <c r="A366">
        <v>3</v>
      </c>
      <c r="B366" s="1">
        <v>40760</v>
      </c>
      <c r="C366">
        <v>0</v>
      </c>
      <c r="D366">
        <v>88.45</v>
      </c>
      <c r="E366">
        <v>3.6840000000000002</v>
      </c>
      <c r="F366">
        <v>218.90232090000001</v>
      </c>
      <c r="G366">
        <v>409981.25</v>
      </c>
      <c r="H366" t="str">
        <f>TEXT(Ventas[[#This Row],[Fecha_venta]],"dd")</f>
        <v>05</v>
      </c>
      <c r="I366" t="str">
        <f>TEXT(Ventas[[#This Row],[Fecha_venta]],"m")</f>
        <v>8</v>
      </c>
      <c r="J366" t="str">
        <f>TEXT(Ventas[[#This Row],[Fecha_venta]],"yyyy")</f>
        <v>2011</v>
      </c>
    </row>
    <row r="367" spans="1:10" x14ac:dyDescent="0.25">
      <c r="A367">
        <v>3</v>
      </c>
      <c r="B367" s="1">
        <v>40767</v>
      </c>
      <c r="C367">
        <v>0</v>
      </c>
      <c r="D367">
        <v>88.88</v>
      </c>
      <c r="E367">
        <v>3.6379999999999999</v>
      </c>
      <c r="F367">
        <v>218.96058729999999</v>
      </c>
      <c r="G367">
        <v>380376.85</v>
      </c>
      <c r="H367" t="str">
        <f>TEXT(Ventas[[#This Row],[Fecha_venta]],"dd")</f>
        <v>12</v>
      </c>
      <c r="I367" t="str">
        <f>TEXT(Ventas[[#This Row],[Fecha_venta]],"m")</f>
        <v>8</v>
      </c>
      <c r="J367" t="str">
        <f>TEXT(Ventas[[#This Row],[Fecha_venta]],"yyyy")</f>
        <v>2011</v>
      </c>
    </row>
    <row r="368" spans="1:10" x14ac:dyDescent="0.25">
      <c r="A368">
        <v>3</v>
      </c>
      <c r="B368" s="1">
        <v>40774</v>
      </c>
      <c r="C368">
        <v>0</v>
      </c>
      <c r="D368">
        <v>88.44</v>
      </c>
      <c r="E368">
        <v>3.5539999999999998</v>
      </c>
      <c r="F368">
        <v>219.02327099999999</v>
      </c>
      <c r="G368">
        <v>379716.91</v>
      </c>
      <c r="H368" t="str">
        <f>TEXT(Ventas[[#This Row],[Fecha_venta]],"dd")</f>
        <v>19</v>
      </c>
      <c r="I368" t="str">
        <f>TEXT(Ventas[[#This Row],[Fecha_venta]],"m")</f>
        <v>8</v>
      </c>
      <c r="J368" t="str">
        <f>TEXT(Ventas[[#This Row],[Fecha_venta]],"yyyy")</f>
        <v>2011</v>
      </c>
    </row>
    <row r="369" spans="1:10" x14ac:dyDescent="0.25">
      <c r="A369">
        <v>3</v>
      </c>
      <c r="B369" s="1">
        <v>40781</v>
      </c>
      <c r="C369">
        <v>0</v>
      </c>
      <c r="D369">
        <v>87.67</v>
      </c>
      <c r="E369">
        <v>3.5230000000000001</v>
      </c>
      <c r="F369">
        <v>219.08669080000001</v>
      </c>
      <c r="G369">
        <v>366367.55</v>
      </c>
      <c r="H369" t="str">
        <f>TEXT(Ventas[[#This Row],[Fecha_venta]],"dd")</f>
        <v>26</v>
      </c>
      <c r="I369" t="str">
        <f>TEXT(Ventas[[#This Row],[Fecha_venta]],"m")</f>
        <v>8</v>
      </c>
      <c r="J369" t="str">
        <f>TEXT(Ventas[[#This Row],[Fecha_venta]],"yyyy")</f>
        <v>2011</v>
      </c>
    </row>
    <row r="370" spans="1:10" x14ac:dyDescent="0.25">
      <c r="A370">
        <v>3</v>
      </c>
      <c r="B370" s="1">
        <v>40788</v>
      </c>
      <c r="C370">
        <v>0</v>
      </c>
      <c r="D370">
        <v>89.12</v>
      </c>
      <c r="E370">
        <v>3.5329999999999999</v>
      </c>
      <c r="F370">
        <v>219.1501106</v>
      </c>
      <c r="G370">
        <v>375988.69</v>
      </c>
      <c r="H370" t="str">
        <f>TEXT(Ventas[[#This Row],[Fecha_venta]],"dd")</f>
        <v>02</v>
      </c>
      <c r="I370" t="str">
        <f>TEXT(Ventas[[#This Row],[Fecha_venta]],"m")</f>
        <v>9</v>
      </c>
      <c r="J370" t="str">
        <f>TEXT(Ventas[[#This Row],[Fecha_venta]],"yyyy")</f>
        <v>2011</v>
      </c>
    </row>
    <row r="371" spans="1:10" x14ac:dyDescent="0.25">
      <c r="A371">
        <v>3</v>
      </c>
      <c r="B371" s="1">
        <v>40795</v>
      </c>
      <c r="C371">
        <v>1</v>
      </c>
      <c r="D371">
        <v>81.72</v>
      </c>
      <c r="E371">
        <v>3.5459999999999998</v>
      </c>
      <c r="F371">
        <v>219.21353049999999</v>
      </c>
      <c r="G371">
        <v>377347.49</v>
      </c>
      <c r="H371" t="str">
        <f>TEXT(Ventas[[#This Row],[Fecha_venta]],"dd")</f>
        <v>09</v>
      </c>
      <c r="I371" t="str">
        <f>TEXT(Ventas[[#This Row],[Fecha_venta]],"m")</f>
        <v>9</v>
      </c>
      <c r="J371" t="str">
        <f>TEXT(Ventas[[#This Row],[Fecha_venta]],"yyyy")</f>
        <v>2011</v>
      </c>
    </row>
    <row r="372" spans="1:10" x14ac:dyDescent="0.25">
      <c r="A372">
        <v>3</v>
      </c>
      <c r="B372" s="1">
        <v>40802</v>
      </c>
      <c r="C372">
        <v>0</v>
      </c>
      <c r="D372">
        <v>83.63</v>
      </c>
      <c r="E372">
        <v>3.5259999999999998</v>
      </c>
      <c r="F372">
        <v>219.3972867</v>
      </c>
      <c r="G372">
        <v>375629.51</v>
      </c>
      <c r="H372" t="str">
        <f>TEXT(Ventas[[#This Row],[Fecha_venta]],"dd")</f>
        <v>16</v>
      </c>
      <c r="I372" t="str">
        <f>TEXT(Ventas[[#This Row],[Fecha_venta]],"m")</f>
        <v>9</v>
      </c>
      <c r="J372" t="str">
        <f>TEXT(Ventas[[#This Row],[Fecha_venta]],"yyyy")</f>
        <v>2011</v>
      </c>
    </row>
    <row r="373" spans="1:10" x14ac:dyDescent="0.25">
      <c r="A373">
        <v>3</v>
      </c>
      <c r="B373" s="1">
        <v>40809</v>
      </c>
      <c r="C373">
        <v>0</v>
      </c>
      <c r="D373">
        <v>80.19</v>
      </c>
      <c r="E373">
        <v>3.4670000000000001</v>
      </c>
      <c r="F373">
        <v>219.7414914</v>
      </c>
      <c r="G373">
        <v>365248.94</v>
      </c>
      <c r="H373" t="str">
        <f>TEXT(Ventas[[#This Row],[Fecha_venta]],"dd")</f>
        <v>23</v>
      </c>
      <c r="I373" t="str">
        <f>TEXT(Ventas[[#This Row],[Fecha_venta]],"m")</f>
        <v>9</v>
      </c>
      <c r="J373" t="str">
        <f>TEXT(Ventas[[#This Row],[Fecha_venta]],"yyyy")</f>
        <v>2011</v>
      </c>
    </row>
    <row r="374" spans="1:10" x14ac:dyDescent="0.25">
      <c r="A374">
        <v>3</v>
      </c>
      <c r="B374" s="1">
        <v>40816</v>
      </c>
      <c r="C374">
        <v>0</v>
      </c>
      <c r="D374">
        <v>82.58</v>
      </c>
      <c r="E374">
        <v>3.355</v>
      </c>
      <c r="F374">
        <v>220.08569600000001</v>
      </c>
      <c r="G374">
        <v>368477.93</v>
      </c>
      <c r="H374" t="str">
        <f>TEXT(Ventas[[#This Row],[Fecha_venta]],"dd")</f>
        <v>30</v>
      </c>
      <c r="I374" t="str">
        <f>TEXT(Ventas[[#This Row],[Fecha_venta]],"m")</f>
        <v>9</v>
      </c>
      <c r="J374" t="str">
        <f>TEXT(Ventas[[#This Row],[Fecha_venta]],"yyyy")</f>
        <v>2011</v>
      </c>
    </row>
    <row r="375" spans="1:10" x14ac:dyDescent="0.25">
      <c r="A375">
        <v>3</v>
      </c>
      <c r="B375" s="1">
        <v>40823</v>
      </c>
      <c r="C375">
        <v>0</v>
      </c>
      <c r="D375">
        <v>75.540000000000006</v>
      </c>
      <c r="E375">
        <v>3.2850000000000001</v>
      </c>
      <c r="F375">
        <v>220.42990069999999</v>
      </c>
      <c r="G375">
        <v>403342.4</v>
      </c>
      <c r="H375" t="str">
        <f>TEXT(Ventas[[#This Row],[Fecha_venta]],"dd")</f>
        <v>07</v>
      </c>
      <c r="I375" t="str">
        <f>TEXT(Ventas[[#This Row],[Fecha_venta]],"m")</f>
        <v>10</v>
      </c>
      <c r="J375" t="str">
        <f>TEXT(Ventas[[#This Row],[Fecha_venta]],"yyyy")</f>
        <v>2011</v>
      </c>
    </row>
    <row r="376" spans="1:10" x14ac:dyDescent="0.25">
      <c r="A376">
        <v>3</v>
      </c>
      <c r="B376" s="1">
        <v>40830</v>
      </c>
      <c r="C376">
        <v>0</v>
      </c>
      <c r="D376">
        <v>73.75</v>
      </c>
      <c r="E376">
        <v>3.274</v>
      </c>
      <c r="F376">
        <v>220.74861670000001</v>
      </c>
      <c r="G376">
        <v>368282.57</v>
      </c>
      <c r="H376" t="str">
        <f>TEXT(Ventas[[#This Row],[Fecha_venta]],"dd")</f>
        <v>14</v>
      </c>
      <c r="I376" t="str">
        <f>TEXT(Ventas[[#This Row],[Fecha_venta]],"m")</f>
        <v>10</v>
      </c>
      <c r="J376" t="str">
        <f>TEXT(Ventas[[#This Row],[Fecha_venta]],"yyyy")</f>
        <v>2011</v>
      </c>
    </row>
    <row r="377" spans="1:10" x14ac:dyDescent="0.25">
      <c r="A377">
        <v>3</v>
      </c>
      <c r="B377" s="1">
        <v>40837</v>
      </c>
      <c r="C377">
        <v>0</v>
      </c>
      <c r="D377">
        <v>69.03</v>
      </c>
      <c r="E377">
        <v>3.3530000000000002</v>
      </c>
      <c r="F377">
        <v>220.9144005</v>
      </c>
      <c r="G377">
        <v>394976.36</v>
      </c>
      <c r="H377" t="str">
        <f>TEXT(Ventas[[#This Row],[Fecha_venta]],"dd")</f>
        <v>21</v>
      </c>
      <c r="I377" t="str">
        <f>TEXT(Ventas[[#This Row],[Fecha_venta]],"m")</f>
        <v>10</v>
      </c>
      <c r="J377" t="str">
        <f>TEXT(Ventas[[#This Row],[Fecha_venta]],"yyyy")</f>
        <v>2011</v>
      </c>
    </row>
    <row r="378" spans="1:10" x14ac:dyDescent="0.25">
      <c r="A378">
        <v>3</v>
      </c>
      <c r="B378" s="1">
        <v>40844</v>
      </c>
      <c r="C378">
        <v>0</v>
      </c>
      <c r="D378">
        <v>71.040000000000006</v>
      </c>
      <c r="E378">
        <v>3.3719999999999999</v>
      </c>
      <c r="F378">
        <v>221.08018419999999</v>
      </c>
      <c r="G378">
        <v>389540.62</v>
      </c>
      <c r="H378" t="str">
        <f>TEXT(Ventas[[#This Row],[Fecha_venta]],"dd")</f>
        <v>28</v>
      </c>
      <c r="I378" t="str">
        <f>TEXT(Ventas[[#This Row],[Fecha_venta]],"m")</f>
        <v>10</v>
      </c>
      <c r="J378" t="str">
        <f>TEXT(Ventas[[#This Row],[Fecha_venta]],"yyyy")</f>
        <v>2011</v>
      </c>
    </row>
    <row r="379" spans="1:10" x14ac:dyDescent="0.25">
      <c r="A379">
        <v>3</v>
      </c>
      <c r="B379" s="1">
        <v>40851</v>
      </c>
      <c r="C379">
        <v>0</v>
      </c>
      <c r="D379">
        <v>59.31</v>
      </c>
      <c r="E379">
        <v>3.3319999999999999</v>
      </c>
      <c r="F379">
        <v>221.245968</v>
      </c>
      <c r="G379">
        <v>459443.22</v>
      </c>
      <c r="H379" t="str">
        <f>TEXT(Ventas[[#This Row],[Fecha_venta]],"dd")</f>
        <v>04</v>
      </c>
      <c r="I379" t="str">
        <f>TEXT(Ventas[[#This Row],[Fecha_venta]],"m")</f>
        <v>11</v>
      </c>
      <c r="J379" t="str">
        <f>TEXT(Ventas[[#This Row],[Fecha_venta]],"yyyy")</f>
        <v>2011</v>
      </c>
    </row>
    <row r="380" spans="1:10" x14ac:dyDescent="0.25">
      <c r="A380">
        <v>3</v>
      </c>
      <c r="B380" s="1">
        <v>40858</v>
      </c>
      <c r="C380">
        <v>0</v>
      </c>
      <c r="D380">
        <v>61.7</v>
      </c>
      <c r="E380">
        <v>3.2970000000000002</v>
      </c>
      <c r="F380">
        <v>221.4117517</v>
      </c>
      <c r="G380">
        <v>407764.25</v>
      </c>
      <c r="H380" t="str">
        <f>TEXT(Ventas[[#This Row],[Fecha_venta]],"dd")</f>
        <v>11</v>
      </c>
      <c r="I380" t="str">
        <f>TEXT(Ventas[[#This Row],[Fecha_venta]],"m")</f>
        <v>11</v>
      </c>
      <c r="J380" t="str">
        <f>TEXT(Ventas[[#This Row],[Fecha_venta]],"yyyy")</f>
        <v>2011</v>
      </c>
    </row>
    <row r="381" spans="1:10" x14ac:dyDescent="0.25">
      <c r="A381">
        <v>3</v>
      </c>
      <c r="B381" s="1">
        <v>40865</v>
      </c>
      <c r="C381">
        <v>0</v>
      </c>
      <c r="D381">
        <v>63.91</v>
      </c>
      <c r="E381">
        <v>3.3079999999999998</v>
      </c>
      <c r="F381">
        <v>221.64328520000001</v>
      </c>
      <c r="G381">
        <v>398838.97</v>
      </c>
      <c r="H381" t="str">
        <f>TEXT(Ventas[[#This Row],[Fecha_venta]],"dd")</f>
        <v>18</v>
      </c>
      <c r="I381" t="str">
        <f>TEXT(Ventas[[#This Row],[Fecha_venta]],"m")</f>
        <v>11</v>
      </c>
      <c r="J381" t="str">
        <f>TEXT(Ventas[[#This Row],[Fecha_venta]],"yyyy")</f>
        <v>2011</v>
      </c>
    </row>
    <row r="382" spans="1:10" x14ac:dyDescent="0.25">
      <c r="A382">
        <v>3</v>
      </c>
      <c r="B382" s="1">
        <v>40872</v>
      </c>
      <c r="C382">
        <v>1</v>
      </c>
      <c r="D382">
        <v>68</v>
      </c>
      <c r="E382">
        <v>3.2360000000000002</v>
      </c>
      <c r="F382">
        <v>221.9011185</v>
      </c>
      <c r="G382">
        <v>556925.18999999994</v>
      </c>
      <c r="H382" t="str">
        <f>TEXT(Ventas[[#This Row],[Fecha_venta]],"dd")</f>
        <v>25</v>
      </c>
      <c r="I382" t="str">
        <f>TEXT(Ventas[[#This Row],[Fecha_venta]],"m")</f>
        <v>11</v>
      </c>
      <c r="J382" t="str">
        <f>TEXT(Ventas[[#This Row],[Fecha_venta]],"yyyy")</f>
        <v>2011</v>
      </c>
    </row>
    <row r="383" spans="1:10" x14ac:dyDescent="0.25">
      <c r="A383">
        <v>3</v>
      </c>
      <c r="B383" s="1">
        <v>40879</v>
      </c>
      <c r="C383">
        <v>0</v>
      </c>
      <c r="D383">
        <v>54.97</v>
      </c>
      <c r="E383">
        <v>3.1720000000000002</v>
      </c>
      <c r="F383">
        <v>222.15895190000001</v>
      </c>
      <c r="G383">
        <v>472511.32</v>
      </c>
      <c r="H383" t="str">
        <f>TEXT(Ventas[[#This Row],[Fecha_venta]],"dd")</f>
        <v>02</v>
      </c>
      <c r="I383" t="str">
        <f>TEXT(Ventas[[#This Row],[Fecha_venta]],"m")</f>
        <v>12</v>
      </c>
      <c r="J383" t="str">
        <f>TEXT(Ventas[[#This Row],[Fecha_venta]],"yyyy")</f>
        <v>2011</v>
      </c>
    </row>
    <row r="384" spans="1:10" x14ac:dyDescent="0.25">
      <c r="A384">
        <v>3</v>
      </c>
      <c r="B384" s="1">
        <v>40886</v>
      </c>
      <c r="C384">
        <v>0</v>
      </c>
      <c r="D384">
        <v>49.26</v>
      </c>
      <c r="E384">
        <v>3.1579999999999999</v>
      </c>
      <c r="F384">
        <v>222.41678519999999</v>
      </c>
      <c r="G384">
        <v>468772.8</v>
      </c>
      <c r="H384" t="str">
        <f>TEXT(Ventas[[#This Row],[Fecha_venta]],"dd")</f>
        <v>09</v>
      </c>
      <c r="I384" t="str">
        <f>TEXT(Ventas[[#This Row],[Fecha_venta]],"m")</f>
        <v>12</v>
      </c>
      <c r="J384" t="str">
        <f>TEXT(Ventas[[#This Row],[Fecha_venta]],"yyyy")</f>
        <v>2011</v>
      </c>
    </row>
    <row r="385" spans="1:10" x14ac:dyDescent="0.25">
      <c r="A385">
        <v>3</v>
      </c>
      <c r="B385" s="1">
        <v>40893</v>
      </c>
      <c r="C385">
        <v>0</v>
      </c>
      <c r="D385">
        <v>57.95</v>
      </c>
      <c r="E385">
        <v>3.1589999999999998</v>
      </c>
      <c r="F385">
        <v>222.64264180000001</v>
      </c>
      <c r="G385">
        <v>510747.62</v>
      </c>
      <c r="H385" t="str">
        <f>TEXT(Ventas[[#This Row],[Fecha_venta]],"dd")</f>
        <v>16</v>
      </c>
      <c r="I385" t="str">
        <f>TEXT(Ventas[[#This Row],[Fecha_venta]],"m")</f>
        <v>12</v>
      </c>
      <c r="J385" t="str">
        <f>TEXT(Ventas[[#This Row],[Fecha_venta]],"yyyy")</f>
        <v>2011</v>
      </c>
    </row>
    <row r="386" spans="1:10" x14ac:dyDescent="0.25">
      <c r="A386">
        <v>3</v>
      </c>
      <c r="B386" s="1">
        <v>40900</v>
      </c>
      <c r="C386">
        <v>0</v>
      </c>
      <c r="D386">
        <v>53.41</v>
      </c>
      <c r="E386">
        <v>3.1120000000000001</v>
      </c>
      <c r="F386">
        <v>222.82586280000001</v>
      </c>
      <c r="G386">
        <v>551221.21</v>
      </c>
      <c r="H386" t="str">
        <f>TEXT(Ventas[[#This Row],[Fecha_venta]],"dd")</f>
        <v>23</v>
      </c>
      <c r="I386" t="str">
        <f>TEXT(Ventas[[#This Row],[Fecha_venta]],"m")</f>
        <v>12</v>
      </c>
      <c r="J386" t="str">
        <f>TEXT(Ventas[[#This Row],[Fecha_venta]],"yyyy")</f>
        <v>2011</v>
      </c>
    </row>
    <row r="387" spans="1:10" x14ac:dyDescent="0.25">
      <c r="A387">
        <v>3</v>
      </c>
      <c r="B387" s="1">
        <v>40907</v>
      </c>
      <c r="C387">
        <v>1</v>
      </c>
      <c r="D387">
        <v>48.29</v>
      </c>
      <c r="E387">
        <v>3.129</v>
      </c>
      <c r="F387">
        <v>223.00908390000001</v>
      </c>
      <c r="G387">
        <v>410553.88</v>
      </c>
      <c r="H387" t="str">
        <f>TEXT(Ventas[[#This Row],[Fecha_venta]],"dd")</f>
        <v>30</v>
      </c>
      <c r="I387" t="str">
        <f>TEXT(Ventas[[#This Row],[Fecha_venta]],"m")</f>
        <v>12</v>
      </c>
      <c r="J387" t="str">
        <f>TEXT(Ventas[[#This Row],[Fecha_venta]],"yyyy")</f>
        <v>2011</v>
      </c>
    </row>
    <row r="388" spans="1:10" x14ac:dyDescent="0.25">
      <c r="A388">
        <v>3</v>
      </c>
      <c r="B388" s="1">
        <v>40914</v>
      </c>
      <c r="C388">
        <v>0</v>
      </c>
      <c r="D388">
        <v>52.42</v>
      </c>
      <c r="E388">
        <v>3.157</v>
      </c>
      <c r="F388">
        <v>223.19230490000001</v>
      </c>
      <c r="G388">
        <v>398178.21</v>
      </c>
      <c r="H388" t="str">
        <f>TEXT(Ventas[[#This Row],[Fecha_venta]],"dd")</f>
        <v>06</v>
      </c>
      <c r="I388" t="str">
        <f>TEXT(Ventas[[#This Row],[Fecha_venta]],"m")</f>
        <v>1</v>
      </c>
      <c r="J388" t="str">
        <f>TEXT(Ventas[[#This Row],[Fecha_venta]],"yyyy")</f>
        <v>2012</v>
      </c>
    </row>
    <row r="389" spans="1:10" x14ac:dyDescent="0.25">
      <c r="A389">
        <v>3</v>
      </c>
      <c r="B389" s="1">
        <v>40921</v>
      </c>
      <c r="C389">
        <v>0</v>
      </c>
      <c r="D389">
        <v>51.86</v>
      </c>
      <c r="E389">
        <v>3.2610000000000001</v>
      </c>
      <c r="F389">
        <v>223.37552590000001</v>
      </c>
      <c r="G389">
        <v>367438.62</v>
      </c>
      <c r="H389" t="str">
        <f>TEXT(Ventas[[#This Row],[Fecha_venta]],"dd")</f>
        <v>13</v>
      </c>
      <c r="I389" t="str">
        <f>TEXT(Ventas[[#This Row],[Fecha_venta]],"m")</f>
        <v>1</v>
      </c>
      <c r="J389" t="str">
        <f>TEXT(Ventas[[#This Row],[Fecha_venta]],"yyyy")</f>
        <v>2012</v>
      </c>
    </row>
    <row r="390" spans="1:10" x14ac:dyDescent="0.25">
      <c r="A390">
        <v>3</v>
      </c>
      <c r="B390" s="1">
        <v>40928</v>
      </c>
      <c r="C390">
        <v>0</v>
      </c>
      <c r="D390">
        <v>56.2</v>
      </c>
      <c r="E390">
        <v>3.2679999999999998</v>
      </c>
      <c r="F390">
        <v>223.47005519999999</v>
      </c>
      <c r="G390">
        <v>365818.61</v>
      </c>
      <c r="H390" t="str">
        <f>TEXT(Ventas[[#This Row],[Fecha_venta]],"dd")</f>
        <v>20</v>
      </c>
      <c r="I390" t="str">
        <f>TEXT(Ventas[[#This Row],[Fecha_venta]],"m")</f>
        <v>1</v>
      </c>
      <c r="J390" t="str">
        <f>TEXT(Ventas[[#This Row],[Fecha_venta]],"yyyy")</f>
        <v>2012</v>
      </c>
    </row>
    <row r="391" spans="1:10" x14ac:dyDescent="0.25">
      <c r="A391">
        <v>3</v>
      </c>
      <c r="B391" s="1">
        <v>40935</v>
      </c>
      <c r="C391">
        <v>0</v>
      </c>
      <c r="D391">
        <v>58.06</v>
      </c>
      <c r="E391">
        <v>3.29</v>
      </c>
      <c r="F391">
        <v>223.5645845</v>
      </c>
      <c r="G391">
        <v>349518.1</v>
      </c>
      <c r="H391" t="str">
        <f>TEXT(Ventas[[#This Row],[Fecha_venta]],"dd")</f>
        <v>27</v>
      </c>
      <c r="I391" t="str">
        <f>TEXT(Ventas[[#This Row],[Fecha_venta]],"m")</f>
        <v>1</v>
      </c>
      <c r="J391" t="str">
        <f>TEXT(Ventas[[#This Row],[Fecha_venta]],"yyyy")</f>
        <v>2012</v>
      </c>
    </row>
    <row r="392" spans="1:10" x14ac:dyDescent="0.25">
      <c r="A392">
        <v>3</v>
      </c>
      <c r="B392" s="1">
        <v>40942</v>
      </c>
      <c r="C392">
        <v>0</v>
      </c>
      <c r="D392">
        <v>59.33</v>
      </c>
      <c r="E392">
        <v>3.36</v>
      </c>
      <c r="F392">
        <v>223.65911370000001</v>
      </c>
      <c r="G392">
        <v>424960.66</v>
      </c>
      <c r="H392" t="str">
        <f>TEXT(Ventas[[#This Row],[Fecha_venta]],"dd")</f>
        <v>03</v>
      </c>
      <c r="I392" t="str">
        <f>TEXT(Ventas[[#This Row],[Fecha_venta]],"m")</f>
        <v>2</v>
      </c>
      <c r="J392" t="str">
        <f>TEXT(Ventas[[#This Row],[Fecha_venta]],"yyyy")</f>
        <v>2012</v>
      </c>
    </row>
    <row r="393" spans="1:10" x14ac:dyDescent="0.25">
      <c r="A393">
        <v>3</v>
      </c>
      <c r="B393" s="1">
        <v>40949</v>
      </c>
      <c r="C393">
        <v>1</v>
      </c>
      <c r="D393">
        <v>51.65</v>
      </c>
      <c r="E393">
        <v>3.4089999999999998</v>
      </c>
      <c r="F393">
        <v>223.75364300000001</v>
      </c>
      <c r="G393">
        <v>473292.47</v>
      </c>
      <c r="H393" t="str">
        <f>TEXT(Ventas[[#This Row],[Fecha_venta]],"dd")</f>
        <v>10</v>
      </c>
      <c r="I393" t="str">
        <f>TEXT(Ventas[[#This Row],[Fecha_venta]],"m")</f>
        <v>2</v>
      </c>
      <c r="J393" t="str">
        <f>TEXT(Ventas[[#This Row],[Fecha_venta]],"yyyy")</f>
        <v>2012</v>
      </c>
    </row>
    <row r="394" spans="1:10" x14ac:dyDescent="0.25">
      <c r="A394">
        <v>3</v>
      </c>
      <c r="B394" s="1">
        <v>40956</v>
      </c>
      <c r="C394">
        <v>0</v>
      </c>
      <c r="D394">
        <v>52.39</v>
      </c>
      <c r="E394">
        <v>3.51</v>
      </c>
      <c r="F394">
        <v>223.9170153</v>
      </c>
      <c r="G394">
        <v>475591.08</v>
      </c>
      <c r="H394" t="str">
        <f>TEXT(Ventas[[#This Row],[Fecha_venta]],"dd")</f>
        <v>17</v>
      </c>
      <c r="I394" t="str">
        <f>TEXT(Ventas[[#This Row],[Fecha_venta]],"m")</f>
        <v>2</v>
      </c>
      <c r="J394" t="str">
        <f>TEXT(Ventas[[#This Row],[Fecha_venta]],"yyyy")</f>
        <v>2012</v>
      </c>
    </row>
    <row r="395" spans="1:10" x14ac:dyDescent="0.25">
      <c r="A395">
        <v>3</v>
      </c>
      <c r="B395" s="1">
        <v>40963</v>
      </c>
      <c r="C395">
        <v>0</v>
      </c>
      <c r="D395">
        <v>60.12</v>
      </c>
      <c r="E395">
        <v>3.5550000000000002</v>
      </c>
      <c r="F395">
        <v>224.13201989999999</v>
      </c>
      <c r="G395">
        <v>418925.47</v>
      </c>
      <c r="H395" t="str">
        <f>TEXT(Ventas[[#This Row],[Fecha_venta]],"dd")</f>
        <v>24</v>
      </c>
      <c r="I395" t="str">
        <f>TEXT(Ventas[[#This Row],[Fecha_venta]],"m")</f>
        <v>2</v>
      </c>
      <c r="J395" t="str">
        <f>TEXT(Ventas[[#This Row],[Fecha_venta]],"yyyy")</f>
        <v>2012</v>
      </c>
    </row>
    <row r="396" spans="1:10" x14ac:dyDescent="0.25">
      <c r="A396">
        <v>3</v>
      </c>
      <c r="B396" s="1">
        <v>40970</v>
      </c>
      <c r="C396">
        <v>0</v>
      </c>
      <c r="D396">
        <v>61.65</v>
      </c>
      <c r="E396">
        <v>3.63</v>
      </c>
      <c r="F396">
        <v>224.3470245</v>
      </c>
      <c r="G396">
        <v>469752.56</v>
      </c>
      <c r="H396" t="str">
        <f>TEXT(Ventas[[#This Row],[Fecha_venta]],"dd")</f>
        <v>02</v>
      </c>
      <c r="I396" t="str">
        <f>TEXT(Ventas[[#This Row],[Fecha_venta]],"m")</f>
        <v>3</v>
      </c>
      <c r="J396" t="str">
        <f>TEXT(Ventas[[#This Row],[Fecha_venta]],"yyyy")</f>
        <v>2012</v>
      </c>
    </row>
    <row r="397" spans="1:10" x14ac:dyDescent="0.25">
      <c r="A397">
        <v>3</v>
      </c>
      <c r="B397" s="1">
        <v>40977</v>
      </c>
      <c r="C397">
        <v>0</v>
      </c>
      <c r="D397">
        <v>60.71</v>
      </c>
      <c r="E397">
        <v>3.669</v>
      </c>
      <c r="F397">
        <v>224.56202909999999</v>
      </c>
      <c r="G397">
        <v>445162.05</v>
      </c>
      <c r="H397" t="str">
        <f>TEXT(Ventas[[#This Row],[Fecha_venta]],"dd")</f>
        <v>09</v>
      </c>
      <c r="I397" t="str">
        <f>TEXT(Ventas[[#This Row],[Fecha_venta]],"m")</f>
        <v>3</v>
      </c>
      <c r="J397" t="str">
        <f>TEXT(Ventas[[#This Row],[Fecha_venta]],"yyyy")</f>
        <v>2012</v>
      </c>
    </row>
    <row r="398" spans="1:10" x14ac:dyDescent="0.25">
      <c r="A398">
        <v>3</v>
      </c>
      <c r="B398" s="1">
        <v>40984</v>
      </c>
      <c r="C398">
        <v>0</v>
      </c>
      <c r="D398">
        <v>64</v>
      </c>
      <c r="E398">
        <v>3.734</v>
      </c>
      <c r="F398">
        <v>224.7166953</v>
      </c>
      <c r="G398">
        <v>411775.8</v>
      </c>
      <c r="H398" t="str">
        <f>TEXT(Ventas[[#This Row],[Fecha_venta]],"dd")</f>
        <v>16</v>
      </c>
      <c r="I398" t="str">
        <f>TEXT(Ventas[[#This Row],[Fecha_venta]],"m")</f>
        <v>3</v>
      </c>
      <c r="J398" t="str">
        <f>TEXT(Ventas[[#This Row],[Fecha_venta]],"yyyy")</f>
        <v>2012</v>
      </c>
    </row>
    <row r="399" spans="1:10" x14ac:dyDescent="0.25">
      <c r="A399">
        <v>3</v>
      </c>
      <c r="B399" s="1">
        <v>40991</v>
      </c>
      <c r="C399">
        <v>0</v>
      </c>
      <c r="D399">
        <v>66.53</v>
      </c>
      <c r="E399">
        <v>3.7869999999999999</v>
      </c>
      <c r="F399">
        <v>224.7909104</v>
      </c>
      <c r="G399">
        <v>413907.25</v>
      </c>
      <c r="H399" t="str">
        <f>TEXT(Ventas[[#This Row],[Fecha_venta]],"dd")</f>
        <v>23</v>
      </c>
      <c r="I399" t="str">
        <f>TEXT(Ventas[[#This Row],[Fecha_venta]],"m")</f>
        <v>3</v>
      </c>
      <c r="J399" t="str">
        <f>TEXT(Ventas[[#This Row],[Fecha_venta]],"yyyy")</f>
        <v>2012</v>
      </c>
    </row>
    <row r="400" spans="1:10" x14ac:dyDescent="0.25">
      <c r="A400">
        <v>3</v>
      </c>
      <c r="B400" s="1">
        <v>40998</v>
      </c>
      <c r="C400">
        <v>0</v>
      </c>
      <c r="D400">
        <v>69.36</v>
      </c>
      <c r="E400">
        <v>3.8450000000000002</v>
      </c>
      <c r="F400">
        <v>224.86512540000001</v>
      </c>
      <c r="G400">
        <v>407488.84</v>
      </c>
      <c r="H400" t="str">
        <f>TEXT(Ventas[[#This Row],[Fecha_venta]],"dd")</f>
        <v>30</v>
      </c>
      <c r="I400" t="str">
        <f>TEXT(Ventas[[#This Row],[Fecha_venta]],"m")</f>
        <v>3</v>
      </c>
      <c r="J400" t="str">
        <f>TEXT(Ventas[[#This Row],[Fecha_venta]],"yyyy")</f>
        <v>2012</v>
      </c>
    </row>
    <row r="401" spans="1:10" x14ac:dyDescent="0.25">
      <c r="A401">
        <v>3</v>
      </c>
      <c r="B401" s="1">
        <v>41005</v>
      </c>
      <c r="C401">
        <v>0</v>
      </c>
      <c r="D401">
        <v>73.010000000000005</v>
      </c>
      <c r="E401">
        <v>3.891</v>
      </c>
      <c r="F401">
        <v>224.93934049999999</v>
      </c>
      <c r="G401">
        <v>503232.13</v>
      </c>
      <c r="H401" t="str">
        <f>TEXT(Ventas[[#This Row],[Fecha_venta]],"dd")</f>
        <v>06</v>
      </c>
      <c r="I401" t="str">
        <f>TEXT(Ventas[[#This Row],[Fecha_venta]],"m")</f>
        <v>4</v>
      </c>
      <c r="J401" t="str">
        <f>TEXT(Ventas[[#This Row],[Fecha_venta]],"yyyy")</f>
        <v>2012</v>
      </c>
    </row>
    <row r="402" spans="1:10" x14ac:dyDescent="0.25">
      <c r="A402">
        <v>3</v>
      </c>
      <c r="B402" s="1">
        <v>41012</v>
      </c>
      <c r="C402">
        <v>0</v>
      </c>
      <c r="D402">
        <v>72.83</v>
      </c>
      <c r="E402">
        <v>3.891</v>
      </c>
      <c r="F402">
        <v>225.01355559999999</v>
      </c>
      <c r="G402">
        <v>420789.74</v>
      </c>
      <c r="H402" t="str">
        <f>TEXT(Ventas[[#This Row],[Fecha_venta]],"dd")</f>
        <v>13</v>
      </c>
      <c r="I402" t="str">
        <f>TEXT(Ventas[[#This Row],[Fecha_venta]],"m")</f>
        <v>4</v>
      </c>
      <c r="J402" t="str">
        <f>TEXT(Ventas[[#This Row],[Fecha_venta]],"yyyy")</f>
        <v>2012</v>
      </c>
    </row>
    <row r="403" spans="1:10" x14ac:dyDescent="0.25">
      <c r="A403">
        <v>3</v>
      </c>
      <c r="B403" s="1">
        <v>41019</v>
      </c>
      <c r="C403">
        <v>0</v>
      </c>
      <c r="D403">
        <v>72.05</v>
      </c>
      <c r="E403">
        <v>3.8769999999999998</v>
      </c>
      <c r="F403">
        <v>225.06895410000001</v>
      </c>
      <c r="G403">
        <v>434822.13</v>
      </c>
      <c r="H403" t="str">
        <f>TEXT(Ventas[[#This Row],[Fecha_venta]],"dd")</f>
        <v>20</v>
      </c>
      <c r="I403" t="str">
        <f>TEXT(Ventas[[#This Row],[Fecha_venta]],"m")</f>
        <v>4</v>
      </c>
      <c r="J403" t="str">
        <f>TEXT(Ventas[[#This Row],[Fecha_venta]],"yyyy")</f>
        <v>2012</v>
      </c>
    </row>
    <row r="404" spans="1:10" x14ac:dyDescent="0.25">
      <c r="A404">
        <v>3</v>
      </c>
      <c r="B404" s="1">
        <v>41026</v>
      </c>
      <c r="C404">
        <v>0</v>
      </c>
      <c r="D404">
        <v>73.39</v>
      </c>
      <c r="E404">
        <v>3.8140000000000001</v>
      </c>
      <c r="F404">
        <v>225.12435260000001</v>
      </c>
      <c r="G404">
        <v>394616.11</v>
      </c>
      <c r="H404" t="str">
        <f>TEXT(Ventas[[#This Row],[Fecha_venta]],"dd")</f>
        <v>27</v>
      </c>
      <c r="I404" t="str">
        <f>TEXT(Ventas[[#This Row],[Fecha_venta]],"m")</f>
        <v>4</v>
      </c>
      <c r="J404" t="str">
        <f>TEXT(Ventas[[#This Row],[Fecha_venta]],"yyyy")</f>
        <v>2012</v>
      </c>
    </row>
    <row r="405" spans="1:10" x14ac:dyDescent="0.25">
      <c r="A405">
        <v>3</v>
      </c>
      <c r="B405" s="1">
        <v>41033</v>
      </c>
      <c r="C405">
        <v>0</v>
      </c>
      <c r="D405">
        <v>79.510000000000005</v>
      </c>
      <c r="E405">
        <v>3.7490000000000001</v>
      </c>
      <c r="F405">
        <v>225.1797511</v>
      </c>
      <c r="G405">
        <v>439913.57</v>
      </c>
      <c r="H405" t="str">
        <f>TEXT(Ventas[[#This Row],[Fecha_venta]],"dd")</f>
        <v>04</v>
      </c>
      <c r="I405" t="str">
        <f>TEXT(Ventas[[#This Row],[Fecha_venta]],"m")</f>
        <v>5</v>
      </c>
      <c r="J405" t="str">
        <f>TEXT(Ventas[[#This Row],[Fecha_venta]],"yyyy")</f>
        <v>2012</v>
      </c>
    </row>
    <row r="406" spans="1:10" x14ac:dyDescent="0.25">
      <c r="A406">
        <v>3</v>
      </c>
      <c r="B406" s="1">
        <v>41040</v>
      </c>
      <c r="C406">
        <v>3</v>
      </c>
      <c r="D406">
        <v>75.19</v>
      </c>
      <c r="E406">
        <v>3.6880000000000002</v>
      </c>
      <c r="F406">
        <v>225.2351496</v>
      </c>
      <c r="G406">
        <v>431985.36</v>
      </c>
      <c r="H406" t="str">
        <f>TEXT(Ventas[[#This Row],[Fecha_venta]],"dd")</f>
        <v>11</v>
      </c>
      <c r="I406" t="str">
        <f>TEXT(Ventas[[#This Row],[Fecha_venta]],"m")</f>
        <v>5</v>
      </c>
      <c r="J406" t="str">
        <f>TEXT(Ventas[[#This Row],[Fecha_venta]],"yyyy")</f>
        <v>2012</v>
      </c>
    </row>
    <row r="407" spans="1:10" x14ac:dyDescent="0.25">
      <c r="A407">
        <v>3</v>
      </c>
      <c r="B407" s="1">
        <v>41047</v>
      </c>
      <c r="C407">
        <v>0</v>
      </c>
      <c r="D407">
        <v>72.38</v>
      </c>
      <c r="E407">
        <v>3.63</v>
      </c>
      <c r="F407">
        <v>225.25120240000001</v>
      </c>
      <c r="G407">
        <v>418112.76</v>
      </c>
      <c r="H407" t="str">
        <f>TEXT(Ventas[[#This Row],[Fecha_venta]],"dd")</f>
        <v>18</v>
      </c>
      <c r="I407" t="str">
        <f>TEXT(Ventas[[#This Row],[Fecha_venta]],"m")</f>
        <v>5</v>
      </c>
      <c r="J407" t="str">
        <f>TEXT(Ventas[[#This Row],[Fecha_venta]],"yyyy")</f>
        <v>2012</v>
      </c>
    </row>
    <row r="408" spans="1:10" x14ac:dyDescent="0.25">
      <c r="A408">
        <v>3</v>
      </c>
      <c r="B408" s="1">
        <v>41054</v>
      </c>
      <c r="C408">
        <v>0</v>
      </c>
      <c r="D408">
        <v>78.58</v>
      </c>
      <c r="E408">
        <v>3.5609999999999999</v>
      </c>
      <c r="F408">
        <v>225.25151679999999</v>
      </c>
      <c r="G408">
        <v>413701.29</v>
      </c>
      <c r="H408" t="str">
        <f>TEXT(Ventas[[#This Row],[Fecha_venta]],"dd")</f>
        <v>25</v>
      </c>
      <c r="I408" t="str">
        <f>TEXT(Ventas[[#This Row],[Fecha_venta]],"m")</f>
        <v>5</v>
      </c>
      <c r="J408" t="str">
        <f>TEXT(Ventas[[#This Row],[Fecha_venta]],"yyyy")</f>
        <v>2012</v>
      </c>
    </row>
    <row r="409" spans="1:10" x14ac:dyDescent="0.25">
      <c r="A409">
        <v>3</v>
      </c>
      <c r="B409" s="1">
        <v>41061</v>
      </c>
      <c r="C409">
        <v>0</v>
      </c>
      <c r="D409">
        <v>81.55</v>
      </c>
      <c r="E409">
        <v>3.5009999999999999</v>
      </c>
      <c r="F409">
        <v>225.25183129999999</v>
      </c>
      <c r="G409">
        <v>432268.53</v>
      </c>
      <c r="H409" t="str">
        <f>TEXT(Ventas[[#This Row],[Fecha_venta]],"dd")</f>
        <v>01</v>
      </c>
      <c r="I409" t="str">
        <f>TEXT(Ventas[[#This Row],[Fecha_venta]],"m")</f>
        <v>6</v>
      </c>
      <c r="J409" t="str">
        <f>TEXT(Ventas[[#This Row],[Fecha_venta]],"yyyy")</f>
        <v>2012</v>
      </c>
    </row>
    <row r="410" spans="1:10" x14ac:dyDescent="0.25">
      <c r="A410">
        <v>3</v>
      </c>
      <c r="B410" s="1">
        <v>41068</v>
      </c>
      <c r="C410">
        <v>0</v>
      </c>
      <c r="D410">
        <v>81.650000000000006</v>
      </c>
      <c r="E410">
        <v>3.452</v>
      </c>
      <c r="F410">
        <v>225.25214579999999</v>
      </c>
      <c r="G410">
        <v>446336.8</v>
      </c>
      <c r="H410" t="str">
        <f>TEXT(Ventas[[#This Row],[Fecha_venta]],"dd")</f>
        <v>08</v>
      </c>
      <c r="I410" t="str">
        <f>TEXT(Ventas[[#This Row],[Fecha_venta]],"m")</f>
        <v>6</v>
      </c>
      <c r="J410" t="str">
        <f>TEXT(Ventas[[#This Row],[Fecha_venta]],"yyyy")</f>
        <v>2012</v>
      </c>
    </row>
    <row r="411" spans="1:10" x14ac:dyDescent="0.25">
      <c r="A411">
        <v>3</v>
      </c>
      <c r="B411" s="1">
        <v>41075</v>
      </c>
      <c r="C411">
        <v>0</v>
      </c>
      <c r="D411">
        <v>84.66</v>
      </c>
      <c r="E411">
        <v>3.3929999999999998</v>
      </c>
      <c r="F411">
        <v>225.26447949999999</v>
      </c>
      <c r="G411">
        <v>442074.79</v>
      </c>
      <c r="H411" t="str">
        <f>TEXT(Ventas[[#This Row],[Fecha_venta]],"dd")</f>
        <v>15</v>
      </c>
      <c r="I411" t="str">
        <f>TEXT(Ventas[[#This Row],[Fecha_venta]],"m")</f>
        <v>6</v>
      </c>
      <c r="J411" t="str">
        <f>TEXT(Ventas[[#This Row],[Fecha_venta]],"yyyy")</f>
        <v>2012</v>
      </c>
    </row>
    <row r="412" spans="1:10" x14ac:dyDescent="0.25">
      <c r="A412">
        <v>3</v>
      </c>
      <c r="B412" s="1">
        <v>41082</v>
      </c>
      <c r="C412">
        <v>0</v>
      </c>
      <c r="D412">
        <v>82.7</v>
      </c>
      <c r="E412">
        <v>3.3460000000000001</v>
      </c>
      <c r="F412">
        <v>225.3068615</v>
      </c>
      <c r="G412">
        <v>419497.95</v>
      </c>
      <c r="H412" t="str">
        <f>TEXT(Ventas[[#This Row],[Fecha_venta]],"dd")</f>
        <v>22</v>
      </c>
      <c r="I412" t="str">
        <f>TEXT(Ventas[[#This Row],[Fecha_venta]],"m")</f>
        <v>6</v>
      </c>
      <c r="J412" t="str">
        <f>TEXT(Ventas[[#This Row],[Fecha_venta]],"yyyy")</f>
        <v>2012</v>
      </c>
    </row>
    <row r="413" spans="1:10" x14ac:dyDescent="0.25">
      <c r="A413">
        <v>3</v>
      </c>
      <c r="B413" s="1">
        <v>41089</v>
      </c>
      <c r="C413">
        <v>0</v>
      </c>
      <c r="D413">
        <v>86.42</v>
      </c>
      <c r="E413">
        <v>3.286</v>
      </c>
      <c r="F413">
        <v>225.3492435</v>
      </c>
      <c r="G413">
        <v>422965.33</v>
      </c>
      <c r="H413" t="str">
        <f>TEXT(Ventas[[#This Row],[Fecha_venta]],"dd")</f>
        <v>29</v>
      </c>
      <c r="I413" t="str">
        <f>TEXT(Ventas[[#This Row],[Fecha_venta]],"m")</f>
        <v>6</v>
      </c>
      <c r="J413" t="str">
        <f>TEXT(Ventas[[#This Row],[Fecha_venta]],"yyyy")</f>
        <v>2012</v>
      </c>
    </row>
    <row r="414" spans="1:10" x14ac:dyDescent="0.25">
      <c r="A414">
        <v>3</v>
      </c>
      <c r="B414" s="1">
        <v>41096</v>
      </c>
      <c r="C414">
        <v>0</v>
      </c>
      <c r="D414">
        <v>83.14</v>
      </c>
      <c r="E414">
        <v>3.2269999999999999</v>
      </c>
      <c r="F414">
        <v>225.39162540000001</v>
      </c>
      <c r="G414">
        <v>411206.5</v>
      </c>
      <c r="H414" t="str">
        <f>TEXT(Ventas[[#This Row],[Fecha_venta]],"dd")</f>
        <v>06</v>
      </c>
      <c r="I414" t="str">
        <f>TEXT(Ventas[[#This Row],[Fecha_venta]],"m")</f>
        <v>7</v>
      </c>
      <c r="J414" t="str">
        <f>TEXT(Ventas[[#This Row],[Fecha_venta]],"yyyy")</f>
        <v>2012</v>
      </c>
    </row>
    <row r="415" spans="1:10" x14ac:dyDescent="0.25">
      <c r="A415">
        <v>3</v>
      </c>
      <c r="B415" s="1">
        <v>41103</v>
      </c>
      <c r="C415">
        <v>0</v>
      </c>
      <c r="D415">
        <v>82.28</v>
      </c>
      <c r="E415">
        <v>3.2559999999999998</v>
      </c>
      <c r="F415">
        <v>225.43400740000001</v>
      </c>
      <c r="G415">
        <v>416913.1</v>
      </c>
      <c r="H415" t="str">
        <f>TEXT(Ventas[[#This Row],[Fecha_venta]],"dd")</f>
        <v>13</v>
      </c>
      <c r="I415" t="str">
        <f>TEXT(Ventas[[#This Row],[Fecha_venta]],"m")</f>
        <v>7</v>
      </c>
      <c r="J415" t="str">
        <f>TEXT(Ventas[[#This Row],[Fecha_venta]],"yyyy")</f>
        <v>2012</v>
      </c>
    </row>
    <row r="416" spans="1:10" x14ac:dyDescent="0.25">
      <c r="A416">
        <v>3</v>
      </c>
      <c r="B416" s="1">
        <v>41110</v>
      </c>
      <c r="C416">
        <v>0</v>
      </c>
      <c r="D416">
        <v>81.38</v>
      </c>
      <c r="E416">
        <v>3.3109999999999999</v>
      </c>
      <c r="F416">
        <v>225.44388269999999</v>
      </c>
      <c r="G416">
        <v>432424.85</v>
      </c>
      <c r="H416" t="str">
        <f>TEXT(Ventas[[#This Row],[Fecha_venta]],"dd")</f>
        <v>20</v>
      </c>
      <c r="I416" t="str">
        <f>TEXT(Ventas[[#This Row],[Fecha_venta]],"m")</f>
        <v>7</v>
      </c>
      <c r="J416" t="str">
        <f>TEXT(Ventas[[#This Row],[Fecha_venta]],"yyyy")</f>
        <v>2012</v>
      </c>
    </row>
    <row r="417" spans="1:10" x14ac:dyDescent="0.25">
      <c r="A417">
        <v>3</v>
      </c>
      <c r="B417" s="1">
        <v>41117</v>
      </c>
      <c r="C417">
        <v>0</v>
      </c>
      <c r="D417">
        <v>84.94</v>
      </c>
      <c r="E417">
        <v>-1</v>
      </c>
      <c r="F417">
        <v>225.4537579</v>
      </c>
      <c r="G417">
        <v>389427.9</v>
      </c>
      <c r="H417" t="str">
        <f>TEXT(Ventas[[#This Row],[Fecha_venta]],"dd")</f>
        <v>27</v>
      </c>
      <c r="I417" t="str">
        <f>TEXT(Ventas[[#This Row],[Fecha_venta]],"m")</f>
        <v>7</v>
      </c>
      <c r="J417" t="str">
        <f>TEXT(Ventas[[#This Row],[Fecha_venta]],"yyyy")</f>
        <v>2012</v>
      </c>
    </row>
    <row r="418" spans="1:10" x14ac:dyDescent="0.25">
      <c r="A418">
        <v>3</v>
      </c>
      <c r="B418" s="1">
        <v>41124</v>
      </c>
      <c r="C418">
        <v>0</v>
      </c>
      <c r="D418">
        <v>86.55</v>
      </c>
      <c r="E418">
        <v>3.4169999999999998</v>
      </c>
      <c r="F418">
        <v>225.4636332</v>
      </c>
      <c r="G418">
        <v>419990.29</v>
      </c>
      <c r="H418" t="str">
        <f>TEXT(Ventas[[#This Row],[Fecha_venta]],"dd")</f>
        <v>03</v>
      </c>
      <c r="I418" t="str">
        <f>TEXT(Ventas[[#This Row],[Fecha_venta]],"m")</f>
        <v>8</v>
      </c>
      <c r="J418" t="str">
        <f>TEXT(Ventas[[#This Row],[Fecha_venta]],"yyyy")</f>
        <v>2012</v>
      </c>
    </row>
    <row r="419" spans="1:10" x14ac:dyDescent="0.25">
      <c r="A419">
        <v>3</v>
      </c>
      <c r="B419" s="1">
        <v>41131</v>
      </c>
      <c r="C419">
        <v>0</v>
      </c>
      <c r="D419">
        <v>85.85</v>
      </c>
      <c r="E419">
        <v>3.4940000000000002</v>
      </c>
      <c r="F419">
        <v>225.47350850000001</v>
      </c>
      <c r="G419">
        <v>391811.6</v>
      </c>
      <c r="H419" t="str">
        <f>TEXT(Ventas[[#This Row],[Fecha_venta]],"dd")</f>
        <v>10</v>
      </c>
      <c r="I419" t="str">
        <f>TEXT(Ventas[[#This Row],[Fecha_venta]],"m")</f>
        <v>8</v>
      </c>
      <c r="J419" t="str">
        <f>TEXT(Ventas[[#This Row],[Fecha_venta]],"yyyy")</f>
        <v>2012</v>
      </c>
    </row>
    <row r="420" spans="1:10" x14ac:dyDescent="0.25">
      <c r="A420">
        <v>3</v>
      </c>
      <c r="B420" s="1">
        <v>41138</v>
      </c>
      <c r="C420">
        <v>0</v>
      </c>
      <c r="D420">
        <v>87.36</v>
      </c>
      <c r="E420">
        <v>3.5710000000000002</v>
      </c>
      <c r="F420">
        <v>225.55586640000001</v>
      </c>
      <c r="G420">
        <v>394918.83</v>
      </c>
      <c r="H420" t="str">
        <f>TEXT(Ventas[[#This Row],[Fecha_venta]],"dd")</f>
        <v>17</v>
      </c>
      <c r="I420" t="str">
        <f>TEXT(Ventas[[#This Row],[Fecha_venta]],"m")</f>
        <v>8</v>
      </c>
      <c r="J420" t="str">
        <f>TEXT(Ventas[[#This Row],[Fecha_venta]],"yyyy")</f>
        <v>2012</v>
      </c>
    </row>
    <row r="421" spans="1:10" x14ac:dyDescent="0.25">
      <c r="A421">
        <v>3</v>
      </c>
      <c r="B421" s="1">
        <v>41145</v>
      </c>
      <c r="C421">
        <v>0</v>
      </c>
      <c r="D421">
        <v>83.01</v>
      </c>
      <c r="E421">
        <v>3.62</v>
      </c>
      <c r="F421">
        <v>225.69258640000001</v>
      </c>
      <c r="G421">
        <v>412449.67</v>
      </c>
      <c r="H421" t="str">
        <f>TEXT(Ventas[[#This Row],[Fecha_venta]],"dd")</f>
        <v>24</v>
      </c>
      <c r="I421" t="str">
        <f>TEXT(Ventas[[#This Row],[Fecha_venta]],"m")</f>
        <v>8</v>
      </c>
      <c r="J421" t="str">
        <f>TEXT(Ventas[[#This Row],[Fecha_venta]],"yyyy")</f>
        <v>2012</v>
      </c>
    </row>
    <row r="422" spans="1:10" x14ac:dyDescent="0.25">
      <c r="A422">
        <v>3</v>
      </c>
      <c r="B422" s="1">
        <v>41152</v>
      </c>
      <c r="C422">
        <v>0</v>
      </c>
      <c r="D422">
        <v>85.18</v>
      </c>
      <c r="E422">
        <v>3.6379999999999999</v>
      </c>
      <c r="F422">
        <v>225.82930630000001</v>
      </c>
      <c r="G422">
        <v>408838.73</v>
      </c>
      <c r="H422" t="str">
        <f>TEXT(Ventas[[#This Row],[Fecha_venta]],"dd")</f>
        <v>31</v>
      </c>
      <c r="I422" t="str">
        <f>TEXT(Ventas[[#This Row],[Fecha_venta]],"m")</f>
        <v>8</v>
      </c>
      <c r="J422" t="str">
        <f>TEXT(Ventas[[#This Row],[Fecha_venta]],"yyyy")</f>
        <v>2012</v>
      </c>
    </row>
    <row r="423" spans="1:10" x14ac:dyDescent="0.25">
      <c r="A423">
        <v>3</v>
      </c>
      <c r="B423" s="1">
        <v>41159</v>
      </c>
      <c r="C423">
        <v>1</v>
      </c>
      <c r="D423">
        <v>84.99</v>
      </c>
      <c r="E423">
        <v>3.73</v>
      </c>
      <c r="F423">
        <v>225.96602630000001</v>
      </c>
      <c r="G423">
        <v>408229.73</v>
      </c>
      <c r="H423" t="str">
        <f>TEXT(Ventas[[#This Row],[Fecha_venta]],"dd")</f>
        <v>07</v>
      </c>
      <c r="I423" t="str">
        <f>TEXT(Ventas[[#This Row],[Fecha_venta]],"m")</f>
        <v>9</v>
      </c>
      <c r="J423" t="str">
        <f>TEXT(Ventas[[#This Row],[Fecha_venta]],"yyyy")</f>
        <v>2012</v>
      </c>
    </row>
    <row r="424" spans="1:10" x14ac:dyDescent="0.25">
      <c r="A424">
        <v>3</v>
      </c>
      <c r="B424" s="1">
        <v>41166</v>
      </c>
      <c r="C424">
        <v>0</v>
      </c>
      <c r="D424">
        <v>78.36</v>
      </c>
      <c r="E424">
        <v>3.7170000000000001</v>
      </c>
      <c r="F424">
        <v>226.1122067</v>
      </c>
      <c r="G424">
        <v>407589.16</v>
      </c>
      <c r="H424" t="str">
        <f>TEXT(Ventas[[#This Row],[Fecha_venta]],"dd")</f>
        <v>14</v>
      </c>
      <c r="I424" t="str">
        <f>TEXT(Ventas[[#This Row],[Fecha_venta]],"m")</f>
        <v>9</v>
      </c>
      <c r="J424" t="str">
        <f>TEXT(Ventas[[#This Row],[Fecha_venta]],"yyyy")</f>
        <v>2012</v>
      </c>
    </row>
    <row r="425" spans="1:10" x14ac:dyDescent="0.25">
      <c r="A425">
        <v>3</v>
      </c>
      <c r="B425" s="1">
        <v>41173</v>
      </c>
      <c r="C425">
        <v>0</v>
      </c>
      <c r="D425">
        <v>72.78</v>
      </c>
      <c r="E425">
        <v>3.7210000000000001</v>
      </c>
      <c r="F425">
        <v>226.31514960000001</v>
      </c>
      <c r="G425">
        <v>414392.09</v>
      </c>
      <c r="H425" t="str">
        <f>TEXT(Ventas[[#This Row],[Fecha_venta]],"dd")</f>
        <v>21</v>
      </c>
      <c r="I425" t="str">
        <f>TEXT(Ventas[[#This Row],[Fecha_venta]],"m")</f>
        <v>9</v>
      </c>
      <c r="J425" t="str">
        <f>TEXT(Ventas[[#This Row],[Fecha_venta]],"yyyy")</f>
        <v>2012</v>
      </c>
    </row>
    <row r="426" spans="1:10" x14ac:dyDescent="0.25">
      <c r="A426">
        <v>3</v>
      </c>
      <c r="B426" s="1">
        <v>41180</v>
      </c>
      <c r="C426">
        <v>0</v>
      </c>
      <c r="D426">
        <v>77.459999999999994</v>
      </c>
      <c r="E426">
        <v>3.6659999999999999</v>
      </c>
      <c r="F426">
        <v>226.51809259999999</v>
      </c>
      <c r="G426">
        <v>389813.02</v>
      </c>
      <c r="H426" t="str">
        <f>TEXT(Ventas[[#This Row],[Fecha_venta]],"dd")</f>
        <v>28</v>
      </c>
      <c r="I426" t="str">
        <f>TEXT(Ventas[[#This Row],[Fecha_venta]],"m")</f>
        <v>9</v>
      </c>
      <c r="J426" t="str">
        <f>TEXT(Ventas[[#This Row],[Fecha_venta]],"yyyy")</f>
        <v>2012</v>
      </c>
    </row>
    <row r="427" spans="1:10" x14ac:dyDescent="0.25">
      <c r="A427">
        <v>3</v>
      </c>
      <c r="B427" s="1">
        <v>41187</v>
      </c>
      <c r="C427">
        <v>0</v>
      </c>
      <c r="D427">
        <v>72.739999999999995</v>
      </c>
      <c r="E427">
        <v>3.617</v>
      </c>
      <c r="F427">
        <v>226.72103559999999</v>
      </c>
      <c r="G427">
        <v>443557.65</v>
      </c>
      <c r="H427" t="str">
        <f>TEXT(Ventas[[#This Row],[Fecha_venta]],"dd")</f>
        <v>05</v>
      </c>
      <c r="I427" t="str">
        <f>TEXT(Ventas[[#This Row],[Fecha_venta]],"m")</f>
        <v>10</v>
      </c>
      <c r="J427" t="str">
        <f>TEXT(Ventas[[#This Row],[Fecha_venta]],"yyyy")</f>
        <v>2012</v>
      </c>
    </row>
    <row r="428" spans="1:10" x14ac:dyDescent="0.25">
      <c r="A428">
        <v>3</v>
      </c>
      <c r="B428" s="1">
        <v>41194</v>
      </c>
      <c r="C428">
        <v>0</v>
      </c>
      <c r="D428">
        <v>70.31</v>
      </c>
      <c r="E428">
        <v>3.601</v>
      </c>
      <c r="F428">
        <v>226.9239785</v>
      </c>
      <c r="G428">
        <v>410804.39</v>
      </c>
      <c r="H428" t="str">
        <f>TEXT(Ventas[[#This Row],[Fecha_venta]],"dd")</f>
        <v>12</v>
      </c>
      <c r="I428" t="str">
        <f>TEXT(Ventas[[#This Row],[Fecha_venta]],"m")</f>
        <v>10</v>
      </c>
      <c r="J428" t="str">
        <f>TEXT(Ventas[[#This Row],[Fecha_venta]],"yyyy")</f>
        <v>2012</v>
      </c>
    </row>
    <row r="429" spans="1:10" x14ac:dyDescent="0.25">
      <c r="A429">
        <v>3</v>
      </c>
      <c r="B429" s="1">
        <v>41201</v>
      </c>
      <c r="C429">
        <v>0</v>
      </c>
      <c r="D429">
        <v>73.44</v>
      </c>
      <c r="E429">
        <v>3.5939999999999999</v>
      </c>
      <c r="F429">
        <v>226.96884420000001</v>
      </c>
      <c r="G429">
        <v>424513.08</v>
      </c>
      <c r="H429" t="str">
        <f>TEXT(Ventas[[#This Row],[Fecha_venta]],"dd")</f>
        <v>19</v>
      </c>
      <c r="I429" t="str">
        <f>TEXT(Ventas[[#This Row],[Fecha_venta]],"m")</f>
        <v>10</v>
      </c>
      <c r="J429" t="str">
        <f>TEXT(Ventas[[#This Row],[Fecha_venta]],"yyyy")</f>
        <v>2012</v>
      </c>
    </row>
    <row r="430" spans="1:10" x14ac:dyDescent="0.25">
      <c r="A430">
        <v>3</v>
      </c>
      <c r="B430" s="1">
        <v>41208</v>
      </c>
      <c r="C430">
        <v>0</v>
      </c>
      <c r="D430">
        <v>74.66</v>
      </c>
      <c r="E430">
        <v>3.5059999999999998</v>
      </c>
      <c r="F430">
        <v>226.9873637</v>
      </c>
      <c r="G430">
        <v>405432.7</v>
      </c>
      <c r="H430" t="str">
        <f>TEXT(Ventas[[#This Row],[Fecha_venta]],"dd")</f>
        <v>26</v>
      </c>
      <c r="I430" t="str">
        <f>TEXT(Ventas[[#This Row],[Fecha_venta]],"m")</f>
        <v>10</v>
      </c>
      <c r="J430" t="str">
        <f>TEXT(Ventas[[#This Row],[Fecha_venta]],"yyyy")</f>
        <v>2012</v>
      </c>
    </row>
    <row r="431" spans="1:10" x14ac:dyDescent="0.25">
      <c r="A431">
        <v>4</v>
      </c>
      <c r="B431" s="1">
        <v>40214</v>
      </c>
      <c r="C431">
        <v>0</v>
      </c>
      <c r="D431">
        <v>43.76</v>
      </c>
      <c r="E431">
        <v>2.5979999999999999</v>
      </c>
      <c r="F431">
        <v>126.4420645</v>
      </c>
      <c r="G431">
        <v>2135143.87</v>
      </c>
      <c r="H431" t="str">
        <f>TEXT(Ventas[[#This Row],[Fecha_venta]],"dd")</f>
        <v>05</v>
      </c>
      <c r="I431" t="str">
        <f>TEXT(Ventas[[#This Row],[Fecha_venta]],"m")</f>
        <v>2</v>
      </c>
      <c r="J431" t="str">
        <f>TEXT(Ventas[[#This Row],[Fecha_venta]],"yyyy")</f>
        <v>2010</v>
      </c>
    </row>
    <row r="432" spans="1:10" x14ac:dyDescent="0.25">
      <c r="A432">
        <v>4</v>
      </c>
      <c r="B432" s="1">
        <v>40221</v>
      </c>
      <c r="C432">
        <v>1</v>
      </c>
      <c r="D432">
        <v>28.84</v>
      </c>
      <c r="E432">
        <v>2.573</v>
      </c>
      <c r="F432">
        <v>126.49625810000001</v>
      </c>
      <c r="G432">
        <v>2188307.39</v>
      </c>
      <c r="H432" t="str">
        <f>TEXT(Ventas[[#This Row],[Fecha_venta]],"dd")</f>
        <v>12</v>
      </c>
      <c r="I432" t="str">
        <f>TEXT(Ventas[[#This Row],[Fecha_venta]],"m")</f>
        <v>2</v>
      </c>
      <c r="J432" t="str">
        <f>TEXT(Ventas[[#This Row],[Fecha_venta]],"yyyy")</f>
        <v>2010</v>
      </c>
    </row>
    <row r="433" spans="1:10" x14ac:dyDescent="0.25">
      <c r="A433">
        <v>4</v>
      </c>
      <c r="B433" s="1">
        <v>40228</v>
      </c>
      <c r="C433">
        <v>0</v>
      </c>
      <c r="D433">
        <v>36.450000000000003</v>
      </c>
      <c r="E433">
        <v>2.54</v>
      </c>
      <c r="F433">
        <v>126.5262857</v>
      </c>
      <c r="G433">
        <v>2049860.26</v>
      </c>
      <c r="H433" t="str">
        <f>TEXT(Ventas[[#This Row],[Fecha_venta]],"dd")</f>
        <v>19</v>
      </c>
      <c r="I433" t="str">
        <f>TEXT(Ventas[[#This Row],[Fecha_venta]],"m")</f>
        <v>2</v>
      </c>
      <c r="J433" t="str">
        <f>TEXT(Ventas[[#This Row],[Fecha_venta]],"yyyy")</f>
        <v>2010</v>
      </c>
    </row>
    <row r="434" spans="1:10" x14ac:dyDescent="0.25">
      <c r="A434">
        <v>4</v>
      </c>
      <c r="B434" s="1">
        <v>40235</v>
      </c>
      <c r="C434">
        <v>0</v>
      </c>
      <c r="D434">
        <v>41.36</v>
      </c>
      <c r="E434">
        <v>2.59</v>
      </c>
      <c r="F434">
        <v>126.5522857</v>
      </c>
      <c r="G434">
        <v>1925728.84</v>
      </c>
      <c r="H434" t="str">
        <f>TEXT(Ventas[[#This Row],[Fecha_venta]],"dd")</f>
        <v>26</v>
      </c>
      <c r="I434" t="str">
        <f>TEXT(Ventas[[#This Row],[Fecha_venta]],"m")</f>
        <v>2</v>
      </c>
      <c r="J434" t="str">
        <f>TEXT(Ventas[[#This Row],[Fecha_venta]],"yyyy")</f>
        <v>2010</v>
      </c>
    </row>
    <row r="435" spans="1:10" x14ac:dyDescent="0.25">
      <c r="A435">
        <v>4</v>
      </c>
      <c r="B435" s="1">
        <v>40242</v>
      </c>
      <c r="C435">
        <v>0</v>
      </c>
      <c r="D435">
        <v>43.49</v>
      </c>
      <c r="E435">
        <v>2.6539999999999999</v>
      </c>
      <c r="F435">
        <v>126.5782857</v>
      </c>
      <c r="G435">
        <v>1971057.44</v>
      </c>
      <c r="H435" t="str">
        <f>TEXT(Ventas[[#This Row],[Fecha_venta]],"dd")</f>
        <v>05</v>
      </c>
      <c r="I435" t="str">
        <f>TEXT(Ventas[[#This Row],[Fecha_venta]],"m")</f>
        <v>3</v>
      </c>
      <c r="J435" t="str">
        <f>TEXT(Ventas[[#This Row],[Fecha_venta]],"yyyy")</f>
        <v>2010</v>
      </c>
    </row>
    <row r="436" spans="1:10" x14ac:dyDescent="0.25">
      <c r="A436">
        <v>4</v>
      </c>
      <c r="B436" s="1">
        <v>40249</v>
      </c>
      <c r="C436">
        <v>0</v>
      </c>
      <c r="D436">
        <v>49.63</v>
      </c>
      <c r="E436">
        <v>2.7040000000000002</v>
      </c>
      <c r="F436">
        <v>126.60428570000001</v>
      </c>
      <c r="G436">
        <v>1894324.09</v>
      </c>
      <c r="H436" t="str">
        <f>TEXT(Ventas[[#This Row],[Fecha_venta]],"dd")</f>
        <v>12</v>
      </c>
      <c r="I436" t="str">
        <f>TEXT(Ventas[[#This Row],[Fecha_venta]],"m")</f>
        <v>3</v>
      </c>
      <c r="J436" t="str">
        <f>TEXT(Ventas[[#This Row],[Fecha_venta]],"yyyy")</f>
        <v>2010</v>
      </c>
    </row>
    <row r="437" spans="1:10" x14ac:dyDescent="0.25">
      <c r="A437">
        <v>4</v>
      </c>
      <c r="B437" s="1">
        <v>40256</v>
      </c>
      <c r="C437">
        <v>0</v>
      </c>
      <c r="D437">
        <v>55.19</v>
      </c>
      <c r="E437">
        <v>2.7429999999999999</v>
      </c>
      <c r="F437">
        <v>126.6066452</v>
      </c>
      <c r="G437">
        <v>1897429.36</v>
      </c>
      <c r="H437" t="str">
        <f>TEXT(Ventas[[#This Row],[Fecha_venta]],"dd")</f>
        <v>19</v>
      </c>
      <c r="I437" t="str">
        <f>TEXT(Ventas[[#This Row],[Fecha_venta]],"m")</f>
        <v>3</v>
      </c>
      <c r="J437" t="str">
        <f>TEXT(Ventas[[#This Row],[Fecha_venta]],"yyyy")</f>
        <v>2010</v>
      </c>
    </row>
    <row r="438" spans="1:10" x14ac:dyDescent="0.25">
      <c r="A438">
        <v>4</v>
      </c>
      <c r="B438" s="1">
        <v>40263</v>
      </c>
      <c r="C438">
        <v>0</v>
      </c>
      <c r="D438">
        <v>39.909999999999997</v>
      </c>
      <c r="E438">
        <v>2.7519999999999998</v>
      </c>
      <c r="F438">
        <v>126.6050645</v>
      </c>
      <c r="G438">
        <v>1762539.3</v>
      </c>
      <c r="H438" t="str">
        <f>TEXT(Ventas[[#This Row],[Fecha_venta]],"dd")</f>
        <v>26</v>
      </c>
      <c r="I438" t="str">
        <f>TEXT(Ventas[[#This Row],[Fecha_venta]],"m")</f>
        <v>3</v>
      </c>
      <c r="J438" t="str">
        <f>TEXT(Ventas[[#This Row],[Fecha_venta]],"yyyy")</f>
        <v>2010</v>
      </c>
    </row>
    <row r="439" spans="1:10" x14ac:dyDescent="0.25">
      <c r="A439">
        <v>4</v>
      </c>
      <c r="B439" s="1">
        <v>40270</v>
      </c>
      <c r="C439">
        <v>0</v>
      </c>
      <c r="D439">
        <v>48.77</v>
      </c>
      <c r="E439">
        <v>2.74</v>
      </c>
      <c r="F439">
        <v>126.6034839</v>
      </c>
      <c r="G439">
        <v>1979247.12</v>
      </c>
      <c r="H439" t="str">
        <f>TEXT(Ventas[[#This Row],[Fecha_venta]],"dd")</f>
        <v>02</v>
      </c>
      <c r="I439" t="str">
        <f>TEXT(Ventas[[#This Row],[Fecha_venta]],"m")</f>
        <v>4</v>
      </c>
      <c r="J439" t="str">
        <f>TEXT(Ventas[[#This Row],[Fecha_venta]],"yyyy")</f>
        <v>2010</v>
      </c>
    </row>
    <row r="440" spans="1:10" x14ac:dyDescent="0.25">
      <c r="A440">
        <v>4</v>
      </c>
      <c r="B440" s="1">
        <v>40277</v>
      </c>
      <c r="C440">
        <v>0</v>
      </c>
      <c r="D440">
        <v>54.16</v>
      </c>
      <c r="E440">
        <v>2.7730000000000001</v>
      </c>
      <c r="F440">
        <v>126.6019032</v>
      </c>
      <c r="G440">
        <v>1818452.72</v>
      </c>
      <c r="H440" t="str">
        <f>TEXT(Ventas[[#This Row],[Fecha_venta]],"dd")</f>
        <v>09</v>
      </c>
      <c r="I440" t="str">
        <f>TEXT(Ventas[[#This Row],[Fecha_venta]],"m")</f>
        <v>4</v>
      </c>
      <c r="J440" t="str">
        <f>TEXT(Ventas[[#This Row],[Fecha_venta]],"yyyy")</f>
        <v>2010</v>
      </c>
    </row>
    <row r="441" spans="1:10" x14ac:dyDescent="0.25">
      <c r="A441">
        <v>4</v>
      </c>
      <c r="B441" s="1">
        <v>40284</v>
      </c>
      <c r="C441">
        <v>0</v>
      </c>
      <c r="D441">
        <v>56.23</v>
      </c>
      <c r="E441">
        <v>2.81</v>
      </c>
      <c r="F441">
        <v>126.5621</v>
      </c>
      <c r="G441">
        <v>1851519.69</v>
      </c>
      <c r="H441" t="str">
        <f>TEXT(Ventas[[#This Row],[Fecha_venta]],"dd")</f>
        <v>16</v>
      </c>
      <c r="I441" t="str">
        <f>TEXT(Ventas[[#This Row],[Fecha_venta]],"m")</f>
        <v>4</v>
      </c>
      <c r="J441" t="str">
        <f>TEXT(Ventas[[#This Row],[Fecha_venta]],"yyyy")</f>
        <v>2010</v>
      </c>
    </row>
    <row r="442" spans="1:10" x14ac:dyDescent="0.25">
      <c r="A442">
        <v>4</v>
      </c>
      <c r="B442" s="1">
        <v>40291</v>
      </c>
      <c r="C442">
        <v>0</v>
      </c>
      <c r="D442">
        <v>56.87</v>
      </c>
      <c r="E442">
        <v>2.8050000000000002</v>
      </c>
      <c r="F442">
        <v>126.4713333</v>
      </c>
      <c r="G442">
        <v>1802677.9</v>
      </c>
      <c r="H442" t="str">
        <f>TEXT(Ventas[[#This Row],[Fecha_venta]],"dd")</f>
        <v>23</v>
      </c>
      <c r="I442" t="str">
        <f>TEXT(Ventas[[#This Row],[Fecha_venta]],"m")</f>
        <v>4</v>
      </c>
      <c r="J442" t="str">
        <f>TEXT(Ventas[[#This Row],[Fecha_venta]],"yyyy")</f>
        <v>2010</v>
      </c>
    </row>
    <row r="443" spans="1:10" x14ac:dyDescent="0.25">
      <c r="A443">
        <v>4</v>
      </c>
      <c r="B443" s="1">
        <v>40298</v>
      </c>
      <c r="C443">
        <v>0</v>
      </c>
      <c r="D443">
        <v>53.04</v>
      </c>
      <c r="E443">
        <v>2.7869999999999999</v>
      </c>
      <c r="F443">
        <v>126.3805667</v>
      </c>
      <c r="G443">
        <v>1817273.28</v>
      </c>
      <c r="H443" t="str">
        <f>TEXT(Ventas[[#This Row],[Fecha_venta]],"dd")</f>
        <v>30</v>
      </c>
      <c r="I443" t="str">
        <f>TEXT(Ventas[[#This Row],[Fecha_venta]],"m")</f>
        <v>4</v>
      </c>
      <c r="J443" t="str">
        <f>TEXT(Ventas[[#This Row],[Fecha_venta]],"yyyy")</f>
        <v>2010</v>
      </c>
    </row>
    <row r="444" spans="1:10" x14ac:dyDescent="0.25">
      <c r="A444">
        <v>4</v>
      </c>
      <c r="B444" s="1">
        <v>40305</v>
      </c>
      <c r="C444">
        <v>0</v>
      </c>
      <c r="D444">
        <v>56.77</v>
      </c>
      <c r="E444">
        <v>2.8359999999999999</v>
      </c>
      <c r="F444">
        <v>126.2898</v>
      </c>
      <c r="G444">
        <v>2000626.14</v>
      </c>
      <c r="H444" t="str">
        <f>TEXT(Ventas[[#This Row],[Fecha_venta]],"dd")</f>
        <v>07</v>
      </c>
      <c r="I444" t="str">
        <f>TEXT(Ventas[[#This Row],[Fecha_venta]],"m")</f>
        <v>5</v>
      </c>
      <c r="J444" t="str">
        <f>TEXT(Ventas[[#This Row],[Fecha_venta]],"yyyy")</f>
        <v>2010</v>
      </c>
    </row>
    <row r="445" spans="1:10" x14ac:dyDescent="0.25">
      <c r="A445">
        <v>4</v>
      </c>
      <c r="B445" s="1">
        <v>40312</v>
      </c>
      <c r="C445">
        <v>0</v>
      </c>
      <c r="D445">
        <v>62.35</v>
      </c>
      <c r="E445">
        <v>2.8450000000000002</v>
      </c>
      <c r="F445">
        <v>126.2085484</v>
      </c>
      <c r="G445">
        <v>1875597.28</v>
      </c>
      <c r="H445" t="str">
        <f>TEXT(Ventas[[#This Row],[Fecha_venta]],"dd")</f>
        <v>14</v>
      </c>
      <c r="I445" t="str">
        <f>TEXT(Ventas[[#This Row],[Fecha_venta]],"m")</f>
        <v>5</v>
      </c>
      <c r="J445" t="str">
        <f>TEXT(Ventas[[#This Row],[Fecha_venta]],"yyyy")</f>
        <v>2010</v>
      </c>
    </row>
    <row r="446" spans="1:10" x14ac:dyDescent="0.25">
      <c r="A446">
        <v>4</v>
      </c>
      <c r="B446" s="1">
        <v>40319</v>
      </c>
      <c r="C446">
        <v>0</v>
      </c>
      <c r="D446">
        <v>67.400000000000006</v>
      </c>
      <c r="E446">
        <v>2.82</v>
      </c>
      <c r="F446">
        <v>126.1843871</v>
      </c>
      <c r="G446">
        <v>1903752.6</v>
      </c>
      <c r="H446" t="str">
        <f>TEXT(Ventas[[#This Row],[Fecha_venta]],"dd")</f>
        <v>21</v>
      </c>
      <c r="I446" t="str">
        <f>TEXT(Ventas[[#This Row],[Fecha_venta]],"m")</f>
        <v>5</v>
      </c>
      <c r="J446" t="str">
        <f>TEXT(Ventas[[#This Row],[Fecha_venta]],"yyyy")</f>
        <v>2010</v>
      </c>
    </row>
    <row r="447" spans="1:10" x14ac:dyDescent="0.25">
      <c r="A447">
        <v>4</v>
      </c>
      <c r="B447" s="1">
        <v>40326</v>
      </c>
      <c r="C447">
        <v>0</v>
      </c>
      <c r="D447">
        <v>67.73</v>
      </c>
      <c r="E447">
        <v>2.7559999999999998</v>
      </c>
      <c r="F447">
        <v>126.16022580000001</v>
      </c>
      <c r="G447">
        <v>1857533.7</v>
      </c>
      <c r="H447" t="str">
        <f>TEXT(Ventas[[#This Row],[Fecha_venta]],"dd")</f>
        <v>28</v>
      </c>
      <c r="I447" t="str">
        <f>TEXT(Ventas[[#This Row],[Fecha_venta]],"m")</f>
        <v>5</v>
      </c>
      <c r="J447" t="str">
        <f>TEXT(Ventas[[#This Row],[Fecha_venta]],"yyyy")</f>
        <v>2010</v>
      </c>
    </row>
    <row r="448" spans="1:10" x14ac:dyDescent="0.25">
      <c r="A448">
        <v>4</v>
      </c>
      <c r="B448" s="1">
        <v>40333</v>
      </c>
      <c r="C448">
        <v>0</v>
      </c>
      <c r="D448">
        <v>70.83</v>
      </c>
      <c r="E448">
        <v>2.7010000000000001</v>
      </c>
      <c r="F448">
        <v>126.1360645</v>
      </c>
      <c r="G448">
        <v>1903290.58</v>
      </c>
      <c r="H448" t="str">
        <f>TEXT(Ventas[[#This Row],[Fecha_venta]],"dd")</f>
        <v>04</v>
      </c>
      <c r="I448" t="str">
        <f>TEXT(Ventas[[#This Row],[Fecha_venta]],"m")</f>
        <v>6</v>
      </c>
      <c r="J448" t="str">
        <f>TEXT(Ventas[[#This Row],[Fecha_venta]],"yyyy")</f>
        <v>2010</v>
      </c>
    </row>
    <row r="449" spans="1:10" x14ac:dyDescent="0.25">
      <c r="A449">
        <v>4</v>
      </c>
      <c r="B449" s="1">
        <v>40340</v>
      </c>
      <c r="C449">
        <v>0</v>
      </c>
      <c r="D449">
        <v>78.45</v>
      </c>
      <c r="E449">
        <v>2.6680000000000001</v>
      </c>
      <c r="F449">
        <v>126.1119032</v>
      </c>
      <c r="G449">
        <v>1870619.23</v>
      </c>
      <c r="H449" t="str">
        <f>TEXT(Ventas[[#This Row],[Fecha_venta]],"dd")</f>
        <v>11</v>
      </c>
      <c r="I449" t="str">
        <f>TEXT(Ventas[[#This Row],[Fecha_venta]],"m")</f>
        <v>6</v>
      </c>
      <c r="J449" t="str">
        <f>TEXT(Ventas[[#This Row],[Fecha_venta]],"yyyy")</f>
        <v>2010</v>
      </c>
    </row>
    <row r="450" spans="1:10" x14ac:dyDescent="0.25">
      <c r="A450">
        <v>4</v>
      </c>
      <c r="B450" s="1">
        <v>40347</v>
      </c>
      <c r="C450">
        <v>0</v>
      </c>
      <c r="D450">
        <v>81.53</v>
      </c>
      <c r="E450">
        <v>2.6349999999999998</v>
      </c>
      <c r="F450">
        <v>126.114</v>
      </c>
      <c r="G450">
        <v>1929736.35</v>
      </c>
      <c r="H450" t="str">
        <f>TEXT(Ventas[[#This Row],[Fecha_venta]],"dd")</f>
        <v>18</v>
      </c>
      <c r="I450" t="str">
        <f>TEXT(Ventas[[#This Row],[Fecha_venta]],"m")</f>
        <v>6</v>
      </c>
      <c r="J450" t="str">
        <f>TEXT(Ventas[[#This Row],[Fecha_venta]],"yyyy")</f>
        <v>2010</v>
      </c>
    </row>
    <row r="451" spans="1:10" x14ac:dyDescent="0.25">
      <c r="A451">
        <v>4</v>
      </c>
      <c r="B451" s="1">
        <v>40354</v>
      </c>
      <c r="C451">
        <v>0</v>
      </c>
      <c r="D451">
        <v>81.099999999999994</v>
      </c>
      <c r="E451">
        <v>2.6539999999999999</v>
      </c>
      <c r="F451">
        <v>126.1266</v>
      </c>
      <c r="G451">
        <v>1846651.95</v>
      </c>
      <c r="H451" t="str">
        <f>TEXT(Ventas[[#This Row],[Fecha_venta]],"dd")</f>
        <v>25</v>
      </c>
      <c r="I451" t="str">
        <f>TEXT(Ventas[[#This Row],[Fecha_venta]],"m")</f>
        <v>6</v>
      </c>
      <c r="J451" t="str">
        <f>TEXT(Ventas[[#This Row],[Fecha_venta]],"yyyy")</f>
        <v>2010</v>
      </c>
    </row>
    <row r="452" spans="1:10" x14ac:dyDescent="0.25">
      <c r="A452">
        <v>4</v>
      </c>
      <c r="B452" s="1">
        <v>40361</v>
      </c>
      <c r="C452">
        <v>0</v>
      </c>
      <c r="D452">
        <v>73.66</v>
      </c>
      <c r="E452">
        <v>2.6680000000000001</v>
      </c>
      <c r="F452">
        <v>126.1392</v>
      </c>
      <c r="G452">
        <v>1881337.21</v>
      </c>
      <c r="H452" t="str">
        <f>TEXT(Ventas[[#This Row],[Fecha_venta]],"dd")</f>
        <v>02</v>
      </c>
      <c r="I452" t="str">
        <f>TEXT(Ventas[[#This Row],[Fecha_venta]],"m")</f>
        <v>7</v>
      </c>
      <c r="J452" t="str">
        <f>TEXT(Ventas[[#This Row],[Fecha_venta]],"yyyy")</f>
        <v>2010</v>
      </c>
    </row>
    <row r="453" spans="1:10" x14ac:dyDescent="0.25">
      <c r="A453">
        <v>4</v>
      </c>
      <c r="B453" s="1">
        <v>40368</v>
      </c>
      <c r="C453">
        <v>0</v>
      </c>
      <c r="D453">
        <v>80.349999999999994</v>
      </c>
      <c r="E453">
        <v>2.637</v>
      </c>
      <c r="F453">
        <v>126.15179999999999</v>
      </c>
      <c r="G453">
        <v>1812208.22</v>
      </c>
      <c r="H453" t="str">
        <f>TEXT(Ventas[[#This Row],[Fecha_venta]],"dd")</f>
        <v>09</v>
      </c>
      <c r="I453" t="str">
        <f>TEXT(Ventas[[#This Row],[Fecha_venta]],"m")</f>
        <v>7</v>
      </c>
      <c r="J453" t="str">
        <f>TEXT(Ventas[[#This Row],[Fecha_venta]],"yyyy")</f>
        <v>2010</v>
      </c>
    </row>
    <row r="454" spans="1:10" x14ac:dyDescent="0.25">
      <c r="A454">
        <v>4</v>
      </c>
      <c r="B454" s="1">
        <v>40375</v>
      </c>
      <c r="C454">
        <v>0</v>
      </c>
      <c r="D454">
        <v>78.53</v>
      </c>
      <c r="E454">
        <v>2.621</v>
      </c>
      <c r="F454">
        <v>126.1498065</v>
      </c>
      <c r="G454">
        <v>1898427.66</v>
      </c>
      <c r="H454" t="str">
        <f>TEXT(Ventas[[#This Row],[Fecha_venta]],"dd")</f>
        <v>16</v>
      </c>
      <c r="I454" t="str">
        <f>TEXT(Ventas[[#This Row],[Fecha_venta]],"m")</f>
        <v>7</v>
      </c>
      <c r="J454" t="str">
        <f>TEXT(Ventas[[#This Row],[Fecha_venta]],"yyyy")</f>
        <v>2010</v>
      </c>
    </row>
    <row r="455" spans="1:10" x14ac:dyDescent="0.25">
      <c r="A455">
        <v>4</v>
      </c>
      <c r="B455" s="1">
        <v>40382</v>
      </c>
      <c r="C455">
        <v>0</v>
      </c>
      <c r="D455">
        <v>79.78</v>
      </c>
      <c r="E455">
        <v>2.6120000000000001</v>
      </c>
      <c r="F455">
        <v>126.1283548</v>
      </c>
      <c r="G455">
        <v>1848426.78</v>
      </c>
      <c r="H455" t="str">
        <f>TEXT(Ventas[[#This Row],[Fecha_venta]],"dd")</f>
        <v>23</v>
      </c>
      <c r="I455" t="str">
        <f>TEXT(Ventas[[#This Row],[Fecha_venta]],"m")</f>
        <v>7</v>
      </c>
      <c r="J455" t="str">
        <f>TEXT(Ventas[[#This Row],[Fecha_venta]],"yyyy")</f>
        <v>2010</v>
      </c>
    </row>
    <row r="456" spans="1:10" x14ac:dyDescent="0.25">
      <c r="A456">
        <v>4</v>
      </c>
      <c r="B456" s="1">
        <v>40389</v>
      </c>
      <c r="C456">
        <v>3</v>
      </c>
      <c r="D456">
        <v>80.7</v>
      </c>
      <c r="E456">
        <v>2.65</v>
      </c>
      <c r="F456">
        <v>126.1069032</v>
      </c>
      <c r="G456">
        <v>1796637.61</v>
      </c>
      <c r="H456" t="str">
        <f>TEXT(Ventas[[#This Row],[Fecha_venta]],"dd")</f>
        <v>30</v>
      </c>
      <c r="I456" t="str">
        <f>TEXT(Ventas[[#This Row],[Fecha_venta]],"m")</f>
        <v>7</v>
      </c>
      <c r="J456" t="str">
        <f>TEXT(Ventas[[#This Row],[Fecha_venta]],"yyyy")</f>
        <v>2010</v>
      </c>
    </row>
    <row r="457" spans="1:10" x14ac:dyDescent="0.25">
      <c r="A457">
        <v>4</v>
      </c>
      <c r="B457" s="1">
        <v>40396</v>
      </c>
      <c r="C457">
        <v>0</v>
      </c>
      <c r="D457">
        <v>76.53</v>
      </c>
      <c r="E457">
        <v>2.64</v>
      </c>
      <c r="F457">
        <v>126.0854516</v>
      </c>
      <c r="G457">
        <v>1907638.58</v>
      </c>
      <c r="H457" t="str">
        <f>TEXT(Ventas[[#This Row],[Fecha_venta]],"dd")</f>
        <v>06</v>
      </c>
      <c r="I457" t="str">
        <f>TEXT(Ventas[[#This Row],[Fecha_venta]],"m")</f>
        <v>8</v>
      </c>
      <c r="J457" t="str">
        <f>TEXT(Ventas[[#This Row],[Fecha_venta]],"yyyy")</f>
        <v>2010</v>
      </c>
    </row>
    <row r="458" spans="1:10" x14ac:dyDescent="0.25">
      <c r="A458">
        <v>4</v>
      </c>
      <c r="B458" s="1">
        <v>40403</v>
      </c>
      <c r="C458">
        <v>0</v>
      </c>
      <c r="D458">
        <v>78.08</v>
      </c>
      <c r="E458">
        <v>2.698</v>
      </c>
      <c r="F458">
        <v>126.06399999999999</v>
      </c>
      <c r="G458">
        <v>2007050.75</v>
      </c>
      <c r="H458" t="str">
        <f>TEXT(Ventas[[#This Row],[Fecha_venta]],"dd")</f>
        <v>13</v>
      </c>
      <c r="I458" t="str">
        <f>TEXT(Ventas[[#This Row],[Fecha_venta]],"m")</f>
        <v>8</v>
      </c>
      <c r="J458" t="str">
        <f>TEXT(Ventas[[#This Row],[Fecha_venta]],"yyyy")</f>
        <v>2010</v>
      </c>
    </row>
    <row r="459" spans="1:10" x14ac:dyDescent="0.25">
      <c r="A459">
        <v>4</v>
      </c>
      <c r="B459" s="1">
        <v>40410</v>
      </c>
      <c r="C459">
        <v>0</v>
      </c>
      <c r="D459">
        <v>78.83</v>
      </c>
      <c r="E459">
        <v>2.6709999999999998</v>
      </c>
      <c r="F459">
        <v>126.0766452</v>
      </c>
      <c r="G459">
        <v>1997181.09</v>
      </c>
      <c r="H459" t="str">
        <f>TEXT(Ventas[[#This Row],[Fecha_venta]],"dd")</f>
        <v>20</v>
      </c>
      <c r="I459" t="str">
        <f>TEXT(Ventas[[#This Row],[Fecha_venta]],"m")</f>
        <v>8</v>
      </c>
      <c r="J459" t="str">
        <f>TEXT(Ventas[[#This Row],[Fecha_venta]],"yyyy")</f>
        <v>2010</v>
      </c>
    </row>
    <row r="460" spans="1:10" x14ac:dyDescent="0.25">
      <c r="A460">
        <v>4</v>
      </c>
      <c r="B460" s="1">
        <v>40417</v>
      </c>
      <c r="C460">
        <v>0</v>
      </c>
      <c r="D460">
        <v>74.44</v>
      </c>
      <c r="E460">
        <v>2.621</v>
      </c>
      <c r="F460">
        <v>126.0892903</v>
      </c>
      <c r="G460">
        <v>1848403.92</v>
      </c>
      <c r="H460" t="str">
        <f>TEXT(Ventas[[#This Row],[Fecha_venta]],"dd")</f>
        <v>27</v>
      </c>
      <c r="I460" t="str">
        <f>TEXT(Ventas[[#This Row],[Fecha_venta]],"m")</f>
        <v>8</v>
      </c>
      <c r="J460" t="str">
        <f>TEXT(Ventas[[#This Row],[Fecha_venta]],"yyyy")</f>
        <v>2010</v>
      </c>
    </row>
    <row r="461" spans="1:10" x14ac:dyDescent="0.25">
      <c r="A461">
        <v>4</v>
      </c>
      <c r="B461" s="1">
        <v>40424</v>
      </c>
      <c r="C461">
        <v>0</v>
      </c>
      <c r="D461">
        <v>76.8</v>
      </c>
      <c r="E461">
        <v>2.5840000000000001</v>
      </c>
      <c r="F461">
        <v>126.1019355</v>
      </c>
      <c r="G461">
        <v>1935857.58</v>
      </c>
      <c r="H461" t="str">
        <f>TEXT(Ventas[[#This Row],[Fecha_venta]],"dd")</f>
        <v>03</v>
      </c>
      <c r="I461" t="str">
        <f>TEXT(Ventas[[#This Row],[Fecha_venta]],"m")</f>
        <v>9</v>
      </c>
      <c r="J461" t="str">
        <f>TEXT(Ventas[[#This Row],[Fecha_venta]],"yyyy")</f>
        <v>2010</v>
      </c>
    </row>
    <row r="462" spans="1:10" x14ac:dyDescent="0.25">
      <c r="A462">
        <v>4</v>
      </c>
      <c r="B462" s="1">
        <v>40431</v>
      </c>
      <c r="C462">
        <v>1</v>
      </c>
      <c r="D462">
        <v>73.540000000000006</v>
      </c>
      <c r="E462">
        <v>2.5739999999999998</v>
      </c>
      <c r="F462">
        <v>126.1145806</v>
      </c>
      <c r="G462">
        <v>1865820.81</v>
      </c>
      <c r="H462" t="str">
        <f>TEXT(Ventas[[#This Row],[Fecha_venta]],"dd")</f>
        <v>10</v>
      </c>
      <c r="I462" t="str">
        <f>TEXT(Ventas[[#This Row],[Fecha_venta]],"m")</f>
        <v>9</v>
      </c>
      <c r="J462" t="str">
        <f>TEXT(Ventas[[#This Row],[Fecha_venta]],"yyyy")</f>
        <v>2010</v>
      </c>
    </row>
    <row r="463" spans="1:10" x14ac:dyDescent="0.25">
      <c r="A463">
        <v>4</v>
      </c>
      <c r="B463" s="1">
        <v>40438</v>
      </c>
      <c r="C463">
        <v>0</v>
      </c>
      <c r="D463">
        <v>64.91</v>
      </c>
      <c r="E463">
        <v>2.5939999999999999</v>
      </c>
      <c r="F463">
        <v>126.1454667</v>
      </c>
      <c r="G463">
        <v>1899959.61</v>
      </c>
      <c r="H463" t="str">
        <f>TEXT(Ventas[[#This Row],[Fecha_venta]],"dd")</f>
        <v>17</v>
      </c>
      <c r="I463" t="str">
        <f>TEXT(Ventas[[#This Row],[Fecha_venta]],"m")</f>
        <v>9</v>
      </c>
      <c r="J463" t="str">
        <f>TEXT(Ventas[[#This Row],[Fecha_venta]],"yyyy")</f>
        <v>2010</v>
      </c>
    </row>
    <row r="464" spans="1:10" x14ac:dyDescent="0.25">
      <c r="A464">
        <v>4</v>
      </c>
      <c r="B464" s="1">
        <v>40445</v>
      </c>
      <c r="C464">
        <v>0</v>
      </c>
      <c r="D464">
        <v>60.96</v>
      </c>
      <c r="E464">
        <v>2.6419999999999999</v>
      </c>
      <c r="F464">
        <v>126.1900333</v>
      </c>
      <c r="G464">
        <v>1810684.68</v>
      </c>
      <c r="H464" t="str">
        <f>TEXT(Ventas[[#This Row],[Fecha_venta]],"dd")</f>
        <v>24</v>
      </c>
      <c r="I464" t="str">
        <f>TEXT(Ventas[[#This Row],[Fecha_venta]],"m")</f>
        <v>9</v>
      </c>
      <c r="J464" t="str">
        <f>TEXT(Ventas[[#This Row],[Fecha_venta]],"yyyy")</f>
        <v>2010</v>
      </c>
    </row>
    <row r="465" spans="1:10" x14ac:dyDescent="0.25">
      <c r="A465">
        <v>4</v>
      </c>
      <c r="B465" s="1">
        <v>40452</v>
      </c>
      <c r="C465">
        <v>0</v>
      </c>
      <c r="D465">
        <v>63.96</v>
      </c>
      <c r="E465">
        <v>2.6190000000000002</v>
      </c>
      <c r="F465">
        <v>126.2346</v>
      </c>
      <c r="G465">
        <v>1842821.02</v>
      </c>
      <c r="H465" t="str">
        <f>TEXT(Ventas[[#This Row],[Fecha_venta]],"dd")</f>
        <v>01</v>
      </c>
      <c r="I465" t="str">
        <f>TEXT(Ventas[[#This Row],[Fecha_venta]],"m")</f>
        <v>10</v>
      </c>
      <c r="J465" t="str">
        <f>TEXT(Ventas[[#This Row],[Fecha_venta]],"yyyy")</f>
        <v>2010</v>
      </c>
    </row>
    <row r="466" spans="1:10" x14ac:dyDescent="0.25">
      <c r="A466">
        <v>4</v>
      </c>
      <c r="B466" s="1">
        <v>40459</v>
      </c>
      <c r="C466">
        <v>0</v>
      </c>
      <c r="D466">
        <v>67.73</v>
      </c>
      <c r="E466">
        <v>2.645</v>
      </c>
      <c r="F466">
        <v>126.2791667</v>
      </c>
      <c r="G466">
        <v>1951494.85</v>
      </c>
      <c r="H466" t="str">
        <f>TEXT(Ventas[[#This Row],[Fecha_venta]],"dd")</f>
        <v>08</v>
      </c>
      <c r="I466" t="str">
        <f>TEXT(Ventas[[#This Row],[Fecha_venta]],"m")</f>
        <v>10</v>
      </c>
      <c r="J466" t="str">
        <f>TEXT(Ventas[[#This Row],[Fecha_venta]],"yyyy")</f>
        <v>2010</v>
      </c>
    </row>
    <row r="467" spans="1:10" x14ac:dyDescent="0.25">
      <c r="A467">
        <v>4</v>
      </c>
      <c r="B467" s="1">
        <v>40466</v>
      </c>
      <c r="C467">
        <v>0</v>
      </c>
      <c r="D467">
        <v>62.03</v>
      </c>
      <c r="E467">
        <v>2.7320000000000002</v>
      </c>
      <c r="F467">
        <v>126.32667739999999</v>
      </c>
      <c r="G467">
        <v>1867345.09</v>
      </c>
      <c r="H467" t="str">
        <f>TEXT(Ventas[[#This Row],[Fecha_venta]],"dd")</f>
        <v>15</v>
      </c>
      <c r="I467" t="str">
        <f>TEXT(Ventas[[#This Row],[Fecha_venta]],"m")</f>
        <v>10</v>
      </c>
      <c r="J467" t="str">
        <f>TEXT(Ventas[[#This Row],[Fecha_venta]],"yyyy")</f>
        <v>2010</v>
      </c>
    </row>
    <row r="468" spans="1:10" x14ac:dyDescent="0.25">
      <c r="A468">
        <v>4</v>
      </c>
      <c r="B468" s="1">
        <v>40473</v>
      </c>
      <c r="C468">
        <v>0</v>
      </c>
      <c r="D468">
        <v>64.17</v>
      </c>
      <c r="E468">
        <v>2.7360000000000002</v>
      </c>
      <c r="F468">
        <v>126.3815484</v>
      </c>
      <c r="G468">
        <v>1927610.06</v>
      </c>
      <c r="H468" t="str">
        <f>TEXT(Ventas[[#This Row],[Fecha_venta]],"dd")</f>
        <v>22</v>
      </c>
      <c r="I468" t="str">
        <f>TEXT(Ventas[[#This Row],[Fecha_venta]],"m")</f>
        <v>10</v>
      </c>
      <c r="J468" t="str">
        <f>TEXT(Ventas[[#This Row],[Fecha_venta]],"yyyy")</f>
        <v>2010</v>
      </c>
    </row>
    <row r="469" spans="1:10" x14ac:dyDescent="0.25">
      <c r="A469">
        <v>4</v>
      </c>
      <c r="B469" s="1">
        <v>40480</v>
      </c>
      <c r="C469">
        <v>-1</v>
      </c>
      <c r="D469">
        <v>56.94</v>
      </c>
      <c r="E469">
        <v>2.718</v>
      </c>
      <c r="F469">
        <v>126.43641940000001</v>
      </c>
      <c r="G469">
        <v>1933333</v>
      </c>
      <c r="H469" t="str">
        <f>TEXT(Ventas[[#This Row],[Fecha_venta]],"dd")</f>
        <v>29</v>
      </c>
      <c r="I469" t="str">
        <f>TEXT(Ventas[[#This Row],[Fecha_venta]],"m")</f>
        <v>10</v>
      </c>
      <c r="J469" t="str">
        <f>TEXT(Ventas[[#This Row],[Fecha_venta]],"yyyy")</f>
        <v>2010</v>
      </c>
    </row>
    <row r="470" spans="1:10" x14ac:dyDescent="0.25">
      <c r="A470">
        <v>4</v>
      </c>
      <c r="B470" s="1">
        <v>40487</v>
      </c>
      <c r="C470">
        <v>0</v>
      </c>
      <c r="D470">
        <v>51.6</v>
      </c>
      <c r="E470">
        <v>2.6989999999999998</v>
      </c>
      <c r="F470">
        <v>126.4912903</v>
      </c>
      <c r="G470">
        <v>2013115.79</v>
      </c>
      <c r="H470" t="str">
        <f>TEXT(Ventas[[#This Row],[Fecha_venta]],"dd")</f>
        <v>05</v>
      </c>
      <c r="I470" t="str">
        <f>TEXT(Ventas[[#This Row],[Fecha_venta]],"m")</f>
        <v>11</v>
      </c>
      <c r="J470" t="str">
        <f>TEXT(Ventas[[#This Row],[Fecha_venta]],"yyyy")</f>
        <v>2010</v>
      </c>
    </row>
    <row r="471" spans="1:10" x14ac:dyDescent="0.25">
      <c r="A471">
        <v>4</v>
      </c>
      <c r="B471" s="1">
        <v>40494</v>
      </c>
      <c r="C471">
        <v>0</v>
      </c>
      <c r="D471">
        <v>52.65</v>
      </c>
      <c r="E471">
        <v>2.7410000000000001</v>
      </c>
      <c r="F471">
        <v>126.54616129999999</v>
      </c>
      <c r="G471">
        <v>1999794.26</v>
      </c>
      <c r="H471" t="str">
        <f>TEXT(Ventas[[#This Row],[Fecha_venta]],"dd")</f>
        <v>12</v>
      </c>
      <c r="I471" t="str">
        <f>TEXT(Ventas[[#This Row],[Fecha_venta]],"m")</f>
        <v>11</v>
      </c>
      <c r="J471" t="str">
        <f>TEXT(Ventas[[#This Row],[Fecha_venta]],"yyyy")</f>
        <v>2010</v>
      </c>
    </row>
    <row r="472" spans="1:10" x14ac:dyDescent="0.25">
      <c r="A472">
        <v>4</v>
      </c>
      <c r="B472" s="1">
        <v>40501</v>
      </c>
      <c r="C472">
        <v>0</v>
      </c>
      <c r="D472">
        <v>48.05</v>
      </c>
      <c r="E472">
        <v>2.78</v>
      </c>
      <c r="F472">
        <v>126.60720000000001</v>
      </c>
      <c r="G472">
        <v>2097809.4</v>
      </c>
      <c r="H472" t="str">
        <f>TEXT(Ventas[[#This Row],[Fecha_venta]],"dd")</f>
        <v>19</v>
      </c>
      <c r="I472" t="str">
        <f>TEXT(Ventas[[#This Row],[Fecha_venta]],"m")</f>
        <v>11</v>
      </c>
      <c r="J472" t="str">
        <f>TEXT(Ventas[[#This Row],[Fecha_venta]],"yyyy")</f>
        <v>2010</v>
      </c>
    </row>
    <row r="473" spans="1:10" x14ac:dyDescent="0.25">
      <c r="A473">
        <v>4</v>
      </c>
      <c r="B473" s="1">
        <v>40508</v>
      </c>
      <c r="C473">
        <v>1</v>
      </c>
      <c r="D473">
        <v>48.08</v>
      </c>
      <c r="E473">
        <v>2.7519999999999998</v>
      </c>
      <c r="F473">
        <v>126.66926669999999</v>
      </c>
      <c r="G473">
        <v>2789469.45</v>
      </c>
      <c r="H473" t="str">
        <f>TEXT(Ventas[[#This Row],[Fecha_venta]],"dd")</f>
        <v>26</v>
      </c>
      <c r="I473" t="str">
        <f>TEXT(Ventas[[#This Row],[Fecha_venta]],"m")</f>
        <v>11</v>
      </c>
      <c r="J473" t="str">
        <f>TEXT(Ventas[[#This Row],[Fecha_venta]],"yyyy")</f>
        <v>2010</v>
      </c>
    </row>
    <row r="474" spans="1:10" x14ac:dyDescent="0.25">
      <c r="A474">
        <v>4</v>
      </c>
      <c r="B474" s="1">
        <v>40515</v>
      </c>
      <c r="C474">
        <v>0</v>
      </c>
      <c r="D474">
        <v>46.4</v>
      </c>
      <c r="E474">
        <v>2.7269999999999999</v>
      </c>
      <c r="F474">
        <v>126.7313333</v>
      </c>
      <c r="G474">
        <v>2102530.17</v>
      </c>
      <c r="H474" t="str">
        <f>TEXT(Ventas[[#This Row],[Fecha_venta]],"dd")</f>
        <v>03</v>
      </c>
      <c r="I474" t="str">
        <f>TEXT(Ventas[[#This Row],[Fecha_venta]],"m")</f>
        <v>12</v>
      </c>
      <c r="J474" t="str">
        <f>TEXT(Ventas[[#This Row],[Fecha_venta]],"yyyy")</f>
        <v>2010</v>
      </c>
    </row>
    <row r="475" spans="1:10" x14ac:dyDescent="0.25">
      <c r="A475">
        <v>4</v>
      </c>
      <c r="B475" s="1">
        <v>40522</v>
      </c>
      <c r="C475">
        <v>0</v>
      </c>
      <c r="D475">
        <v>42.4</v>
      </c>
      <c r="E475">
        <v>2.86</v>
      </c>
      <c r="F475">
        <v>126.79340000000001</v>
      </c>
      <c r="G475">
        <v>2302504.86</v>
      </c>
      <c r="H475" t="str">
        <f>TEXT(Ventas[[#This Row],[Fecha_venta]],"dd")</f>
        <v>10</v>
      </c>
      <c r="I475" t="str">
        <f>TEXT(Ventas[[#This Row],[Fecha_venta]],"m")</f>
        <v>12</v>
      </c>
      <c r="J475" t="str">
        <f>TEXT(Ventas[[#This Row],[Fecha_venta]],"yyyy")</f>
        <v>2010</v>
      </c>
    </row>
    <row r="476" spans="1:10" x14ac:dyDescent="0.25">
      <c r="A476">
        <v>4</v>
      </c>
      <c r="B476" s="1">
        <v>40529</v>
      </c>
      <c r="C476">
        <v>0</v>
      </c>
      <c r="D476">
        <v>46.57</v>
      </c>
      <c r="E476">
        <v>2.8839999999999999</v>
      </c>
      <c r="F476">
        <v>126.8794839</v>
      </c>
      <c r="G476">
        <v>2740057.14</v>
      </c>
      <c r="H476" t="str">
        <f>TEXT(Ventas[[#This Row],[Fecha_venta]],"dd")</f>
        <v>17</v>
      </c>
      <c r="I476" t="str">
        <f>TEXT(Ventas[[#This Row],[Fecha_venta]],"m")</f>
        <v>12</v>
      </c>
      <c r="J476" t="str">
        <f>TEXT(Ventas[[#This Row],[Fecha_venta]],"yyyy")</f>
        <v>2010</v>
      </c>
    </row>
    <row r="477" spans="1:10" x14ac:dyDescent="0.25">
      <c r="A477">
        <v>4</v>
      </c>
      <c r="B477" s="1">
        <v>40536</v>
      </c>
      <c r="C477">
        <v>0</v>
      </c>
      <c r="D477">
        <v>43.21</v>
      </c>
      <c r="E477">
        <v>2.887</v>
      </c>
      <c r="F477">
        <v>126.9835806</v>
      </c>
      <c r="G477">
        <v>3526713.39</v>
      </c>
      <c r="H477" t="str">
        <f>TEXT(Ventas[[#This Row],[Fecha_venta]],"dd")</f>
        <v>24</v>
      </c>
      <c r="I477" t="str">
        <f>TEXT(Ventas[[#This Row],[Fecha_venta]],"m")</f>
        <v>12</v>
      </c>
      <c r="J477" t="str">
        <f>TEXT(Ventas[[#This Row],[Fecha_venta]],"yyyy")</f>
        <v>2010</v>
      </c>
    </row>
    <row r="478" spans="1:10" x14ac:dyDescent="0.25">
      <c r="A478">
        <v>4</v>
      </c>
      <c r="B478" s="1">
        <v>40543</v>
      </c>
      <c r="C478">
        <v>1</v>
      </c>
      <c r="D478">
        <v>38.090000000000003</v>
      </c>
      <c r="E478">
        <v>2.9550000000000001</v>
      </c>
      <c r="F478">
        <v>127.0876774</v>
      </c>
      <c r="G478">
        <v>1794868.74</v>
      </c>
      <c r="H478" t="str">
        <f>TEXT(Ventas[[#This Row],[Fecha_venta]],"dd")</f>
        <v>31</v>
      </c>
      <c r="I478" t="str">
        <f>TEXT(Ventas[[#This Row],[Fecha_venta]],"m")</f>
        <v>12</v>
      </c>
      <c r="J478" t="str">
        <f>TEXT(Ventas[[#This Row],[Fecha_venta]],"yyyy")</f>
        <v>2010</v>
      </c>
    </row>
    <row r="479" spans="1:10" x14ac:dyDescent="0.25">
      <c r="A479">
        <v>4</v>
      </c>
      <c r="B479" s="1">
        <v>40550</v>
      </c>
      <c r="C479">
        <v>0</v>
      </c>
      <c r="D479">
        <v>39.340000000000003</v>
      </c>
      <c r="E479">
        <v>2.98</v>
      </c>
      <c r="F479">
        <v>127.1917742</v>
      </c>
      <c r="G479">
        <v>1862476.27</v>
      </c>
      <c r="H479" t="str">
        <f>TEXT(Ventas[[#This Row],[Fecha_venta]],"dd")</f>
        <v>07</v>
      </c>
      <c r="I479" t="str">
        <f>TEXT(Ventas[[#This Row],[Fecha_venta]],"m")</f>
        <v>1</v>
      </c>
      <c r="J479" t="str">
        <f>TEXT(Ventas[[#This Row],[Fecha_venta]],"yyyy")</f>
        <v>2011</v>
      </c>
    </row>
    <row r="480" spans="1:10" x14ac:dyDescent="0.25">
      <c r="A480">
        <v>4</v>
      </c>
      <c r="B480" s="1">
        <v>40557</v>
      </c>
      <c r="C480">
        <v>0</v>
      </c>
      <c r="D480">
        <v>31.6</v>
      </c>
      <c r="E480">
        <v>2.992</v>
      </c>
      <c r="F480">
        <v>127.30093549999999</v>
      </c>
      <c r="G480">
        <v>1865502.46</v>
      </c>
      <c r="H480" t="str">
        <f>TEXT(Ventas[[#This Row],[Fecha_venta]],"dd")</f>
        <v>14</v>
      </c>
      <c r="I480" t="str">
        <f>TEXT(Ventas[[#This Row],[Fecha_venta]],"m")</f>
        <v>1</v>
      </c>
      <c r="J480" t="str">
        <f>TEXT(Ventas[[#This Row],[Fecha_venta]],"yyyy")</f>
        <v>2011</v>
      </c>
    </row>
    <row r="481" spans="1:10" x14ac:dyDescent="0.25">
      <c r="A481">
        <v>4</v>
      </c>
      <c r="B481" s="1">
        <v>40564</v>
      </c>
      <c r="C481">
        <v>0</v>
      </c>
      <c r="D481">
        <v>38.340000000000003</v>
      </c>
      <c r="E481">
        <v>3.0169999999999999</v>
      </c>
      <c r="F481">
        <v>127.4404839</v>
      </c>
      <c r="G481">
        <v>1886393.94</v>
      </c>
      <c r="H481" t="str">
        <f>TEXT(Ventas[[#This Row],[Fecha_venta]],"dd")</f>
        <v>21</v>
      </c>
      <c r="I481" t="str">
        <f>TEXT(Ventas[[#This Row],[Fecha_venta]],"m")</f>
        <v>1</v>
      </c>
      <c r="J481" t="str">
        <f>TEXT(Ventas[[#This Row],[Fecha_venta]],"yyyy")</f>
        <v>2011</v>
      </c>
    </row>
    <row r="482" spans="1:10" x14ac:dyDescent="0.25">
      <c r="A482">
        <v>4</v>
      </c>
      <c r="B482" s="1">
        <v>40571</v>
      </c>
      <c r="C482">
        <v>0</v>
      </c>
      <c r="D482">
        <v>40.6</v>
      </c>
      <c r="E482">
        <v>3.0219999999999998</v>
      </c>
      <c r="F482">
        <v>127.5800323</v>
      </c>
      <c r="G482">
        <v>1814240.85</v>
      </c>
      <c r="H482" t="str">
        <f>TEXT(Ventas[[#This Row],[Fecha_venta]],"dd")</f>
        <v>28</v>
      </c>
      <c r="I482" t="str">
        <f>TEXT(Ventas[[#This Row],[Fecha_venta]],"m")</f>
        <v>1</v>
      </c>
      <c r="J482" t="str">
        <f>TEXT(Ventas[[#This Row],[Fecha_venta]],"yyyy")</f>
        <v>2011</v>
      </c>
    </row>
    <row r="483" spans="1:10" x14ac:dyDescent="0.25">
      <c r="A483">
        <v>4</v>
      </c>
      <c r="B483" s="1">
        <v>40578</v>
      </c>
      <c r="C483">
        <v>0</v>
      </c>
      <c r="D483">
        <v>34.61</v>
      </c>
      <c r="E483">
        <v>2.996</v>
      </c>
      <c r="F483">
        <v>127.7195806</v>
      </c>
      <c r="G483">
        <v>2119086.04</v>
      </c>
      <c r="H483" t="str">
        <f>TEXT(Ventas[[#This Row],[Fecha_venta]],"dd")</f>
        <v>04</v>
      </c>
      <c r="I483" t="str">
        <f>TEXT(Ventas[[#This Row],[Fecha_venta]],"m")</f>
        <v>2</v>
      </c>
      <c r="J483" t="str">
        <f>TEXT(Ventas[[#This Row],[Fecha_venta]],"yyyy")</f>
        <v>2011</v>
      </c>
    </row>
    <row r="484" spans="1:10" x14ac:dyDescent="0.25">
      <c r="A484">
        <v>4</v>
      </c>
      <c r="B484" s="1">
        <v>40585</v>
      </c>
      <c r="C484">
        <v>1</v>
      </c>
      <c r="D484">
        <v>33.29</v>
      </c>
      <c r="E484">
        <v>3.0329999999999999</v>
      </c>
      <c r="F484">
        <v>127.859129</v>
      </c>
      <c r="G484">
        <v>2187847.29</v>
      </c>
      <c r="H484" t="str">
        <f>TEXT(Ventas[[#This Row],[Fecha_venta]],"dd")</f>
        <v>11</v>
      </c>
      <c r="I484" t="str">
        <f>TEXT(Ventas[[#This Row],[Fecha_venta]],"m")</f>
        <v>2</v>
      </c>
      <c r="J484" t="str">
        <f>TEXT(Ventas[[#This Row],[Fecha_venta]],"yyyy")</f>
        <v>2011</v>
      </c>
    </row>
    <row r="485" spans="1:10" x14ac:dyDescent="0.25">
      <c r="A485">
        <v>4</v>
      </c>
      <c r="B485" s="1">
        <v>40592</v>
      </c>
      <c r="C485">
        <v>0</v>
      </c>
      <c r="D485">
        <v>48.17</v>
      </c>
      <c r="E485">
        <v>3.0579999999999998</v>
      </c>
      <c r="F485">
        <v>127.99525</v>
      </c>
      <c r="G485">
        <v>2316495.56</v>
      </c>
      <c r="H485" t="str">
        <f>TEXT(Ventas[[#This Row],[Fecha_venta]],"dd")</f>
        <v>18</v>
      </c>
      <c r="I485" t="str">
        <f>TEXT(Ventas[[#This Row],[Fecha_venta]],"m")</f>
        <v>2</v>
      </c>
      <c r="J485" t="str">
        <f>TEXT(Ventas[[#This Row],[Fecha_venta]],"yyyy")</f>
        <v>2011</v>
      </c>
    </row>
    <row r="486" spans="1:10" x14ac:dyDescent="0.25">
      <c r="A486">
        <v>4</v>
      </c>
      <c r="B486" s="1">
        <v>40599</v>
      </c>
      <c r="C486">
        <v>0</v>
      </c>
      <c r="D486">
        <v>49</v>
      </c>
      <c r="E486">
        <v>3.0870000000000002</v>
      </c>
      <c r="F486">
        <v>128.13</v>
      </c>
      <c r="G486">
        <v>2078094.69</v>
      </c>
      <c r="H486" t="str">
        <f>TEXT(Ventas[[#This Row],[Fecha_venta]],"dd")</f>
        <v>25</v>
      </c>
      <c r="I486" t="str">
        <f>TEXT(Ventas[[#This Row],[Fecha_venta]],"m")</f>
        <v>2</v>
      </c>
      <c r="J486" t="str">
        <f>TEXT(Ventas[[#This Row],[Fecha_venta]],"yyyy")</f>
        <v>2011</v>
      </c>
    </row>
    <row r="487" spans="1:10" x14ac:dyDescent="0.25">
      <c r="A487">
        <v>4</v>
      </c>
      <c r="B487" s="1">
        <v>40606</v>
      </c>
      <c r="C487">
        <v>0</v>
      </c>
      <c r="D487">
        <v>46.56</v>
      </c>
      <c r="E487">
        <v>3.3050000000000002</v>
      </c>
      <c r="F487">
        <v>128.26474999999999</v>
      </c>
      <c r="G487">
        <v>2103455.75</v>
      </c>
      <c r="H487" t="str">
        <f>TEXT(Ventas[[#This Row],[Fecha_venta]],"dd")</f>
        <v>04</v>
      </c>
      <c r="I487" t="str">
        <f>TEXT(Ventas[[#This Row],[Fecha_venta]],"m")</f>
        <v>3</v>
      </c>
      <c r="J487" t="str">
        <f>TEXT(Ventas[[#This Row],[Fecha_venta]],"yyyy")</f>
        <v>2011</v>
      </c>
    </row>
    <row r="488" spans="1:10" x14ac:dyDescent="0.25">
      <c r="A488">
        <v>4</v>
      </c>
      <c r="B488" s="1">
        <v>40613</v>
      </c>
      <c r="C488">
        <v>0</v>
      </c>
      <c r="D488">
        <v>50.93</v>
      </c>
      <c r="E488">
        <v>3.4609999999999999</v>
      </c>
      <c r="F488">
        <v>128.39949999999999</v>
      </c>
      <c r="G488">
        <v>2039818.41</v>
      </c>
      <c r="H488" t="str">
        <f>TEXT(Ventas[[#This Row],[Fecha_venta]],"dd")</f>
        <v>11</v>
      </c>
      <c r="I488" t="str">
        <f>TEXT(Ventas[[#This Row],[Fecha_venta]],"m")</f>
        <v>3</v>
      </c>
      <c r="J488" t="str">
        <f>TEXT(Ventas[[#This Row],[Fecha_venta]],"yyyy")</f>
        <v>2011</v>
      </c>
    </row>
    <row r="489" spans="1:10" x14ac:dyDescent="0.25">
      <c r="A489">
        <v>4</v>
      </c>
      <c r="B489" s="1">
        <v>40620</v>
      </c>
      <c r="C489">
        <v>0</v>
      </c>
      <c r="D489">
        <v>51.86</v>
      </c>
      <c r="E489">
        <v>3.4950000000000001</v>
      </c>
      <c r="F489">
        <v>128.5121935</v>
      </c>
      <c r="G489">
        <v>2116475.38</v>
      </c>
      <c r="H489" t="str">
        <f>TEXT(Ventas[[#This Row],[Fecha_venta]],"dd")</f>
        <v>18</v>
      </c>
      <c r="I489" t="str">
        <f>TEXT(Ventas[[#This Row],[Fecha_venta]],"m")</f>
        <v>3</v>
      </c>
      <c r="J489" t="str">
        <f>TEXT(Ventas[[#This Row],[Fecha_venta]],"yyyy")</f>
        <v>2011</v>
      </c>
    </row>
    <row r="490" spans="1:10" x14ac:dyDescent="0.25">
      <c r="A490">
        <v>4</v>
      </c>
      <c r="B490" s="1">
        <v>40627</v>
      </c>
      <c r="C490">
        <v>0</v>
      </c>
      <c r="D490">
        <v>59.1</v>
      </c>
      <c r="E490">
        <v>3.48</v>
      </c>
      <c r="F490">
        <v>128.61606449999999</v>
      </c>
      <c r="G490">
        <v>1944164.32</v>
      </c>
      <c r="H490" t="str">
        <f>TEXT(Ventas[[#This Row],[Fecha_venta]],"dd")</f>
        <v>25</v>
      </c>
      <c r="I490" t="str">
        <f>TEXT(Ventas[[#This Row],[Fecha_venta]],"m")</f>
        <v>3</v>
      </c>
      <c r="J490" t="str">
        <f>TEXT(Ventas[[#This Row],[Fecha_venta]],"yyyy")</f>
        <v>2011</v>
      </c>
    </row>
    <row r="491" spans="1:10" x14ac:dyDescent="0.25">
      <c r="A491">
        <v>4</v>
      </c>
      <c r="B491" s="1">
        <v>40634</v>
      </c>
      <c r="C491">
        <v>0</v>
      </c>
      <c r="D491">
        <v>56.99</v>
      </c>
      <c r="E491">
        <v>3.5209999999999999</v>
      </c>
      <c r="F491">
        <v>128.71993549999999</v>
      </c>
      <c r="G491">
        <v>1900246.47</v>
      </c>
      <c r="H491" t="str">
        <f>TEXT(Ventas[[#This Row],[Fecha_venta]],"dd")</f>
        <v>01</v>
      </c>
      <c r="I491" t="str">
        <f>TEXT(Ventas[[#This Row],[Fecha_venta]],"m")</f>
        <v>4</v>
      </c>
      <c r="J491" t="str">
        <f>TEXT(Ventas[[#This Row],[Fecha_venta]],"yyyy")</f>
        <v>2011</v>
      </c>
    </row>
    <row r="492" spans="1:10" x14ac:dyDescent="0.25">
      <c r="A492">
        <v>4</v>
      </c>
      <c r="B492" s="1">
        <v>40641</v>
      </c>
      <c r="C492">
        <v>0</v>
      </c>
      <c r="D492">
        <v>62.61</v>
      </c>
      <c r="E492">
        <v>3.605</v>
      </c>
      <c r="F492">
        <v>128.82380649999999</v>
      </c>
      <c r="G492">
        <v>2074953.46</v>
      </c>
      <c r="H492" t="str">
        <f>TEXT(Ventas[[#This Row],[Fecha_venta]],"dd")</f>
        <v>08</v>
      </c>
      <c r="I492" t="str">
        <f>TEXT(Ventas[[#This Row],[Fecha_venta]],"m")</f>
        <v>4</v>
      </c>
      <c r="J492" t="str">
        <f>TEXT(Ventas[[#This Row],[Fecha_venta]],"yyyy")</f>
        <v>2011</v>
      </c>
    </row>
    <row r="493" spans="1:10" x14ac:dyDescent="0.25">
      <c r="A493">
        <v>4</v>
      </c>
      <c r="B493" s="1">
        <v>40648</v>
      </c>
      <c r="C493">
        <v>0</v>
      </c>
      <c r="D493">
        <v>62.34</v>
      </c>
      <c r="E493">
        <v>3.7240000000000002</v>
      </c>
      <c r="F493">
        <v>128.9107333</v>
      </c>
      <c r="G493">
        <v>1960587.76</v>
      </c>
      <c r="H493" t="str">
        <f>TEXT(Ventas[[#This Row],[Fecha_venta]],"dd")</f>
        <v>15</v>
      </c>
      <c r="I493" t="str">
        <f>TEXT(Ventas[[#This Row],[Fecha_venta]],"m")</f>
        <v>4</v>
      </c>
      <c r="J493" t="str">
        <f>TEXT(Ventas[[#This Row],[Fecha_venta]],"yyyy")</f>
        <v>2011</v>
      </c>
    </row>
    <row r="494" spans="1:10" x14ac:dyDescent="0.25">
      <c r="A494">
        <v>4</v>
      </c>
      <c r="B494" s="1">
        <v>40655</v>
      </c>
      <c r="C494">
        <v>0</v>
      </c>
      <c r="D494">
        <v>68.8</v>
      </c>
      <c r="E494">
        <v>3.7810000000000001</v>
      </c>
      <c r="F494">
        <v>128.95529999999999</v>
      </c>
      <c r="G494">
        <v>2220600.7599999998</v>
      </c>
      <c r="H494" t="str">
        <f>TEXT(Ventas[[#This Row],[Fecha_venta]],"dd")</f>
        <v>22</v>
      </c>
      <c r="I494" t="str">
        <f>TEXT(Ventas[[#This Row],[Fecha_venta]],"m")</f>
        <v>4</v>
      </c>
      <c r="J494" t="str">
        <f>TEXT(Ventas[[#This Row],[Fecha_venta]],"yyyy")</f>
        <v>2011</v>
      </c>
    </row>
    <row r="495" spans="1:10" x14ac:dyDescent="0.25">
      <c r="A495">
        <v>4</v>
      </c>
      <c r="B495" s="1">
        <v>40662</v>
      </c>
      <c r="C495">
        <v>0</v>
      </c>
      <c r="D495">
        <v>64.22</v>
      </c>
      <c r="E495">
        <v>3.7810000000000001</v>
      </c>
      <c r="F495">
        <v>128.99986670000001</v>
      </c>
      <c r="G495">
        <v>1878167.44</v>
      </c>
      <c r="H495" t="str">
        <f>TEXT(Ventas[[#This Row],[Fecha_venta]],"dd")</f>
        <v>29</v>
      </c>
      <c r="I495" t="str">
        <f>TEXT(Ventas[[#This Row],[Fecha_venta]],"m")</f>
        <v>4</v>
      </c>
      <c r="J495" t="str">
        <f>TEXT(Ventas[[#This Row],[Fecha_venta]],"yyyy")</f>
        <v>2011</v>
      </c>
    </row>
    <row r="496" spans="1:10" x14ac:dyDescent="0.25">
      <c r="A496">
        <v>4</v>
      </c>
      <c r="B496" s="1">
        <v>40669</v>
      </c>
      <c r="C496">
        <v>0</v>
      </c>
      <c r="D496">
        <v>63.41</v>
      </c>
      <c r="E496">
        <v>3.8660000000000001</v>
      </c>
      <c r="F496">
        <v>129.04443330000001</v>
      </c>
      <c r="G496">
        <v>2063682.76</v>
      </c>
      <c r="H496" t="str">
        <f>TEXT(Ventas[[#This Row],[Fecha_venta]],"dd")</f>
        <v>06</v>
      </c>
      <c r="I496" t="str">
        <f>TEXT(Ventas[[#This Row],[Fecha_venta]],"m")</f>
        <v>5</v>
      </c>
      <c r="J496" t="str">
        <f>TEXT(Ventas[[#This Row],[Fecha_venta]],"yyyy")</f>
        <v>2011</v>
      </c>
    </row>
    <row r="497" spans="1:10" x14ac:dyDescent="0.25">
      <c r="A497">
        <v>4</v>
      </c>
      <c r="B497" s="1">
        <v>40676</v>
      </c>
      <c r="C497">
        <v>0</v>
      </c>
      <c r="D497">
        <v>70.650000000000006</v>
      </c>
      <c r="E497">
        <v>3.8719999999999999</v>
      </c>
      <c r="F497">
        <v>129.089</v>
      </c>
      <c r="G497">
        <v>2002362.37</v>
      </c>
      <c r="H497" t="str">
        <f>TEXT(Ventas[[#This Row],[Fecha_venta]],"dd")</f>
        <v>13</v>
      </c>
      <c r="I497" t="str">
        <f>TEXT(Ventas[[#This Row],[Fecha_venta]],"m")</f>
        <v>5</v>
      </c>
      <c r="J497" t="str">
        <f>TEXT(Ventas[[#This Row],[Fecha_venta]],"yyyy")</f>
        <v>2011</v>
      </c>
    </row>
    <row r="498" spans="1:10" x14ac:dyDescent="0.25">
      <c r="A498">
        <v>4</v>
      </c>
      <c r="B498" s="1">
        <v>40683</v>
      </c>
      <c r="C498">
        <v>0</v>
      </c>
      <c r="D498">
        <v>70.489999999999995</v>
      </c>
      <c r="E498">
        <v>3.8809999999999998</v>
      </c>
      <c r="F498">
        <v>129.07567739999999</v>
      </c>
      <c r="G498">
        <v>2015563.48</v>
      </c>
      <c r="H498" t="str">
        <f>TEXT(Ventas[[#This Row],[Fecha_venta]],"dd")</f>
        <v>20</v>
      </c>
      <c r="I498" t="str">
        <f>TEXT(Ventas[[#This Row],[Fecha_venta]],"m")</f>
        <v>5</v>
      </c>
      <c r="J498" t="str">
        <f>TEXT(Ventas[[#This Row],[Fecha_venta]],"yyyy")</f>
        <v>2011</v>
      </c>
    </row>
    <row r="499" spans="1:10" x14ac:dyDescent="0.25">
      <c r="A499">
        <v>4</v>
      </c>
      <c r="B499" s="1">
        <v>40690</v>
      </c>
      <c r="C499">
        <v>0</v>
      </c>
      <c r="D499">
        <v>73.650000000000006</v>
      </c>
      <c r="E499">
        <v>3.7709999999999999</v>
      </c>
      <c r="F499">
        <v>129.06235480000001</v>
      </c>
      <c r="G499">
        <v>1986597.95</v>
      </c>
      <c r="H499" t="str">
        <f>TEXT(Ventas[[#This Row],[Fecha_venta]],"dd")</f>
        <v>27</v>
      </c>
      <c r="I499" t="str">
        <f>TEXT(Ventas[[#This Row],[Fecha_venta]],"m")</f>
        <v>5</v>
      </c>
      <c r="J499" t="str">
        <f>TEXT(Ventas[[#This Row],[Fecha_venta]],"yyyy")</f>
        <v>2011</v>
      </c>
    </row>
    <row r="500" spans="1:10" x14ac:dyDescent="0.25">
      <c r="A500">
        <v>4</v>
      </c>
      <c r="B500" s="1">
        <v>40697</v>
      </c>
      <c r="C500">
        <v>0</v>
      </c>
      <c r="D500">
        <v>78.260000000000005</v>
      </c>
      <c r="E500">
        <v>3.6829999999999998</v>
      </c>
      <c r="F500">
        <v>129.04903229999999</v>
      </c>
      <c r="G500">
        <v>2065377.15</v>
      </c>
      <c r="H500" t="str">
        <f>TEXT(Ventas[[#This Row],[Fecha_venta]],"dd")</f>
        <v>03</v>
      </c>
      <c r="I500" t="str">
        <f>TEXT(Ventas[[#This Row],[Fecha_venta]],"m")</f>
        <v>6</v>
      </c>
      <c r="J500" t="str">
        <f>TEXT(Ventas[[#This Row],[Fecha_venta]],"yyyy")</f>
        <v>2011</v>
      </c>
    </row>
    <row r="501" spans="1:10" x14ac:dyDescent="0.25">
      <c r="A501">
        <v>4</v>
      </c>
      <c r="B501" s="1">
        <v>40704</v>
      </c>
      <c r="C501">
        <v>0</v>
      </c>
      <c r="D501">
        <v>80.05</v>
      </c>
      <c r="E501">
        <v>3.64</v>
      </c>
      <c r="F501">
        <v>129.03570970000001</v>
      </c>
      <c r="G501">
        <v>2073951.38</v>
      </c>
      <c r="H501" t="str">
        <f>TEXT(Ventas[[#This Row],[Fecha_venta]],"dd")</f>
        <v>10</v>
      </c>
      <c r="I501" t="str">
        <f>TEXT(Ventas[[#This Row],[Fecha_venta]],"m")</f>
        <v>6</v>
      </c>
      <c r="J501" t="str">
        <f>TEXT(Ventas[[#This Row],[Fecha_venta]],"yyyy")</f>
        <v>2011</v>
      </c>
    </row>
    <row r="502" spans="1:10" x14ac:dyDescent="0.25">
      <c r="A502">
        <v>4</v>
      </c>
      <c r="B502" s="1">
        <v>40711</v>
      </c>
      <c r="C502">
        <v>0</v>
      </c>
      <c r="D502">
        <v>83.51</v>
      </c>
      <c r="E502">
        <v>3.6179999999999999</v>
      </c>
      <c r="F502">
        <v>129.04320000000001</v>
      </c>
      <c r="G502">
        <v>2141210.62</v>
      </c>
      <c r="H502" t="str">
        <f>TEXT(Ventas[[#This Row],[Fecha_venta]],"dd")</f>
        <v>17</v>
      </c>
      <c r="I502" t="str">
        <f>TEXT(Ventas[[#This Row],[Fecha_venta]],"m")</f>
        <v>6</v>
      </c>
      <c r="J502" t="str">
        <f>TEXT(Ventas[[#This Row],[Fecha_venta]],"yyyy")</f>
        <v>2011</v>
      </c>
    </row>
    <row r="503" spans="1:10" x14ac:dyDescent="0.25">
      <c r="A503">
        <v>4</v>
      </c>
      <c r="B503" s="1">
        <v>40718</v>
      </c>
      <c r="C503">
        <v>0</v>
      </c>
      <c r="D503">
        <v>81.849999999999994</v>
      </c>
      <c r="E503">
        <v>3.57</v>
      </c>
      <c r="F503">
        <v>129.06630000000001</v>
      </c>
      <c r="G503">
        <v>2008344.92</v>
      </c>
      <c r="H503" t="str">
        <f>TEXT(Ventas[[#This Row],[Fecha_venta]],"dd")</f>
        <v>24</v>
      </c>
      <c r="I503" t="str">
        <f>TEXT(Ventas[[#This Row],[Fecha_venta]],"m")</f>
        <v>6</v>
      </c>
      <c r="J503" t="str">
        <f>TEXT(Ventas[[#This Row],[Fecha_venta]],"yyyy")</f>
        <v>2011</v>
      </c>
    </row>
    <row r="504" spans="1:10" x14ac:dyDescent="0.25">
      <c r="A504">
        <v>4</v>
      </c>
      <c r="B504" s="1">
        <v>40725</v>
      </c>
      <c r="C504">
        <v>0</v>
      </c>
      <c r="D504">
        <v>84.54</v>
      </c>
      <c r="E504">
        <v>3.504</v>
      </c>
      <c r="F504">
        <v>129.08940000000001</v>
      </c>
      <c r="G504">
        <v>2051533.53</v>
      </c>
      <c r="H504" t="str">
        <f>TEXT(Ventas[[#This Row],[Fecha_venta]],"dd")</f>
        <v>01</v>
      </c>
      <c r="I504" t="str">
        <f>TEXT(Ventas[[#This Row],[Fecha_venta]],"m")</f>
        <v>7</v>
      </c>
      <c r="J504" t="str">
        <f>TEXT(Ventas[[#This Row],[Fecha_venta]],"yyyy")</f>
        <v>2011</v>
      </c>
    </row>
    <row r="505" spans="1:10" x14ac:dyDescent="0.25">
      <c r="A505">
        <v>4</v>
      </c>
      <c r="B505" s="1">
        <v>40732</v>
      </c>
      <c r="C505">
        <v>-1</v>
      </c>
      <c r="D505">
        <v>84.59</v>
      </c>
      <c r="E505">
        <v>3.4689999999999999</v>
      </c>
      <c r="F505">
        <v>129.11250000000001</v>
      </c>
      <c r="G505">
        <v>2066541.86</v>
      </c>
      <c r="H505" t="str">
        <f>TEXT(Ventas[[#This Row],[Fecha_venta]],"dd")</f>
        <v>08</v>
      </c>
      <c r="I505" t="str">
        <f>TEXT(Ventas[[#This Row],[Fecha_venta]],"m")</f>
        <v>7</v>
      </c>
      <c r="J505" t="str">
        <f>TEXT(Ventas[[#This Row],[Fecha_venta]],"yyyy")</f>
        <v>2011</v>
      </c>
    </row>
    <row r="506" spans="1:10" x14ac:dyDescent="0.25">
      <c r="A506">
        <v>4</v>
      </c>
      <c r="B506" s="1">
        <v>40739</v>
      </c>
      <c r="C506">
        <v>0</v>
      </c>
      <c r="D506">
        <v>83.27</v>
      </c>
      <c r="E506">
        <v>3.5630000000000002</v>
      </c>
      <c r="F506">
        <v>129.13383870000001</v>
      </c>
      <c r="G506">
        <v>2049046.95</v>
      </c>
      <c r="H506" t="str">
        <f>TEXT(Ventas[[#This Row],[Fecha_venta]],"dd")</f>
        <v>15</v>
      </c>
      <c r="I506" t="str">
        <f>TEXT(Ventas[[#This Row],[Fecha_venta]],"m")</f>
        <v>7</v>
      </c>
      <c r="J506" t="str">
        <f>TEXT(Ventas[[#This Row],[Fecha_venta]],"yyyy")</f>
        <v>2011</v>
      </c>
    </row>
    <row r="507" spans="1:10" x14ac:dyDescent="0.25">
      <c r="A507">
        <v>4</v>
      </c>
      <c r="B507" s="1">
        <v>40746</v>
      </c>
      <c r="C507">
        <v>0</v>
      </c>
      <c r="D507">
        <v>82.84</v>
      </c>
      <c r="E507">
        <v>3.6269999999999998</v>
      </c>
      <c r="F507">
        <v>129.1507742</v>
      </c>
      <c r="G507">
        <v>2036231.39</v>
      </c>
      <c r="H507" t="str">
        <f>TEXT(Ventas[[#This Row],[Fecha_venta]],"dd")</f>
        <v>22</v>
      </c>
      <c r="I507" t="str">
        <f>TEXT(Ventas[[#This Row],[Fecha_venta]],"m")</f>
        <v>7</v>
      </c>
      <c r="J507" t="str">
        <f>TEXT(Ventas[[#This Row],[Fecha_venta]],"yyyy")</f>
        <v>2011</v>
      </c>
    </row>
    <row r="508" spans="1:10" x14ac:dyDescent="0.25">
      <c r="A508">
        <v>4</v>
      </c>
      <c r="B508" s="1">
        <v>40753</v>
      </c>
      <c r="C508">
        <v>0</v>
      </c>
      <c r="D508">
        <v>84.36</v>
      </c>
      <c r="E508">
        <v>3.6589999999999998</v>
      </c>
      <c r="F508">
        <v>129.16770969999999</v>
      </c>
      <c r="G508">
        <v>1989674.07</v>
      </c>
      <c r="H508" t="str">
        <f>TEXT(Ventas[[#This Row],[Fecha_venta]],"dd")</f>
        <v>29</v>
      </c>
      <c r="I508" t="str">
        <f>TEXT(Ventas[[#This Row],[Fecha_venta]],"m")</f>
        <v>7</v>
      </c>
      <c r="J508" t="str">
        <f>TEXT(Ventas[[#This Row],[Fecha_venta]],"yyyy")</f>
        <v>2011</v>
      </c>
    </row>
    <row r="509" spans="1:10" x14ac:dyDescent="0.25">
      <c r="A509">
        <v>4</v>
      </c>
      <c r="B509" s="1">
        <v>40760</v>
      </c>
      <c r="C509">
        <v>0</v>
      </c>
      <c r="D509">
        <v>86.09</v>
      </c>
      <c r="E509">
        <v>3.6619999999999999</v>
      </c>
      <c r="F509">
        <v>129.18464520000001</v>
      </c>
      <c r="G509">
        <v>2160057.39</v>
      </c>
      <c r="H509" t="str">
        <f>TEXT(Ventas[[#This Row],[Fecha_venta]],"dd")</f>
        <v>05</v>
      </c>
      <c r="I509" t="str">
        <f>TEXT(Ventas[[#This Row],[Fecha_venta]],"m")</f>
        <v>8</v>
      </c>
      <c r="J509" t="str">
        <f>TEXT(Ventas[[#This Row],[Fecha_venta]],"yyyy")</f>
        <v>2011</v>
      </c>
    </row>
    <row r="510" spans="1:10" x14ac:dyDescent="0.25">
      <c r="A510">
        <v>4</v>
      </c>
      <c r="B510" s="1">
        <v>40767</v>
      </c>
      <c r="C510">
        <v>0</v>
      </c>
      <c r="D510">
        <v>82.98</v>
      </c>
      <c r="E510">
        <v>3.617</v>
      </c>
      <c r="F510">
        <v>129.2015806</v>
      </c>
      <c r="G510">
        <v>2105668.7400000002</v>
      </c>
      <c r="H510" t="str">
        <f>TEXT(Ventas[[#This Row],[Fecha_venta]],"dd")</f>
        <v>12</v>
      </c>
      <c r="I510" t="str">
        <f>TEXT(Ventas[[#This Row],[Fecha_venta]],"m")</f>
        <v>8</v>
      </c>
      <c r="J510" t="str">
        <f>TEXT(Ventas[[#This Row],[Fecha_venta]],"yyyy")</f>
        <v>2011</v>
      </c>
    </row>
    <row r="511" spans="1:10" x14ac:dyDescent="0.25">
      <c r="A511">
        <v>4</v>
      </c>
      <c r="B511" s="1">
        <v>40774</v>
      </c>
      <c r="C511">
        <v>0</v>
      </c>
      <c r="D511">
        <v>82.77</v>
      </c>
      <c r="E511">
        <v>3.55</v>
      </c>
      <c r="F511">
        <v>129.24058059999999</v>
      </c>
      <c r="G511">
        <v>2232892.1</v>
      </c>
      <c r="H511" t="str">
        <f>TEXT(Ventas[[#This Row],[Fecha_venta]],"dd")</f>
        <v>19</v>
      </c>
      <c r="I511" t="str">
        <f>TEXT(Ventas[[#This Row],[Fecha_venta]],"m")</f>
        <v>8</v>
      </c>
      <c r="J511" t="str">
        <f>TEXT(Ventas[[#This Row],[Fecha_venta]],"yyyy")</f>
        <v>2011</v>
      </c>
    </row>
    <row r="512" spans="1:10" x14ac:dyDescent="0.25">
      <c r="A512">
        <v>4</v>
      </c>
      <c r="B512" s="1">
        <v>40781</v>
      </c>
      <c r="C512">
        <v>0</v>
      </c>
      <c r="D512">
        <v>81.47</v>
      </c>
      <c r="E512">
        <v>3.5230000000000001</v>
      </c>
      <c r="F512">
        <v>129.28325810000001</v>
      </c>
      <c r="G512">
        <v>1988490.21</v>
      </c>
      <c r="H512" t="str">
        <f>TEXT(Ventas[[#This Row],[Fecha_venta]],"dd")</f>
        <v>26</v>
      </c>
      <c r="I512" t="str">
        <f>TEXT(Ventas[[#This Row],[Fecha_venta]],"m")</f>
        <v>8</v>
      </c>
      <c r="J512" t="str">
        <f>TEXT(Ventas[[#This Row],[Fecha_venta]],"yyyy")</f>
        <v>2011</v>
      </c>
    </row>
    <row r="513" spans="1:10" x14ac:dyDescent="0.25">
      <c r="A513">
        <v>4</v>
      </c>
      <c r="B513" s="1">
        <v>40788</v>
      </c>
      <c r="C513">
        <v>0</v>
      </c>
      <c r="D513">
        <v>77.989999999999995</v>
      </c>
      <c r="E513">
        <v>3.5329999999999999</v>
      </c>
      <c r="F513">
        <v>129.32593550000001</v>
      </c>
      <c r="G513">
        <v>2078420.31</v>
      </c>
      <c r="H513" t="str">
        <f>TEXT(Ventas[[#This Row],[Fecha_venta]],"dd")</f>
        <v>02</v>
      </c>
      <c r="I513" t="str">
        <f>TEXT(Ventas[[#This Row],[Fecha_venta]],"m")</f>
        <v>9</v>
      </c>
      <c r="J513" t="str">
        <f>TEXT(Ventas[[#This Row],[Fecha_venta]],"yyyy")</f>
        <v>2011</v>
      </c>
    </row>
    <row r="514" spans="1:10" x14ac:dyDescent="0.25">
      <c r="A514">
        <v>4</v>
      </c>
      <c r="B514" s="1">
        <v>40795</v>
      </c>
      <c r="C514">
        <v>1</v>
      </c>
      <c r="D514">
        <v>73.34</v>
      </c>
      <c r="E514">
        <v>3.5539999999999998</v>
      </c>
      <c r="F514">
        <v>129.36861289999999</v>
      </c>
      <c r="G514">
        <v>2093139.01</v>
      </c>
      <c r="H514" t="str">
        <f>TEXT(Ventas[[#This Row],[Fecha_venta]],"dd")</f>
        <v>09</v>
      </c>
      <c r="I514" t="str">
        <f>TEXT(Ventas[[#This Row],[Fecha_venta]],"m")</f>
        <v>9</v>
      </c>
      <c r="J514" t="str">
        <f>TEXT(Ventas[[#This Row],[Fecha_venta]],"yyyy")</f>
        <v>2011</v>
      </c>
    </row>
    <row r="515" spans="1:10" x14ac:dyDescent="0.25">
      <c r="A515">
        <v>4</v>
      </c>
      <c r="B515" s="1">
        <v>40802</v>
      </c>
      <c r="C515">
        <v>0</v>
      </c>
      <c r="D515">
        <v>72.760000000000005</v>
      </c>
      <c r="E515">
        <v>3.532</v>
      </c>
      <c r="F515">
        <v>129.4306</v>
      </c>
      <c r="G515">
        <v>2075577.33</v>
      </c>
      <c r="H515" t="str">
        <f>TEXT(Ventas[[#This Row],[Fecha_venta]],"dd")</f>
        <v>16</v>
      </c>
      <c r="I515" t="str">
        <f>TEXT(Ventas[[#This Row],[Fecha_venta]],"m")</f>
        <v>9</v>
      </c>
      <c r="J515" t="str">
        <f>TEXT(Ventas[[#This Row],[Fecha_venta]],"yyyy")</f>
        <v>2011</v>
      </c>
    </row>
    <row r="516" spans="1:10" x14ac:dyDescent="0.25">
      <c r="A516">
        <v>4</v>
      </c>
      <c r="B516" s="1">
        <v>40809</v>
      </c>
      <c r="C516">
        <v>0</v>
      </c>
      <c r="D516">
        <v>69.23</v>
      </c>
      <c r="E516">
        <v>3.4729999999999999</v>
      </c>
      <c r="F516">
        <v>129.51833329999999</v>
      </c>
      <c r="G516">
        <v>2031406.41</v>
      </c>
      <c r="H516" t="str">
        <f>TEXT(Ventas[[#This Row],[Fecha_venta]],"dd")</f>
        <v>23</v>
      </c>
      <c r="I516" t="str">
        <f>TEXT(Ventas[[#This Row],[Fecha_venta]],"m")</f>
        <v>9</v>
      </c>
      <c r="J516" t="str">
        <f>TEXT(Ventas[[#This Row],[Fecha_venta]],"yyyy")</f>
        <v>2011</v>
      </c>
    </row>
    <row r="517" spans="1:10" x14ac:dyDescent="0.25">
      <c r="A517">
        <v>4</v>
      </c>
      <c r="B517" s="1">
        <v>40816</v>
      </c>
      <c r="C517">
        <v>0</v>
      </c>
      <c r="D517">
        <v>72.150000000000006</v>
      </c>
      <c r="E517">
        <v>3.371</v>
      </c>
      <c r="F517">
        <v>129.60606670000001</v>
      </c>
      <c r="G517">
        <v>1929486.63</v>
      </c>
      <c r="H517" t="str">
        <f>TEXT(Ventas[[#This Row],[Fecha_venta]],"dd")</f>
        <v>30</v>
      </c>
      <c r="I517" t="str">
        <f>TEXT(Ventas[[#This Row],[Fecha_venta]],"m")</f>
        <v>9</v>
      </c>
      <c r="J517" t="str">
        <f>TEXT(Ventas[[#This Row],[Fecha_venta]],"yyyy")</f>
        <v>2011</v>
      </c>
    </row>
    <row r="518" spans="1:10" x14ac:dyDescent="0.25">
      <c r="A518">
        <v>4</v>
      </c>
      <c r="B518" s="1">
        <v>40830</v>
      </c>
      <c r="C518">
        <v>0</v>
      </c>
      <c r="D518">
        <v>63.75</v>
      </c>
      <c r="E518">
        <v>3.2829999999999999</v>
      </c>
      <c r="F518">
        <v>129.77064519999999</v>
      </c>
      <c r="G518">
        <v>2074548.85</v>
      </c>
      <c r="H518" t="str">
        <f>TEXT(Ventas[[#This Row],[Fecha_venta]],"dd")</f>
        <v>14</v>
      </c>
      <c r="I518" t="str">
        <f>TEXT(Ventas[[#This Row],[Fecha_venta]],"m")</f>
        <v>10</v>
      </c>
      <c r="J518" t="str">
        <f>TEXT(Ventas[[#This Row],[Fecha_venta]],"yyyy")</f>
        <v>2011</v>
      </c>
    </row>
    <row r="519" spans="1:10" x14ac:dyDescent="0.25">
      <c r="A519">
        <v>4</v>
      </c>
      <c r="B519" s="1">
        <v>40837</v>
      </c>
      <c r="C519">
        <v>0</v>
      </c>
      <c r="D519">
        <v>64.790000000000006</v>
      </c>
      <c r="E519">
        <v>3.3610000000000002</v>
      </c>
      <c r="F519">
        <v>129.78216130000001</v>
      </c>
      <c r="G519">
        <v>2207742.13</v>
      </c>
      <c r="H519" t="str">
        <f>TEXT(Ventas[[#This Row],[Fecha_venta]],"dd")</f>
        <v>21</v>
      </c>
      <c r="I519" t="str">
        <f>TEXT(Ventas[[#This Row],[Fecha_venta]],"m")</f>
        <v>10</v>
      </c>
      <c r="J519" t="str">
        <f>TEXT(Ventas[[#This Row],[Fecha_venta]],"yyyy")</f>
        <v>2011</v>
      </c>
    </row>
    <row r="520" spans="1:10" x14ac:dyDescent="0.25">
      <c r="A520">
        <v>4</v>
      </c>
      <c r="B520" s="1">
        <v>40844</v>
      </c>
      <c r="C520">
        <v>0</v>
      </c>
      <c r="D520">
        <v>55.31</v>
      </c>
      <c r="E520">
        <v>3.3620000000000001</v>
      </c>
      <c r="F520">
        <v>129.79367740000001</v>
      </c>
      <c r="G520">
        <v>2151659.59</v>
      </c>
      <c r="H520" t="str">
        <f>TEXT(Ventas[[#This Row],[Fecha_venta]],"dd")</f>
        <v>28</v>
      </c>
      <c r="I520" t="str">
        <f>TEXT(Ventas[[#This Row],[Fecha_venta]],"m")</f>
        <v>10</v>
      </c>
      <c r="J520" t="str">
        <f>TEXT(Ventas[[#This Row],[Fecha_venta]],"yyyy")</f>
        <v>2011</v>
      </c>
    </row>
    <row r="521" spans="1:10" x14ac:dyDescent="0.25">
      <c r="A521">
        <v>4</v>
      </c>
      <c r="B521" s="1">
        <v>40851</v>
      </c>
      <c r="C521">
        <v>0</v>
      </c>
      <c r="D521">
        <v>49.86</v>
      </c>
      <c r="E521">
        <v>3.3220000000000001</v>
      </c>
      <c r="F521">
        <v>129.8051935</v>
      </c>
      <c r="G521">
        <v>2281217.31</v>
      </c>
      <c r="H521" t="str">
        <f>TEXT(Ventas[[#This Row],[Fecha_venta]],"dd")</f>
        <v>04</v>
      </c>
      <c r="I521" t="str">
        <f>TEXT(Ventas[[#This Row],[Fecha_venta]],"m")</f>
        <v>11</v>
      </c>
      <c r="J521" t="str">
        <f>TEXT(Ventas[[#This Row],[Fecha_venta]],"yyyy")</f>
        <v>2011</v>
      </c>
    </row>
    <row r="522" spans="1:10" x14ac:dyDescent="0.25">
      <c r="A522">
        <v>4</v>
      </c>
      <c r="B522" s="1">
        <v>40858</v>
      </c>
      <c r="C522">
        <v>0</v>
      </c>
      <c r="D522">
        <v>47.12</v>
      </c>
      <c r="E522">
        <v>3.286</v>
      </c>
      <c r="F522">
        <v>129.81670969999999</v>
      </c>
      <c r="G522">
        <v>2203028.96</v>
      </c>
      <c r="H522" t="str">
        <f>TEXT(Ventas[[#This Row],[Fecha_venta]],"dd")</f>
        <v>11</v>
      </c>
      <c r="I522" t="str">
        <f>TEXT(Ventas[[#This Row],[Fecha_venta]],"m")</f>
        <v>11</v>
      </c>
      <c r="J522" t="str">
        <f>TEXT(Ventas[[#This Row],[Fecha_venta]],"yyyy")</f>
        <v>2011</v>
      </c>
    </row>
    <row r="523" spans="1:10" x14ac:dyDescent="0.25">
      <c r="A523">
        <v>4</v>
      </c>
      <c r="B523" s="1">
        <v>40865</v>
      </c>
      <c r="C523">
        <v>0</v>
      </c>
      <c r="D523">
        <v>50.44</v>
      </c>
      <c r="E523">
        <v>3.294</v>
      </c>
      <c r="F523">
        <v>129.8268333</v>
      </c>
      <c r="G523">
        <v>2243946.59</v>
      </c>
      <c r="H523" t="str">
        <f>TEXT(Ventas[[#This Row],[Fecha_venta]],"dd")</f>
        <v>18</v>
      </c>
      <c r="I523" t="str">
        <f>TEXT(Ventas[[#This Row],[Fecha_venta]],"m")</f>
        <v>11</v>
      </c>
      <c r="J523" t="str">
        <f>TEXT(Ventas[[#This Row],[Fecha_venta]],"yyyy")</f>
        <v>2011</v>
      </c>
    </row>
    <row r="524" spans="1:10" x14ac:dyDescent="0.25">
      <c r="A524">
        <v>4</v>
      </c>
      <c r="B524" s="1">
        <v>40872</v>
      </c>
      <c r="C524">
        <v>1</v>
      </c>
      <c r="D524">
        <v>47.96</v>
      </c>
      <c r="E524">
        <v>3.2250000000000001</v>
      </c>
      <c r="F524">
        <v>129.8364</v>
      </c>
      <c r="G524">
        <v>3004702.33</v>
      </c>
      <c r="H524" t="str">
        <f>TEXT(Ventas[[#This Row],[Fecha_venta]],"dd")</f>
        <v>25</v>
      </c>
      <c r="I524" t="str">
        <f>TEXT(Ventas[[#This Row],[Fecha_venta]],"m")</f>
        <v>11</v>
      </c>
      <c r="J524" t="str">
        <f>TEXT(Ventas[[#This Row],[Fecha_venta]],"yyyy")</f>
        <v>2011</v>
      </c>
    </row>
    <row r="525" spans="1:10" x14ac:dyDescent="0.25">
      <c r="A525">
        <v>4</v>
      </c>
      <c r="B525" s="1">
        <v>40879</v>
      </c>
      <c r="C525">
        <v>0</v>
      </c>
      <c r="D525">
        <v>38.71</v>
      </c>
      <c r="E525">
        <v>3.1760000000000002</v>
      </c>
      <c r="F525">
        <v>129.84596669999999</v>
      </c>
      <c r="G525">
        <v>2180999.2599999998</v>
      </c>
      <c r="H525" t="str">
        <f>TEXT(Ventas[[#This Row],[Fecha_venta]],"dd")</f>
        <v>02</v>
      </c>
      <c r="I525" t="str">
        <f>TEXT(Ventas[[#This Row],[Fecha_venta]],"m")</f>
        <v>12</v>
      </c>
      <c r="J525" t="str">
        <f>TEXT(Ventas[[#This Row],[Fecha_venta]],"yyyy")</f>
        <v>2011</v>
      </c>
    </row>
    <row r="526" spans="1:10" x14ac:dyDescent="0.25">
      <c r="A526">
        <v>4</v>
      </c>
      <c r="B526" s="1">
        <v>40886</v>
      </c>
      <c r="C526">
        <v>0</v>
      </c>
      <c r="D526">
        <v>31.64</v>
      </c>
      <c r="E526">
        <v>3.153</v>
      </c>
      <c r="F526">
        <v>129.85553329999999</v>
      </c>
      <c r="G526">
        <v>2508955.2400000002</v>
      </c>
      <c r="H526" t="str">
        <f>TEXT(Ventas[[#This Row],[Fecha_venta]],"dd")</f>
        <v>09</v>
      </c>
      <c r="I526" t="str">
        <f>TEXT(Ventas[[#This Row],[Fecha_venta]],"m")</f>
        <v>12</v>
      </c>
      <c r="J526" t="str">
        <f>TEXT(Ventas[[#This Row],[Fecha_venta]],"yyyy")</f>
        <v>2011</v>
      </c>
    </row>
    <row r="527" spans="1:10" x14ac:dyDescent="0.25">
      <c r="A527">
        <v>4</v>
      </c>
      <c r="B527" s="1">
        <v>40893</v>
      </c>
      <c r="C527">
        <v>0</v>
      </c>
      <c r="D527">
        <v>36.44</v>
      </c>
      <c r="E527">
        <v>3.149</v>
      </c>
      <c r="F527">
        <v>129.8980645</v>
      </c>
      <c r="G527">
        <v>2771397.17</v>
      </c>
      <c r="H527" t="str">
        <f>TEXT(Ventas[[#This Row],[Fecha_venta]],"dd")</f>
        <v>16</v>
      </c>
      <c r="I527" t="str">
        <f>TEXT(Ventas[[#This Row],[Fecha_venta]],"m")</f>
        <v>12</v>
      </c>
      <c r="J527" t="str">
        <f>TEXT(Ventas[[#This Row],[Fecha_venta]],"yyyy")</f>
        <v>2011</v>
      </c>
    </row>
    <row r="528" spans="1:10" x14ac:dyDescent="0.25">
      <c r="A528">
        <v>4</v>
      </c>
      <c r="B528" s="1">
        <v>40900</v>
      </c>
      <c r="C528">
        <v>0</v>
      </c>
      <c r="D528">
        <v>35.92</v>
      </c>
      <c r="E528">
        <v>3.1030000000000002</v>
      </c>
      <c r="F528">
        <v>129.98454839999999</v>
      </c>
      <c r="G528">
        <v>3676388.98</v>
      </c>
      <c r="H528" t="str">
        <f>TEXT(Ventas[[#This Row],[Fecha_venta]],"dd")</f>
        <v>23</v>
      </c>
      <c r="I528" t="str">
        <f>TEXT(Ventas[[#This Row],[Fecha_venta]],"m")</f>
        <v>12</v>
      </c>
      <c r="J528" t="str">
        <f>TEXT(Ventas[[#This Row],[Fecha_venta]],"yyyy")</f>
        <v>2011</v>
      </c>
    </row>
    <row r="529" spans="1:10" x14ac:dyDescent="0.25">
      <c r="A529">
        <v>4</v>
      </c>
      <c r="B529" s="1">
        <v>40907</v>
      </c>
      <c r="C529">
        <v>1</v>
      </c>
      <c r="D529">
        <v>36.89</v>
      </c>
      <c r="E529">
        <v>3.1190000000000002</v>
      </c>
      <c r="F529">
        <v>130.07103230000001</v>
      </c>
      <c r="G529">
        <v>2007105.86</v>
      </c>
      <c r="H529" t="str">
        <f>TEXT(Ventas[[#This Row],[Fecha_venta]],"dd")</f>
        <v>30</v>
      </c>
      <c r="I529" t="str">
        <f>TEXT(Ventas[[#This Row],[Fecha_venta]],"m")</f>
        <v>12</v>
      </c>
      <c r="J529" t="str">
        <f>TEXT(Ventas[[#This Row],[Fecha_venta]],"yyyy")</f>
        <v>2011</v>
      </c>
    </row>
    <row r="530" spans="1:10" x14ac:dyDescent="0.25">
      <c r="A530">
        <v>4</v>
      </c>
      <c r="B530" s="1">
        <v>40914</v>
      </c>
      <c r="C530">
        <v>0</v>
      </c>
      <c r="D530">
        <v>38.64</v>
      </c>
      <c r="E530">
        <v>3.1579999999999999</v>
      </c>
      <c r="F530">
        <v>130.15751610000001</v>
      </c>
      <c r="G530">
        <v>2047766.07</v>
      </c>
      <c r="H530" t="str">
        <f>TEXT(Ventas[[#This Row],[Fecha_venta]],"dd")</f>
        <v>06</v>
      </c>
      <c r="I530" t="str">
        <f>TEXT(Ventas[[#This Row],[Fecha_venta]],"m")</f>
        <v>1</v>
      </c>
      <c r="J530" t="str">
        <f>TEXT(Ventas[[#This Row],[Fecha_venta]],"yyyy")</f>
        <v>2012</v>
      </c>
    </row>
    <row r="531" spans="1:10" x14ac:dyDescent="0.25">
      <c r="A531">
        <v>4</v>
      </c>
      <c r="B531" s="1">
        <v>40921</v>
      </c>
      <c r="C531">
        <v>0</v>
      </c>
      <c r="D531">
        <v>34.409999999999997</v>
      </c>
      <c r="E531">
        <v>3.2629999999999999</v>
      </c>
      <c r="F531">
        <v>130.244</v>
      </c>
      <c r="G531">
        <v>1941676.61</v>
      </c>
      <c r="H531" t="str">
        <f>TEXT(Ventas[[#This Row],[Fecha_venta]],"dd")</f>
        <v>13</v>
      </c>
      <c r="I531" t="str">
        <f>TEXT(Ventas[[#This Row],[Fecha_venta]],"m")</f>
        <v>1</v>
      </c>
      <c r="J531" t="str">
        <f>TEXT(Ventas[[#This Row],[Fecha_venta]],"yyyy")</f>
        <v>2012</v>
      </c>
    </row>
    <row r="532" spans="1:10" x14ac:dyDescent="0.25">
      <c r="A532">
        <v>4</v>
      </c>
      <c r="B532" s="1">
        <v>40928</v>
      </c>
      <c r="C532">
        <v>0</v>
      </c>
      <c r="D532">
        <v>42.09</v>
      </c>
      <c r="E532">
        <v>3.2730000000000001</v>
      </c>
      <c r="F532">
        <v>130.27922580000001</v>
      </c>
      <c r="G532">
        <v>2005097.76</v>
      </c>
      <c r="H532" t="str">
        <f>TEXT(Ventas[[#This Row],[Fecha_venta]],"dd")</f>
        <v>20</v>
      </c>
      <c r="I532" t="str">
        <f>TEXT(Ventas[[#This Row],[Fecha_venta]],"m")</f>
        <v>1</v>
      </c>
      <c r="J532" t="str">
        <f>TEXT(Ventas[[#This Row],[Fecha_venta]],"yyyy")</f>
        <v>2012</v>
      </c>
    </row>
    <row r="533" spans="1:10" x14ac:dyDescent="0.25">
      <c r="A533">
        <v>4</v>
      </c>
      <c r="B533" s="1">
        <v>40935</v>
      </c>
      <c r="C533">
        <v>0</v>
      </c>
      <c r="D533">
        <v>40.31</v>
      </c>
      <c r="E533">
        <v>3.29</v>
      </c>
      <c r="F533">
        <v>130.31445160000001</v>
      </c>
      <c r="G533">
        <v>1928720.51</v>
      </c>
      <c r="H533" t="str">
        <f>TEXT(Ventas[[#This Row],[Fecha_venta]],"dd")</f>
        <v>27</v>
      </c>
      <c r="I533" t="str">
        <f>TEXT(Ventas[[#This Row],[Fecha_venta]],"m")</f>
        <v>1</v>
      </c>
      <c r="J533" t="str">
        <f>TEXT(Ventas[[#This Row],[Fecha_venta]],"yyyy")</f>
        <v>2012</v>
      </c>
    </row>
    <row r="534" spans="1:10" x14ac:dyDescent="0.25">
      <c r="A534">
        <v>4</v>
      </c>
      <c r="B534" s="1">
        <v>40942</v>
      </c>
      <c r="C534">
        <v>0</v>
      </c>
      <c r="D534">
        <v>41.81</v>
      </c>
      <c r="E534">
        <v>3.3540000000000001</v>
      </c>
      <c r="F534">
        <v>130.34967739999999</v>
      </c>
      <c r="G534">
        <v>2173373.91</v>
      </c>
      <c r="H534" t="str">
        <f>TEXT(Ventas[[#This Row],[Fecha_venta]],"dd")</f>
        <v>03</v>
      </c>
      <c r="I534" t="str">
        <f>TEXT(Ventas[[#This Row],[Fecha_venta]],"m")</f>
        <v>2</v>
      </c>
      <c r="J534" t="str">
        <f>TEXT(Ventas[[#This Row],[Fecha_venta]],"yyyy")</f>
        <v>2012</v>
      </c>
    </row>
    <row r="535" spans="1:10" x14ac:dyDescent="0.25">
      <c r="A535">
        <v>4</v>
      </c>
      <c r="B535" s="1">
        <v>40949</v>
      </c>
      <c r="C535">
        <v>1</v>
      </c>
      <c r="D535">
        <v>33</v>
      </c>
      <c r="E535">
        <v>3.411</v>
      </c>
      <c r="F535">
        <v>130.3849032</v>
      </c>
      <c r="G535">
        <v>2374660.64</v>
      </c>
      <c r="H535" t="str">
        <f>TEXT(Ventas[[#This Row],[Fecha_venta]],"dd")</f>
        <v>10</v>
      </c>
      <c r="I535" t="str">
        <f>TEXT(Ventas[[#This Row],[Fecha_venta]],"m")</f>
        <v>2</v>
      </c>
      <c r="J535" t="str">
        <f>TEXT(Ventas[[#This Row],[Fecha_venta]],"yyyy")</f>
        <v>2012</v>
      </c>
    </row>
    <row r="536" spans="1:10" x14ac:dyDescent="0.25">
      <c r="A536">
        <v>4</v>
      </c>
      <c r="B536" s="1">
        <v>40956</v>
      </c>
      <c r="C536">
        <v>0</v>
      </c>
      <c r="D536">
        <v>34.19</v>
      </c>
      <c r="E536">
        <v>3.4929999999999999</v>
      </c>
      <c r="F536">
        <v>130.45462069999999</v>
      </c>
      <c r="G536">
        <v>2427640.17</v>
      </c>
      <c r="H536" t="str">
        <f>TEXT(Ventas[[#This Row],[Fecha_venta]],"dd")</f>
        <v>17</v>
      </c>
      <c r="I536" t="str">
        <f>TEXT(Ventas[[#This Row],[Fecha_venta]],"m")</f>
        <v>2</v>
      </c>
      <c r="J536" t="str">
        <f>TEXT(Ventas[[#This Row],[Fecha_venta]],"yyyy")</f>
        <v>2012</v>
      </c>
    </row>
    <row r="537" spans="1:10" x14ac:dyDescent="0.25">
      <c r="A537">
        <v>4</v>
      </c>
      <c r="B537" s="1">
        <v>40963</v>
      </c>
      <c r="C537">
        <v>0</v>
      </c>
      <c r="D537">
        <v>41.31</v>
      </c>
      <c r="E537">
        <v>3.5409999999999999</v>
      </c>
      <c r="F537">
        <v>130.55020690000001</v>
      </c>
      <c r="G537">
        <v>2226662.17</v>
      </c>
      <c r="H537" t="str">
        <f>TEXT(Ventas[[#This Row],[Fecha_venta]],"dd")</f>
        <v>24</v>
      </c>
      <c r="I537" t="str">
        <f>TEXT(Ventas[[#This Row],[Fecha_venta]],"m")</f>
        <v>2</v>
      </c>
      <c r="J537" t="str">
        <f>TEXT(Ventas[[#This Row],[Fecha_venta]],"yyyy")</f>
        <v>2012</v>
      </c>
    </row>
    <row r="538" spans="1:10" x14ac:dyDescent="0.25">
      <c r="A538">
        <v>4</v>
      </c>
      <c r="B538" s="1">
        <v>40970</v>
      </c>
      <c r="C538">
        <v>0</v>
      </c>
      <c r="D538">
        <v>50.38</v>
      </c>
      <c r="E538">
        <v>3.6190000000000002</v>
      </c>
      <c r="F538">
        <v>130.64579309999999</v>
      </c>
      <c r="G538">
        <v>2206319.9</v>
      </c>
      <c r="H538" t="str">
        <f>TEXT(Ventas[[#This Row],[Fecha_venta]],"dd")</f>
        <v>02</v>
      </c>
      <c r="I538" t="str">
        <f>TEXT(Ventas[[#This Row],[Fecha_venta]],"m")</f>
        <v>3</v>
      </c>
      <c r="J538" t="str">
        <f>TEXT(Ventas[[#This Row],[Fecha_venta]],"yyyy")</f>
        <v>2012</v>
      </c>
    </row>
    <row r="539" spans="1:10" x14ac:dyDescent="0.25">
      <c r="A539">
        <v>4</v>
      </c>
      <c r="B539" s="1">
        <v>40977</v>
      </c>
      <c r="C539">
        <v>0</v>
      </c>
      <c r="D539">
        <v>53.63</v>
      </c>
      <c r="E539">
        <v>3.6669999999999998</v>
      </c>
      <c r="F539">
        <v>130.74137930000001</v>
      </c>
      <c r="G539">
        <v>2202450.81</v>
      </c>
      <c r="H539" t="str">
        <f>TEXT(Ventas[[#This Row],[Fecha_venta]],"dd")</f>
        <v>09</v>
      </c>
      <c r="I539" t="str">
        <f>TEXT(Ventas[[#This Row],[Fecha_venta]],"m")</f>
        <v>3</v>
      </c>
      <c r="J539" t="str">
        <f>TEXT(Ventas[[#This Row],[Fecha_venta]],"yyyy")</f>
        <v>2012</v>
      </c>
    </row>
    <row r="540" spans="1:10" x14ac:dyDescent="0.25">
      <c r="A540">
        <v>4</v>
      </c>
      <c r="B540" s="1">
        <v>40984</v>
      </c>
      <c r="C540">
        <v>0</v>
      </c>
      <c r="D540">
        <v>59.81</v>
      </c>
      <c r="E540">
        <v>3.7069999999999999</v>
      </c>
      <c r="F540">
        <v>130.82619349999999</v>
      </c>
      <c r="G540">
        <v>2214967.44</v>
      </c>
      <c r="H540" t="str">
        <f>TEXT(Ventas[[#This Row],[Fecha_venta]],"dd")</f>
        <v>16</v>
      </c>
      <c r="I540" t="str">
        <f>TEXT(Ventas[[#This Row],[Fecha_venta]],"m")</f>
        <v>3</v>
      </c>
      <c r="J540" t="str">
        <f>TEXT(Ventas[[#This Row],[Fecha_venta]],"yyyy")</f>
        <v>2012</v>
      </c>
    </row>
    <row r="541" spans="1:10" x14ac:dyDescent="0.25">
      <c r="A541">
        <v>4</v>
      </c>
      <c r="B541" s="1">
        <v>40991</v>
      </c>
      <c r="C541">
        <v>0</v>
      </c>
      <c r="D541">
        <v>59.07</v>
      </c>
      <c r="E541">
        <v>3.7589999999999999</v>
      </c>
      <c r="F541">
        <v>130.89664519999999</v>
      </c>
      <c r="G541">
        <v>2091592.54</v>
      </c>
      <c r="H541" t="str">
        <f>TEXT(Ventas[[#This Row],[Fecha_venta]],"dd")</f>
        <v>23</v>
      </c>
      <c r="I541" t="str">
        <f>TEXT(Ventas[[#This Row],[Fecha_venta]],"m")</f>
        <v>3</v>
      </c>
      <c r="J541" t="str">
        <f>TEXT(Ventas[[#This Row],[Fecha_venta]],"yyyy")</f>
        <v>2012</v>
      </c>
    </row>
    <row r="542" spans="1:10" x14ac:dyDescent="0.25">
      <c r="A542">
        <v>4</v>
      </c>
      <c r="B542" s="1">
        <v>40998</v>
      </c>
      <c r="C542">
        <v>0</v>
      </c>
      <c r="D542">
        <v>72.63</v>
      </c>
      <c r="E542">
        <v>3.82</v>
      </c>
      <c r="F542">
        <v>130.96709680000001</v>
      </c>
      <c r="G542">
        <v>2089381.77</v>
      </c>
      <c r="H542" t="str">
        <f>TEXT(Ventas[[#This Row],[Fecha_venta]],"dd")</f>
        <v>30</v>
      </c>
      <c r="I542" t="str">
        <f>TEXT(Ventas[[#This Row],[Fecha_venta]],"m")</f>
        <v>3</v>
      </c>
      <c r="J542" t="str">
        <f>TEXT(Ventas[[#This Row],[Fecha_venta]],"yyyy")</f>
        <v>2012</v>
      </c>
    </row>
    <row r="543" spans="1:10" x14ac:dyDescent="0.25">
      <c r="A543">
        <v>4</v>
      </c>
      <c r="B543" s="1">
        <v>41005</v>
      </c>
      <c r="C543">
        <v>0</v>
      </c>
      <c r="D543">
        <v>67.69</v>
      </c>
      <c r="E543">
        <v>3.8639999999999999</v>
      </c>
      <c r="F543">
        <v>131.03754839999999</v>
      </c>
      <c r="G543">
        <v>2470206.13</v>
      </c>
      <c r="H543" t="str">
        <f>TEXT(Ventas[[#This Row],[Fecha_venta]],"dd")</f>
        <v>06</v>
      </c>
      <c r="I543" t="str">
        <f>TEXT(Ventas[[#This Row],[Fecha_venta]],"m")</f>
        <v>4</v>
      </c>
      <c r="J543" t="str">
        <f>TEXT(Ventas[[#This Row],[Fecha_venta]],"yyyy")</f>
        <v>2012</v>
      </c>
    </row>
    <row r="544" spans="1:10" x14ac:dyDescent="0.25">
      <c r="A544">
        <v>4</v>
      </c>
      <c r="B544" s="1">
        <v>41012</v>
      </c>
      <c r="C544">
        <v>0</v>
      </c>
      <c r="D544">
        <v>68.69</v>
      </c>
      <c r="E544">
        <v>3.8809999999999998</v>
      </c>
      <c r="F544">
        <v>131.108</v>
      </c>
      <c r="G544">
        <v>2105301.39</v>
      </c>
      <c r="H544" t="str">
        <f>TEXT(Ventas[[#This Row],[Fecha_venta]],"dd")</f>
        <v>13</v>
      </c>
      <c r="I544" t="str">
        <f>TEXT(Ventas[[#This Row],[Fecha_venta]],"m")</f>
        <v>4</v>
      </c>
      <c r="J544" t="str">
        <f>TEXT(Ventas[[#This Row],[Fecha_venta]],"yyyy")</f>
        <v>2012</v>
      </c>
    </row>
    <row r="545" spans="1:10" x14ac:dyDescent="0.25">
      <c r="A545">
        <v>4</v>
      </c>
      <c r="B545" s="1">
        <v>41019</v>
      </c>
      <c r="C545">
        <v>0</v>
      </c>
      <c r="D545">
        <v>68.599999999999994</v>
      </c>
      <c r="E545">
        <v>3.8639999999999999</v>
      </c>
      <c r="F545">
        <v>131.11733330000001</v>
      </c>
      <c r="G545">
        <v>2144336.89</v>
      </c>
      <c r="H545" t="str">
        <f>TEXT(Ventas[[#This Row],[Fecha_venta]],"dd")</f>
        <v>20</v>
      </c>
      <c r="I545" t="str">
        <f>TEXT(Ventas[[#This Row],[Fecha_venta]],"m")</f>
        <v>4</v>
      </c>
      <c r="J545" t="str">
        <f>TEXT(Ventas[[#This Row],[Fecha_venta]],"yyyy")</f>
        <v>2012</v>
      </c>
    </row>
    <row r="546" spans="1:10" x14ac:dyDescent="0.25">
      <c r="A546">
        <v>4</v>
      </c>
      <c r="B546" s="1">
        <v>41026</v>
      </c>
      <c r="C546">
        <v>0</v>
      </c>
      <c r="D546">
        <v>76.47</v>
      </c>
      <c r="E546">
        <v>3.81</v>
      </c>
      <c r="F546">
        <v>131.12666669999999</v>
      </c>
      <c r="G546">
        <v>2064065.66</v>
      </c>
      <c r="H546" t="str">
        <f>TEXT(Ventas[[#This Row],[Fecha_venta]],"dd")</f>
        <v>27</v>
      </c>
      <c r="I546" t="str">
        <f>TEXT(Ventas[[#This Row],[Fecha_venta]],"m")</f>
        <v>4</v>
      </c>
      <c r="J546" t="str">
        <f>TEXT(Ventas[[#This Row],[Fecha_venta]],"yyyy")</f>
        <v>2012</v>
      </c>
    </row>
    <row r="547" spans="1:10" x14ac:dyDescent="0.25">
      <c r="A547">
        <v>4</v>
      </c>
      <c r="B547" s="1">
        <v>41033</v>
      </c>
      <c r="C547">
        <v>0</v>
      </c>
      <c r="D547">
        <v>80.14</v>
      </c>
      <c r="E547">
        <v>3.7469999999999999</v>
      </c>
      <c r="F547">
        <v>131.136</v>
      </c>
      <c r="G547">
        <v>2196968.33</v>
      </c>
      <c r="H547" t="str">
        <f>TEXT(Ventas[[#This Row],[Fecha_venta]],"dd")</f>
        <v>04</v>
      </c>
      <c r="I547" t="str">
        <f>TEXT(Ventas[[#This Row],[Fecha_venta]],"m")</f>
        <v>5</v>
      </c>
      <c r="J547" t="str">
        <f>TEXT(Ventas[[#This Row],[Fecha_venta]],"yyyy")</f>
        <v>2012</v>
      </c>
    </row>
    <row r="548" spans="1:10" x14ac:dyDescent="0.25">
      <c r="A548">
        <v>4</v>
      </c>
      <c r="B548" s="1">
        <v>41040</v>
      </c>
      <c r="C548">
        <v>0</v>
      </c>
      <c r="D548">
        <v>67.64</v>
      </c>
      <c r="E548">
        <v>3.6850000000000001</v>
      </c>
      <c r="F548">
        <v>131.1453333</v>
      </c>
      <c r="G548">
        <v>2127661.17</v>
      </c>
      <c r="H548" t="str">
        <f>TEXT(Ventas[[#This Row],[Fecha_venta]],"dd")</f>
        <v>11</v>
      </c>
      <c r="I548" t="str">
        <f>TEXT(Ventas[[#This Row],[Fecha_venta]],"m")</f>
        <v>5</v>
      </c>
      <c r="J548" t="str">
        <f>TEXT(Ventas[[#This Row],[Fecha_venta]],"yyyy")</f>
        <v>2012</v>
      </c>
    </row>
    <row r="549" spans="1:10" x14ac:dyDescent="0.25">
      <c r="A549">
        <v>4</v>
      </c>
      <c r="B549" s="1">
        <v>41047</v>
      </c>
      <c r="C549">
        <v>0</v>
      </c>
      <c r="D549">
        <v>68.430000000000007</v>
      </c>
      <c r="E549">
        <v>3.62</v>
      </c>
      <c r="F549">
        <v>131.09832259999999</v>
      </c>
      <c r="G549">
        <v>2207214.81</v>
      </c>
      <c r="H549" t="str">
        <f>TEXT(Ventas[[#This Row],[Fecha_venta]],"dd")</f>
        <v>18</v>
      </c>
      <c r="I549" t="str">
        <f>TEXT(Ventas[[#This Row],[Fecha_venta]],"m")</f>
        <v>5</v>
      </c>
      <c r="J549" t="str">
        <f>TEXT(Ventas[[#This Row],[Fecha_venta]],"yyyy")</f>
        <v>2012</v>
      </c>
    </row>
    <row r="550" spans="1:10" x14ac:dyDescent="0.25">
      <c r="A550">
        <v>4</v>
      </c>
      <c r="B550" s="1">
        <v>41054</v>
      </c>
      <c r="C550">
        <v>0</v>
      </c>
      <c r="D550">
        <v>77.47</v>
      </c>
      <c r="E550">
        <v>3.5510000000000002</v>
      </c>
      <c r="F550">
        <v>131.02877419999999</v>
      </c>
      <c r="G550">
        <v>2154137.67</v>
      </c>
      <c r="H550" t="str">
        <f>TEXT(Ventas[[#This Row],[Fecha_venta]],"dd")</f>
        <v>25</v>
      </c>
      <c r="I550" t="str">
        <f>TEXT(Ventas[[#This Row],[Fecha_venta]],"m")</f>
        <v>5</v>
      </c>
      <c r="J550" t="str">
        <f>TEXT(Ventas[[#This Row],[Fecha_venta]],"yyyy")</f>
        <v>2012</v>
      </c>
    </row>
    <row r="551" spans="1:10" x14ac:dyDescent="0.25">
      <c r="A551">
        <v>4</v>
      </c>
      <c r="B551" s="1">
        <v>41061</v>
      </c>
      <c r="C551">
        <v>0</v>
      </c>
      <c r="D551">
        <v>77.41</v>
      </c>
      <c r="E551">
        <v>3.4830000000000001</v>
      </c>
      <c r="F551">
        <v>130.95922580000001</v>
      </c>
      <c r="G551">
        <v>2179360.94</v>
      </c>
      <c r="H551" t="str">
        <f>TEXT(Ventas[[#This Row],[Fecha_venta]],"dd")</f>
        <v>01</v>
      </c>
      <c r="I551" t="str">
        <f>TEXT(Ventas[[#This Row],[Fecha_venta]],"m")</f>
        <v>6</v>
      </c>
      <c r="J551" t="str">
        <f>TEXT(Ventas[[#This Row],[Fecha_venta]],"yyyy")</f>
        <v>2012</v>
      </c>
    </row>
    <row r="552" spans="1:10" x14ac:dyDescent="0.25">
      <c r="A552">
        <v>4</v>
      </c>
      <c r="B552" s="1">
        <v>41068</v>
      </c>
      <c r="C552">
        <v>0</v>
      </c>
      <c r="D552">
        <v>78.11</v>
      </c>
      <c r="E552">
        <v>3.4329999999999998</v>
      </c>
      <c r="F552">
        <v>130.88967740000001</v>
      </c>
      <c r="G552">
        <v>2245257.1800000002</v>
      </c>
      <c r="H552" t="str">
        <f>TEXT(Ventas[[#This Row],[Fecha_venta]],"dd")</f>
        <v>08</v>
      </c>
      <c r="I552" t="str">
        <f>TEXT(Ventas[[#This Row],[Fecha_venta]],"m")</f>
        <v>6</v>
      </c>
      <c r="J552" t="str">
        <f>TEXT(Ventas[[#This Row],[Fecha_venta]],"yyyy")</f>
        <v>2012</v>
      </c>
    </row>
    <row r="553" spans="1:10" x14ac:dyDescent="0.25">
      <c r="A553">
        <v>4</v>
      </c>
      <c r="B553" s="1">
        <v>41075</v>
      </c>
      <c r="C553">
        <v>-1</v>
      </c>
      <c r="D553">
        <v>80.94</v>
      </c>
      <c r="E553">
        <v>3.3719999999999999</v>
      </c>
      <c r="F553">
        <v>130.82953330000001</v>
      </c>
      <c r="G553">
        <v>2234190.9300000002</v>
      </c>
      <c r="H553" t="str">
        <f>TEXT(Ventas[[#This Row],[Fecha_venta]],"dd")</f>
        <v>15</v>
      </c>
      <c r="I553" t="str">
        <f>TEXT(Ventas[[#This Row],[Fecha_venta]],"m")</f>
        <v>6</v>
      </c>
      <c r="J553" t="str">
        <f>TEXT(Ventas[[#This Row],[Fecha_venta]],"yyyy")</f>
        <v>2012</v>
      </c>
    </row>
    <row r="554" spans="1:10" x14ac:dyDescent="0.25">
      <c r="A554">
        <v>4</v>
      </c>
      <c r="B554" s="1">
        <v>41082</v>
      </c>
      <c r="C554">
        <v>0</v>
      </c>
      <c r="D554">
        <v>81.63</v>
      </c>
      <c r="E554">
        <v>3.3290000000000002</v>
      </c>
      <c r="F554">
        <v>130.7929</v>
      </c>
      <c r="G554">
        <v>2197299.65</v>
      </c>
      <c r="H554" t="str">
        <f>TEXT(Ventas[[#This Row],[Fecha_venta]],"dd")</f>
        <v>22</v>
      </c>
      <c r="I554" t="str">
        <f>TEXT(Ventas[[#This Row],[Fecha_venta]],"m")</f>
        <v>6</v>
      </c>
      <c r="J554" t="str">
        <f>TEXT(Ventas[[#This Row],[Fecha_venta]],"yyyy")</f>
        <v>2012</v>
      </c>
    </row>
    <row r="555" spans="1:10" x14ac:dyDescent="0.25">
      <c r="A555">
        <v>4</v>
      </c>
      <c r="B555" s="1">
        <v>41089</v>
      </c>
      <c r="C555">
        <v>0</v>
      </c>
      <c r="D555">
        <v>84.23</v>
      </c>
      <c r="E555">
        <v>3.2570000000000001</v>
      </c>
      <c r="F555">
        <v>130.7562667</v>
      </c>
      <c r="G555">
        <v>2128362.92</v>
      </c>
      <c r="H555" t="str">
        <f>TEXT(Ventas[[#This Row],[Fecha_venta]],"dd")</f>
        <v>29</v>
      </c>
      <c r="I555" t="str">
        <f>TEXT(Ventas[[#This Row],[Fecha_venta]],"m")</f>
        <v>6</v>
      </c>
      <c r="J555" t="str">
        <f>TEXT(Ventas[[#This Row],[Fecha_venta]],"yyyy")</f>
        <v>2012</v>
      </c>
    </row>
    <row r="556" spans="1:10" x14ac:dyDescent="0.25">
      <c r="A556">
        <v>4</v>
      </c>
      <c r="B556" s="1">
        <v>41096</v>
      </c>
      <c r="C556">
        <v>0</v>
      </c>
      <c r="D556">
        <v>80.37</v>
      </c>
      <c r="E556">
        <v>3.1869999999999998</v>
      </c>
      <c r="F556">
        <v>130.7196333</v>
      </c>
      <c r="G556">
        <v>2224499.2799999998</v>
      </c>
      <c r="H556" t="str">
        <f>TEXT(Ventas[[#This Row],[Fecha_venta]],"dd")</f>
        <v>06</v>
      </c>
      <c r="I556" t="str">
        <f>TEXT(Ventas[[#This Row],[Fecha_venta]],"m")</f>
        <v>7</v>
      </c>
      <c r="J556" t="str">
        <f>TEXT(Ventas[[#This Row],[Fecha_venta]],"yyyy")</f>
        <v>2012</v>
      </c>
    </row>
    <row r="557" spans="1:10" x14ac:dyDescent="0.25">
      <c r="A557">
        <v>4</v>
      </c>
      <c r="B557" s="1">
        <v>41103</v>
      </c>
      <c r="C557">
        <v>0</v>
      </c>
      <c r="D557">
        <v>76.86</v>
      </c>
      <c r="E557">
        <v>3.2240000000000002</v>
      </c>
      <c r="F557">
        <v>130.68299999999999</v>
      </c>
      <c r="G557">
        <v>2100252.61</v>
      </c>
      <c r="H557" t="str">
        <f>TEXT(Ventas[[#This Row],[Fecha_venta]],"dd")</f>
        <v>13</v>
      </c>
      <c r="I557" t="str">
        <f>TEXT(Ventas[[#This Row],[Fecha_venta]],"m")</f>
        <v>7</v>
      </c>
      <c r="J557" t="str">
        <f>TEXT(Ventas[[#This Row],[Fecha_venta]],"yyyy")</f>
        <v>2012</v>
      </c>
    </row>
    <row r="558" spans="1:10" x14ac:dyDescent="0.25">
      <c r="A558">
        <v>4</v>
      </c>
      <c r="B558" s="1">
        <v>41110</v>
      </c>
      <c r="C558">
        <v>0</v>
      </c>
      <c r="D558">
        <v>79.14</v>
      </c>
      <c r="E558">
        <v>3.2629999999999999</v>
      </c>
      <c r="F558">
        <v>130.70129030000001</v>
      </c>
      <c r="G558">
        <v>2175563.69</v>
      </c>
      <c r="H558" t="str">
        <f>TEXT(Ventas[[#This Row],[Fecha_venta]],"dd")</f>
        <v>20</v>
      </c>
      <c r="I558" t="str">
        <f>TEXT(Ventas[[#This Row],[Fecha_venta]],"m")</f>
        <v>7</v>
      </c>
      <c r="J558" t="str">
        <f>TEXT(Ventas[[#This Row],[Fecha_venta]],"yyyy")</f>
        <v>2012</v>
      </c>
    </row>
    <row r="559" spans="1:10" x14ac:dyDescent="0.25">
      <c r="A559">
        <v>4</v>
      </c>
      <c r="B559" s="1">
        <v>41117</v>
      </c>
      <c r="C559">
        <v>0</v>
      </c>
      <c r="D559">
        <v>81.06</v>
      </c>
      <c r="E559">
        <v>3.3559999999999999</v>
      </c>
      <c r="F559">
        <v>130.7195806</v>
      </c>
      <c r="G559">
        <v>2048613.65</v>
      </c>
      <c r="H559" t="str">
        <f>TEXT(Ventas[[#This Row],[Fecha_venta]],"dd")</f>
        <v>27</v>
      </c>
      <c r="I559" t="str">
        <f>TEXT(Ventas[[#This Row],[Fecha_venta]],"m")</f>
        <v>7</v>
      </c>
      <c r="J559" t="str">
        <f>TEXT(Ventas[[#This Row],[Fecha_venta]],"yyyy")</f>
        <v>2012</v>
      </c>
    </row>
    <row r="560" spans="1:10" x14ac:dyDescent="0.25">
      <c r="A560">
        <v>4</v>
      </c>
      <c r="B560" s="1">
        <v>41124</v>
      </c>
      <c r="C560">
        <v>0</v>
      </c>
      <c r="D560">
        <v>83.86</v>
      </c>
      <c r="E560">
        <v>3.3740000000000001</v>
      </c>
      <c r="F560">
        <v>130.73787100000001</v>
      </c>
      <c r="G560">
        <v>2174514.13</v>
      </c>
      <c r="H560" t="str">
        <f>TEXT(Ventas[[#This Row],[Fecha_venta]],"dd")</f>
        <v>03</v>
      </c>
      <c r="I560" t="str">
        <f>TEXT(Ventas[[#This Row],[Fecha_venta]],"m")</f>
        <v>8</v>
      </c>
      <c r="J560" t="str">
        <f>TEXT(Ventas[[#This Row],[Fecha_venta]],"yyyy")</f>
        <v>2012</v>
      </c>
    </row>
    <row r="561" spans="1:10" x14ac:dyDescent="0.25">
      <c r="A561">
        <v>4</v>
      </c>
      <c r="B561" s="1">
        <v>41131</v>
      </c>
      <c r="C561">
        <v>0</v>
      </c>
      <c r="D561">
        <v>83.21</v>
      </c>
      <c r="E561">
        <v>3.476</v>
      </c>
      <c r="F561">
        <v>130.7561613</v>
      </c>
      <c r="G561">
        <v>2193367.69</v>
      </c>
      <c r="H561" t="str">
        <f>TEXT(Ventas[[#This Row],[Fecha_venta]],"dd")</f>
        <v>10</v>
      </c>
      <c r="I561" t="str">
        <f>TEXT(Ventas[[#This Row],[Fecha_venta]],"m")</f>
        <v>8</v>
      </c>
      <c r="J561" t="str">
        <f>TEXT(Ventas[[#This Row],[Fecha_venta]],"yyyy")</f>
        <v>2012</v>
      </c>
    </row>
    <row r="562" spans="1:10" x14ac:dyDescent="0.25">
      <c r="A562">
        <v>4</v>
      </c>
      <c r="B562" s="1">
        <v>41138</v>
      </c>
      <c r="C562">
        <v>0</v>
      </c>
      <c r="D562">
        <v>81.41</v>
      </c>
      <c r="E562">
        <v>3.552</v>
      </c>
      <c r="F562">
        <v>130.79096770000001</v>
      </c>
      <c r="G562">
        <v>2283540.2999999998</v>
      </c>
      <c r="H562" t="str">
        <f>TEXT(Ventas[[#This Row],[Fecha_venta]],"dd")</f>
        <v>17</v>
      </c>
      <c r="I562" t="str">
        <f>TEXT(Ventas[[#This Row],[Fecha_venta]],"m")</f>
        <v>8</v>
      </c>
      <c r="J562" t="str">
        <f>TEXT(Ventas[[#This Row],[Fecha_venta]],"yyyy")</f>
        <v>2012</v>
      </c>
    </row>
    <row r="563" spans="1:10" x14ac:dyDescent="0.25">
      <c r="A563">
        <v>4</v>
      </c>
      <c r="B563" s="1">
        <v>41145</v>
      </c>
      <c r="C563">
        <v>0</v>
      </c>
      <c r="D563">
        <v>75.760000000000005</v>
      </c>
      <c r="E563">
        <v>3.61</v>
      </c>
      <c r="F563">
        <v>130.8381613</v>
      </c>
      <c r="G563">
        <v>2125241.6800000002</v>
      </c>
      <c r="H563" t="str">
        <f>TEXT(Ventas[[#This Row],[Fecha_venta]],"dd")</f>
        <v>24</v>
      </c>
      <c r="I563" t="str">
        <f>TEXT(Ventas[[#This Row],[Fecha_venta]],"m")</f>
        <v>8</v>
      </c>
      <c r="J563" t="str">
        <f>TEXT(Ventas[[#This Row],[Fecha_venta]],"yyyy")</f>
        <v>2012</v>
      </c>
    </row>
    <row r="564" spans="1:10" x14ac:dyDescent="0.25">
      <c r="A564">
        <v>4</v>
      </c>
      <c r="B564" s="1">
        <v>41152</v>
      </c>
      <c r="C564">
        <v>0</v>
      </c>
      <c r="D564">
        <v>76.47</v>
      </c>
      <c r="E564">
        <v>3.6459999999999999</v>
      </c>
      <c r="F564">
        <v>130.88535479999999</v>
      </c>
      <c r="G564">
        <v>2081181.35</v>
      </c>
      <c r="H564" t="str">
        <f>TEXT(Ventas[[#This Row],[Fecha_venta]],"dd")</f>
        <v>31</v>
      </c>
      <c r="I564" t="str">
        <f>TEXT(Ventas[[#This Row],[Fecha_venta]],"m")</f>
        <v>8</v>
      </c>
      <c r="J564" t="str">
        <f>TEXT(Ventas[[#This Row],[Fecha_venta]],"yyyy")</f>
        <v>2012</v>
      </c>
    </row>
    <row r="565" spans="1:10" x14ac:dyDescent="0.25">
      <c r="A565">
        <v>4</v>
      </c>
      <c r="B565" s="1">
        <v>41159</v>
      </c>
      <c r="C565">
        <v>1</v>
      </c>
      <c r="D565">
        <v>82.09</v>
      </c>
      <c r="E565">
        <v>3.7090000000000001</v>
      </c>
      <c r="F565">
        <v>130.9325484</v>
      </c>
      <c r="G565">
        <v>2125104.7200000002</v>
      </c>
      <c r="H565" t="str">
        <f>TEXT(Ventas[[#This Row],[Fecha_venta]],"dd")</f>
        <v>07</v>
      </c>
      <c r="I565" t="str">
        <f>TEXT(Ventas[[#This Row],[Fecha_venta]],"m")</f>
        <v>9</v>
      </c>
      <c r="J565" t="str">
        <f>TEXT(Ventas[[#This Row],[Fecha_venta]],"yyyy")</f>
        <v>2012</v>
      </c>
    </row>
    <row r="566" spans="1:10" x14ac:dyDescent="0.25">
      <c r="A566">
        <v>4</v>
      </c>
      <c r="B566" s="1">
        <v>41166</v>
      </c>
      <c r="C566">
        <v>0</v>
      </c>
      <c r="D566">
        <v>68.2</v>
      </c>
      <c r="E566">
        <v>3.706</v>
      </c>
      <c r="F566">
        <v>130.97766669999999</v>
      </c>
      <c r="G566">
        <v>2117854.6</v>
      </c>
      <c r="H566" t="str">
        <f>TEXT(Ventas[[#This Row],[Fecha_venta]],"dd")</f>
        <v>14</v>
      </c>
      <c r="I566" t="str">
        <f>TEXT(Ventas[[#This Row],[Fecha_venta]],"m")</f>
        <v>9</v>
      </c>
      <c r="J566" t="str">
        <f>TEXT(Ventas[[#This Row],[Fecha_venta]],"yyyy")</f>
        <v>2012</v>
      </c>
    </row>
    <row r="567" spans="1:10" x14ac:dyDescent="0.25">
      <c r="A567">
        <v>4</v>
      </c>
      <c r="B567" s="1">
        <v>41173</v>
      </c>
      <c r="C567">
        <v>0</v>
      </c>
      <c r="D567">
        <v>68.97</v>
      </c>
      <c r="E567">
        <v>3.7210000000000001</v>
      </c>
      <c r="F567">
        <v>131.01033330000001</v>
      </c>
      <c r="G567">
        <v>2119438.5299999998</v>
      </c>
      <c r="H567" t="str">
        <f>TEXT(Ventas[[#This Row],[Fecha_venta]],"dd")</f>
        <v>21</v>
      </c>
      <c r="I567" t="str">
        <f>TEXT(Ventas[[#This Row],[Fecha_venta]],"m")</f>
        <v>9</v>
      </c>
      <c r="J567" t="str">
        <f>TEXT(Ventas[[#This Row],[Fecha_venta]],"yyyy")</f>
        <v>2012</v>
      </c>
    </row>
    <row r="568" spans="1:10" x14ac:dyDescent="0.25">
      <c r="A568">
        <v>4</v>
      </c>
      <c r="B568" s="1">
        <v>41180</v>
      </c>
      <c r="C568">
        <v>0</v>
      </c>
      <c r="D568">
        <v>71.739999999999995</v>
      </c>
      <c r="E568">
        <v>3.6659999999999999</v>
      </c>
      <c r="F568">
        <v>131.04300000000001</v>
      </c>
      <c r="G568">
        <v>2027620.23</v>
      </c>
      <c r="H568" t="str">
        <f>TEXT(Ventas[[#This Row],[Fecha_venta]],"dd")</f>
        <v>28</v>
      </c>
      <c r="I568" t="str">
        <f>TEXT(Ventas[[#This Row],[Fecha_venta]],"m")</f>
        <v>9</v>
      </c>
      <c r="J568" t="str">
        <f>TEXT(Ventas[[#This Row],[Fecha_venta]],"yyyy")</f>
        <v>2012</v>
      </c>
    </row>
    <row r="569" spans="1:10" x14ac:dyDescent="0.25">
      <c r="A569">
        <v>4</v>
      </c>
      <c r="B569" s="1">
        <v>41187</v>
      </c>
      <c r="C569">
        <v>0</v>
      </c>
      <c r="D569">
        <v>63.07</v>
      </c>
      <c r="E569">
        <v>3.62</v>
      </c>
      <c r="F569">
        <v>131.0756667</v>
      </c>
      <c r="G569">
        <v>2209835.4300000002</v>
      </c>
      <c r="H569" t="str">
        <f>TEXT(Ventas[[#This Row],[Fecha_venta]],"dd")</f>
        <v>05</v>
      </c>
      <c r="I569" t="str">
        <f>TEXT(Ventas[[#This Row],[Fecha_venta]],"m")</f>
        <v>10</v>
      </c>
      <c r="J569" t="str">
        <f>TEXT(Ventas[[#This Row],[Fecha_venta]],"yyyy")</f>
        <v>2012</v>
      </c>
    </row>
    <row r="570" spans="1:10" x14ac:dyDescent="0.25">
      <c r="A570">
        <v>4</v>
      </c>
      <c r="B570" s="1">
        <v>41194</v>
      </c>
      <c r="C570">
        <v>0</v>
      </c>
      <c r="D570">
        <v>57.11</v>
      </c>
      <c r="E570">
        <v>3.6030000000000002</v>
      </c>
      <c r="F570">
        <v>131.1083333</v>
      </c>
      <c r="G570">
        <v>2133026.0699999998</v>
      </c>
      <c r="H570" t="str">
        <f>TEXT(Ventas[[#This Row],[Fecha_venta]],"dd")</f>
        <v>12</v>
      </c>
      <c r="I570" t="str">
        <f>TEXT(Ventas[[#This Row],[Fecha_venta]],"m")</f>
        <v>10</v>
      </c>
      <c r="J570" t="str">
        <f>TEXT(Ventas[[#This Row],[Fecha_venta]],"yyyy")</f>
        <v>2012</v>
      </c>
    </row>
    <row r="571" spans="1:10" x14ac:dyDescent="0.25">
      <c r="A571">
        <v>4</v>
      </c>
      <c r="B571" s="1">
        <v>41208</v>
      </c>
      <c r="C571">
        <v>0</v>
      </c>
      <c r="D571">
        <v>63.64</v>
      </c>
      <c r="E571">
        <v>3.5139999999999998</v>
      </c>
      <c r="F571">
        <v>131.19309680000001</v>
      </c>
      <c r="G571">
        <v>2149594.46</v>
      </c>
      <c r="H571" t="str">
        <f>TEXT(Ventas[[#This Row],[Fecha_venta]],"dd")</f>
        <v>26</v>
      </c>
      <c r="I571" t="str">
        <f>TEXT(Ventas[[#This Row],[Fecha_venta]],"m")</f>
        <v>10</v>
      </c>
      <c r="J571" t="str">
        <f>TEXT(Ventas[[#This Row],[Fecha_venta]],"yyyy")</f>
        <v>2012</v>
      </c>
    </row>
    <row r="572" spans="1:10" x14ac:dyDescent="0.25">
      <c r="A572">
        <v>5</v>
      </c>
      <c r="B572" s="1">
        <v>40214</v>
      </c>
      <c r="C572">
        <v>0</v>
      </c>
      <c r="D572">
        <v>39.700000000000003</v>
      </c>
      <c r="E572">
        <v>2.5720000000000001</v>
      </c>
      <c r="F572">
        <v>211.65397160000001</v>
      </c>
      <c r="G572">
        <v>317173.09999999998</v>
      </c>
      <c r="H572" t="str">
        <f>TEXT(Ventas[[#This Row],[Fecha_venta]],"dd")</f>
        <v>05</v>
      </c>
      <c r="I572" t="str">
        <f>TEXT(Ventas[[#This Row],[Fecha_venta]],"m")</f>
        <v>2</v>
      </c>
      <c r="J572" t="str">
        <f>TEXT(Ventas[[#This Row],[Fecha_venta]],"yyyy")</f>
        <v>2010</v>
      </c>
    </row>
    <row r="573" spans="1:10" x14ac:dyDescent="0.25">
      <c r="A573">
        <v>5</v>
      </c>
      <c r="B573" s="1">
        <v>40221</v>
      </c>
      <c r="C573">
        <v>1</v>
      </c>
      <c r="D573">
        <v>39.81</v>
      </c>
      <c r="E573">
        <v>2.548</v>
      </c>
      <c r="F573">
        <v>211.8004698</v>
      </c>
      <c r="G573">
        <v>311825.7</v>
      </c>
      <c r="H573" t="str">
        <f>TEXT(Ventas[[#This Row],[Fecha_venta]],"dd")</f>
        <v>12</v>
      </c>
      <c r="I573" t="str">
        <f>TEXT(Ventas[[#This Row],[Fecha_venta]],"m")</f>
        <v>2</v>
      </c>
      <c r="J573" t="str">
        <f>TEXT(Ventas[[#This Row],[Fecha_venta]],"yyyy")</f>
        <v>2010</v>
      </c>
    </row>
    <row r="574" spans="1:10" x14ac:dyDescent="0.25">
      <c r="A574">
        <v>5</v>
      </c>
      <c r="B574" s="1">
        <v>40228</v>
      </c>
      <c r="C574">
        <v>0</v>
      </c>
      <c r="D574">
        <v>41.14</v>
      </c>
      <c r="E574">
        <v>2.5139999999999998</v>
      </c>
      <c r="F574">
        <v>211.84712830000001</v>
      </c>
      <c r="G574">
        <v>303447.57</v>
      </c>
      <c r="H574" t="str">
        <f>TEXT(Ventas[[#This Row],[Fecha_venta]],"dd")</f>
        <v>19</v>
      </c>
      <c r="I574" t="str">
        <f>TEXT(Ventas[[#This Row],[Fecha_venta]],"m")</f>
        <v>2</v>
      </c>
      <c r="J574" t="str">
        <f>TEXT(Ventas[[#This Row],[Fecha_venta]],"yyyy")</f>
        <v>2010</v>
      </c>
    </row>
    <row r="575" spans="1:10" x14ac:dyDescent="0.25">
      <c r="A575">
        <v>5</v>
      </c>
      <c r="B575" s="1">
        <v>40235</v>
      </c>
      <c r="C575">
        <v>0</v>
      </c>
      <c r="D575">
        <v>46.7</v>
      </c>
      <c r="E575">
        <v>2.5609999999999999</v>
      </c>
      <c r="F575">
        <v>211.87714679999999</v>
      </c>
      <c r="G575">
        <v>270281.63</v>
      </c>
      <c r="H575" t="str">
        <f>TEXT(Ventas[[#This Row],[Fecha_venta]],"dd")</f>
        <v>26</v>
      </c>
      <c r="I575" t="str">
        <f>TEXT(Ventas[[#This Row],[Fecha_venta]],"m")</f>
        <v>2</v>
      </c>
      <c r="J575" t="str">
        <f>TEXT(Ventas[[#This Row],[Fecha_venta]],"yyyy")</f>
        <v>2010</v>
      </c>
    </row>
    <row r="576" spans="1:10" x14ac:dyDescent="0.25">
      <c r="A576">
        <v>5</v>
      </c>
      <c r="B576" s="1">
        <v>40242</v>
      </c>
      <c r="C576">
        <v>0</v>
      </c>
      <c r="D576">
        <v>48.89</v>
      </c>
      <c r="E576">
        <v>2.625</v>
      </c>
      <c r="F576">
        <v>211.9071653</v>
      </c>
      <c r="G576">
        <v>288855.71000000002</v>
      </c>
      <c r="H576" t="str">
        <f>TEXT(Ventas[[#This Row],[Fecha_venta]],"dd")</f>
        <v>05</v>
      </c>
      <c r="I576" t="str">
        <f>TEXT(Ventas[[#This Row],[Fecha_venta]],"m")</f>
        <v>3</v>
      </c>
      <c r="J576" t="str">
        <f>TEXT(Ventas[[#This Row],[Fecha_venta]],"yyyy")</f>
        <v>2010</v>
      </c>
    </row>
    <row r="577" spans="1:10" x14ac:dyDescent="0.25">
      <c r="A577">
        <v>5</v>
      </c>
      <c r="B577" s="1">
        <v>40249</v>
      </c>
      <c r="C577">
        <v>0</v>
      </c>
      <c r="D577">
        <v>58.5</v>
      </c>
      <c r="E577">
        <v>2.6669999999999998</v>
      </c>
      <c r="F577">
        <v>211.93718390000001</v>
      </c>
      <c r="G577">
        <v>297293.59000000003</v>
      </c>
      <c r="H577" t="str">
        <f>TEXT(Ventas[[#This Row],[Fecha_venta]],"dd")</f>
        <v>12</v>
      </c>
      <c r="I577" t="str">
        <f>TEXT(Ventas[[#This Row],[Fecha_venta]],"m")</f>
        <v>3</v>
      </c>
      <c r="J577" t="str">
        <f>TEXT(Ventas[[#This Row],[Fecha_venta]],"yyyy")</f>
        <v>2010</v>
      </c>
    </row>
    <row r="578" spans="1:10" x14ac:dyDescent="0.25">
      <c r="A578">
        <v>5</v>
      </c>
      <c r="B578" s="1">
        <v>40256</v>
      </c>
      <c r="C578">
        <v>0</v>
      </c>
      <c r="D578">
        <v>55.46</v>
      </c>
      <c r="E578">
        <v>2.72</v>
      </c>
      <c r="F578">
        <v>211.77089699999999</v>
      </c>
      <c r="G578">
        <v>281706.40999999997</v>
      </c>
      <c r="H578" t="str">
        <f>TEXT(Ventas[[#This Row],[Fecha_venta]],"dd")</f>
        <v>19</v>
      </c>
      <c r="I578" t="str">
        <f>TEXT(Ventas[[#This Row],[Fecha_venta]],"m")</f>
        <v>3</v>
      </c>
      <c r="J578" t="str">
        <f>TEXT(Ventas[[#This Row],[Fecha_venta]],"yyyy")</f>
        <v>2010</v>
      </c>
    </row>
    <row r="579" spans="1:10" x14ac:dyDescent="0.25">
      <c r="A579">
        <v>5</v>
      </c>
      <c r="B579" s="1">
        <v>40263</v>
      </c>
      <c r="C579">
        <v>0</v>
      </c>
      <c r="D579">
        <v>52.47</v>
      </c>
      <c r="E579">
        <v>2.7320000000000002</v>
      </c>
      <c r="F579">
        <v>211.57189249999999</v>
      </c>
      <c r="G579">
        <v>273282.96999999997</v>
      </c>
      <c r="H579" t="str">
        <f>TEXT(Ventas[[#This Row],[Fecha_venta]],"dd")</f>
        <v>26</v>
      </c>
      <c r="I579" t="str">
        <f>TEXT(Ventas[[#This Row],[Fecha_venta]],"m")</f>
        <v>3</v>
      </c>
      <c r="J579" t="str">
        <f>TEXT(Ventas[[#This Row],[Fecha_venta]],"yyyy")</f>
        <v>2010</v>
      </c>
    </row>
    <row r="580" spans="1:10" x14ac:dyDescent="0.25">
      <c r="A580">
        <v>5</v>
      </c>
      <c r="B580" s="1">
        <v>40270</v>
      </c>
      <c r="C580">
        <v>0</v>
      </c>
      <c r="D580">
        <v>63.18</v>
      </c>
      <c r="E580">
        <v>2.7189999999999999</v>
      </c>
      <c r="F580">
        <v>211.37288799999999</v>
      </c>
      <c r="G580">
        <v>331406</v>
      </c>
      <c r="H580" t="str">
        <f>TEXT(Ventas[[#This Row],[Fecha_venta]],"dd")</f>
        <v>02</v>
      </c>
      <c r="I580" t="str">
        <f>TEXT(Ventas[[#This Row],[Fecha_venta]],"m")</f>
        <v>4</v>
      </c>
      <c r="J580" t="str">
        <f>TEXT(Ventas[[#This Row],[Fecha_venta]],"yyyy")</f>
        <v>2010</v>
      </c>
    </row>
    <row r="581" spans="1:10" x14ac:dyDescent="0.25">
      <c r="A581">
        <v>5</v>
      </c>
      <c r="B581" s="1">
        <v>40277</v>
      </c>
      <c r="C581">
        <v>-1</v>
      </c>
      <c r="D581">
        <v>65.19</v>
      </c>
      <c r="E581">
        <v>2.77</v>
      </c>
      <c r="F581">
        <v>211.17388349999999</v>
      </c>
      <c r="G581">
        <v>328020.49</v>
      </c>
      <c r="H581" t="str">
        <f>TEXT(Ventas[[#This Row],[Fecha_venta]],"dd")</f>
        <v>09</v>
      </c>
      <c r="I581" t="str">
        <f>TEXT(Ventas[[#This Row],[Fecha_venta]],"m")</f>
        <v>4</v>
      </c>
      <c r="J581" t="str">
        <f>TEXT(Ventas[[#This Row],[Fecha_venta]],"yyyy")</f>
        <v>2010</v>
      </c>
    </row>
    <row r="582" spans="1:10" x14ac:dyDescent="0.25">
      <c r="A582">
        <v>5</v>
      </c>
      <c r="B582" s="1">
        <v>40284</v>
      </c>
      <c r="C582">
        <v>0</v>
      </c>
      <c r="D582">
        <v>65.3</v>
      </c>
      <c r="E582">
        <v>2.8079999999999998</v>
      </c>
      <c r="F582">
        <v>211.0388528</v>
      </c>
      <c r="G582">
        <v>306858.69</v>
      </c>
      <c r="H582" t="str">
        <f>TEXT(Ventas[[#This Row],[Fecha_venta]],"dd")</f>
        <v>16</v>
      </c>
      <c r="I582" t="str">
        <f>TEXT(Ventas[[#This Row],[Fecha_venta]],"m")</f>
        <v>4</v>
      </c>
      <c r="J582" t="str">
        <f>TEXT(Ventas[[#This Row],[Fecha_venta]],"yyyy")</f>
        <v>2010</v>
      </c>
    </row>
    <row r="583" spans="1:10" x14ac:dyDescent="0.25">
      <c r="A583">
        <v>5</v>
      </c>
      <c r="B583" s="1">
        <v>40291</v>
      </c>
      <c r="C583">
        <v>0</v>
      </c>
      <c r="D583">
        <v>65.13</v>
      </c>
      <c r="E583">
        <v>2.7949999999999999</v>
      </c>
      <c r="F583">
        <v>210.98912039999999</v>
      </c>
      <c r="G583">
        <v>288839.73</v>
      </c>
      <c r="H583" t="str">
        <f>TEXT(Ventas[[#This Row],[Fecha_venta]],"dd")</f>
        <v>23</v>
      </c>
      <c r="I583" t="str">
        <f>TEXT(Ventas[[#This Row],[Fecha_venta]],"m")</f>
        <v>4</v>
      </c>
      <c r="J583" t="str">
        <f>TEXT(Ventas[[#This Row],[Fecha_venta]],"yyyy")</f>
        <v>2010</v>
      </c>
    </row>
    <row r="584" spans="1:10" x14ac:dyDescent="0.25">
      <c r="A584">
        <v>5</v>
      </c>
      <c r="B584" s="1">
        <v>40298</v>
      </c>
      <c r="C584">
        <v>0</v>
      </c>
      <c r="D584">
        <v>67.53</v>
      </c>
      <c r="E584">
        <v>2.78</v>
      </c>
      <c r="F584">
        <v>210.93938800000001</v>
      </c>
      <c r="G584">
        <v>298697.84000000003</v>
      </c>
      <c r="H584" t="str">
        <f>TEXT(Ventas[[#This Row],[Fecha_venta]],"dd")</f>
        <v>30</v>
      </c>
      <c r="I584" t="str">
        <f>TEXT(Ventas[[#This Row],[Fecha_venta]],"m")</f>
        <v>4</v>
      </c>
      <c r="J584" t="str">
        <f>TEXT(Ventas[[#This Row],[Fecha_venta]],"yyyy")</f>
        <v>2010</v>
      </c>
    </row>
    <row r="585" spans="1:10" x14ac:dyDescent="0.25">
      <c r="A585">
        <v>5</v>
      </c>
      <c r="B585" s="1">
        <v>40305</v>
      </c>
      <c r="C585">
        <v>0</v>
      </c>
      <c r="D585">
        <v>71.53</v>
      </c>
      <c r="E585">
        <v>2.835</v>
      </c>
      <c r="F585">
        <v>210.8896556</v>
      </c>
      <c r="G585">
        <v>333522.59999999998</v>
      </c>
      <c r="H585" t="str">
        <f>TEXT(Ventas[[#This Row],[Fecha_venta]],"dd")</f>
        <v>07</v>
      </c>
      <c r="I585" t="str">
        <f>TEXT(Ventas[[#This Row],[Fecha_venta]],"m")</f>
        <v>5</v>
      </c>
      <c r="J585" t="str">
        <f>TEXT(Ventas[[#This Row],[Fecha_venta]],"yyyy")</f>
        <v>2010</v>
      </c>
    </row>
    <row r="586" spans="1:10" x14ac:dyDescent="0.25">
      <c r="A586">
        <v>5</v>
      </c>
      <c r="B586" s="1">
        <v>40312</v>
      </c>
      <c r="C586">
        <v>0</v>
      </c>
      <c r="D586">
        <v>74.790000000000006</v>
      </c>
      <c r="E586">
        <v>2.8540000000000001</v>
      </c>
      <c r="F586">
        <v>210.8872772</v>
      </c>
      <c r="G586">
        <v>296673.77</v>
      </c>
      <c r="H586" t="str">
        <f>TEXT(Ventas[[#This Row],[Fecha_venta]],"dd")</f>
        <v>14</v>
      </c>
      <c r="I586" t="str">
        <f>TEXT(Ventas[[#This Row],[Fecha_venta]],"m")</f>
        <v>5</v>
      </c>
      <c r="J586" t="str">
        <f>TEXT(Ventas[[#This Row],[Fecha_venta]],"yyyy")</f>
        <v>2010</v>
      </c>
    </row>
    <row r="587" spans="1:10" x14ac:dyDescent="0.25">
      <c r="A587">
        <v>5</v>
      </c>
      <c r="B587" s="1">
        <v>40319</v>
      </c>
      <c r="C587">
        <v>0</v>
      </c>
      <c r="D587">
        <v>75.2</v>
      </c>
      <c r="E587">
        <v>2.8260000000000001</v>
      </c>
      <c r="F587">
        <v>211.16902300000001</v>
      </c>
      <c r="G587">
        <v>301615.49</v>
      </c>
      <c r="H587" t="str">
        <f>TEXT(Ventas[[#This Row],[Fecha_venta]],"dd")</f>
        <v>21</v>
      </c>
      <c r="I587" t="str">
        <f>TEXT(Ventas[[#This Row],[Fecha_venta]],"m")</f>
        <v>5</v>
      </c>
      <c r="J587" t="str">
        <f>TEXT(Ventas[[#This Row],[Fecha_venta]],"yyyy")</f>
        <v>2010</v>
      </c>
    </row>
    <row r="588" spans="1:10" x14ac:dyDescent="0.25">
      <c r="A588">
        <v>5</v>
      </c>
      <c r="B588" s="1">
        <v>40326</v>
      </c>
      <c r="C588">
        <v>0</v>
      </c>
      <c r="D588">
        <v>79.81</v>
      </c>
      <c r="E588">
        <v>2.7589999999999999</v>
      </c>
      <c r="F588">
        <v>211.45076879999999</v>
      </c>
      <c r="G588">
        <v>310013.11</v>
      </c>
      <c r="H588" t="str">
        <f>TEXT(Ventas[[#This Row],[Fecha_venta]],"dd")</f>
        <v>28</v>
      </c>
      <c r="I588" t="str">
        <f>TEXT(Ventas[[#This Row],[Fecha_venta]],"m")</f>
        <v>5</v>
      </c>
      <c r="J588" t="str">
        <f>TEXT(Ventas[[#This Row],[Fecha_venta]],"yyyy")</f>
        <v>2010</v>
      </c>
    </row>
    <row r="589" spans="1:10" x14ac:dyDescent="0.25">
      <c r="A589">
        <v>5</v>
      </c>
      <c r="B589" s="1">
        <v>40333</v>
      </c>
      <c r="C589">
        <v>0</v>
      </c>
      <c r="D589">
        <v>79.540000000000006</v>
      </c>
      <c r="E589">
        <v>2.7050000000000001</v>
      </c>
      <c r="F589">
        <v>211.7325146</v>
      </c>
      <c r="G589">
        <v>337825.89</v>
      </c>
      <c r="H589" t="str">
        <f>TEXT(Ventas[[#This Row],[Fecha_venta]],"dd")</f>
        <v>04</v>
      </c>
      <c r="I589" t="str">
        <f>TEXT(Ventas[[#This Row],[Fecha_venta]],"m")</f>
        <v>6</v>
      </c>
      <c r="J589" t="str">
        <f>TEXT(Ventas[[#This Row],[Fecha_venta]],"yyyy")</f>
        <v>2010</v>
      </c>
    </row>
    <row r="590" spans="1:10" x14ac:dyDescent="0.25">
      <c r="A590">
        <v>5</v>
      </c>
      <c r="B590" s="1">
        <v>40340</v>
      </c>
      <c r="C590">
        <v>0</v>
      </c>
      <c r="D590">
        <v>80.7</v>
      </c>
      <c r="E590">
        <v>2.6680000000000001</v>
      </c>
      <c r="F590">
        <v>212.01426050000001</v>
      </c>
      <c r="G590">
        <v>296641.90999999997</v>
      </c>
      <c r="H590" t="str">
        <f>TEXT(Ventas[[#This Row],[Fecha_venta]],"dd")</f>
        <v>11</v>
      </c>
      <c r="I590" t="str">
        <f>TEXT(Ventas[[#This Row],[Fecha_venta]],"m")</f>
        <v>6</v>
      </c>
      <c r="J590" t="str">
        <f>TEXT(Ventas[[#This Row],[Fecha_venta]],"yyyy")</f>
        <v>2010</v>
      </c>
    </row>
    <row r="591" spans="1:10" x14ac:dyDescent="0.25">
      <c r="A591">
        <v>5</v>
      </c>
      <c r="B591" s="1">
        <v>40347</v>
      </c>
      <c r="C591">
        <v>0</v>
      </c>
      <c r="D591">
        <v>83.91</v>
      </c>
      <c r="E591">
        <v>2.637</v>
      </c>
      <c r="F591">
        <v>212.01197690000001</v>
      </c>
      <c r="G591">
        <v>313795.59999999998</v>
      </c>
      <c r="H591" t="str">
        <f>TEXT(Ventas[[#This Row],[Fecha_venta]],"dd")</f>
        <v>18</v>
      </c>
      <c r="I591" t="str">
        <f>TEXT(Ventas[[#This Row],[Fecha_venta]],"m")</f>
        <v>6</v>
      </c>
      <c r="J591" t="str">
        <f>TEXT(Ventas[[#This Row],[Fecha_venta]],"yyyy")</f>
        <v>2010</v>
      </c>
    </row>
    <row r="592" spans="1:10" x14ac:dyDescent="0.25">
      <c r="A592">
        <v>5</v>
      </c>
      <c r="B592" s="1">
        <v>40354</v>
      </c>
      <c r="C592">
        <v>0</v>
      </c>
      <c r="D592">
        <v>83.72</v>
      </c>
      <c r="E592">
        <v>2.653</v>
      </c>
      <c r="F592">
        <v>211.89608150000001</v>
      </c>
      <c r="G592">
        <v>295257.3</v>
      </c>
      <c r="H592" t="str">
        <f>TEXT(Ventas[[#This Row],[Fecha_venta]],"dd")</f>
        <v>25</v>
      </c>
      <c r="I592" t="str">
        <f>TEXT(Ventas[[#This Row],[Fecha_venta]],"m")</f>
        <v>6</v>
      </c>
      <c r="J592" t="str">
        <f>TEXT(Ventas[[#This Row],[Fecha_venta]],"yyyy")</f>
        <v>2010</v>
      </c>
    </row>
    <row r="593" spans="1:10" x14ac:dyDescent="0.25">
      <c r="A593">
        <v>5</v>
      </c>
      <c r="B593" s="1">
        <v>40361</v>
      </c>
      <c r="C593">
        <v>0</v>
      </c>
      <c r="D593">
        <v>81.25</v>
      </c>
      <c r="E593">
        <v>2.669</v>
      </c>
      <c r="F593">
        <v>211.78018610000001</v>
      </c>
      <c r="G593">
        <v>305993.27</v>
      </c>
      <c r="H593" t="str">
        <f>TEXT(Ventas[[#This Row],[Fecha_venta]],"dd")</f>
        <v>02</v>
      </c>
      <c r="I593" t="str">
        <f>TEXT(Ventas[[#This Row],[Fecha_venta]],"m")</f>
        <v>7</v>
      </c>
      <c r="J593" t="str">
        <f>TEXT(Ventas[[#This Row],[Fecha_venta]],"yyyy")</f>
        <v>2010</v>
      </c>
    </row>
    <row r="594" spans="1:10" x14ac:dyDescent="0.25">
      <c r="A594">
        <v>5</v>
      </c>
      <c r="B594" s="1">
        <v>40368</v>
      </c>
      <c r="C594">
        <v>0</v>
      </c>
      <c r="D594">
        <v>81.14</v>
      </c>
      <c r="E594">
        <v>2.6419999999999999</v>
      </c>
      <c r="F594">
        <v>211.66429070000001</v>
      </c>
      <c r="G594">
        <v>291808.87</v>
      </c>
      <c r="H594" t="str">
        <f>TEXT(Ventas[[#This Row],[Fecha_venta]],"dd")</f>
        <v>09</v>
      </c>
      <c r="I594" t="str">
        <f>TEXT(Ventas[[#This Row],[Fecha_venta]],"m")</f>
        <v>7</v>
      </c>
      <c r="J594" t="str">
        <f>TEXT(Ventas[[#This Row],[Fecha_venta]],"yyyy")</f>
        <v>2010</v>
      </c>
    </row>
    <row r="595" spans="1:10" x14ac:dyDescent="0.25">
      <c r="A595">
        <v>5</v>
      </c>
      <c r="B595" s="1">
        <v>40375</v>
      </c>
      <c r="C595">
        <v>0</v>
      </c>
      <c r="D595">
        <v>83.98</v>
      </c>
      <c r="E595">
        <v>2.6230000000000002</v>
      </c>
      <c r="F595">
        <v>211.65611229999999</v>
      </c>
      <c r="G595">
        <v>280701.7</v>
      </c>
      <c r="H595" t="str">
        <f>TEXT(Ventas[[#This Row],[Fecha_venta]],"dd")</f>
        <v>16</v>
      </c>
      <c r="I595" t="str">
        <f>TEXT(Ventas[[#This Row],[Fecha_venta]],"m")</f>
        <v>7</v>
      </c>
      <c r="J595" t="str">
        <f>TEXT(Ventas[[#This Row],[Fecha_venta]],"yyyy")</f>
        <v>2010</v>
      </c>
    </row>
    <row r="596" spans="1:10" x14ac:dyDescent="0.25">
      <c r="A596">
        <v>5</v>
      </c>
      <c r="B596" s="1">
        <v>40382</v>
      </c>
      <c r="C596">
        <v>0</v>
      </c>
      <c r="D596">
        <v>83.66</v>
      </c>
      <c r="E596">
        <v>2.6080000000000001</v>
      </c>
      <c r="F596">
        <v>211.79155650000001</v>
      </c>
      <c r="G596">
        <v>274742.63</v>
      </c>
      <c r="H596" t="str">
        <f>TEXT(Ventas[[#This Row],[Fecha_venta]],"dd")</f>
        <v>23</v>
      </c>
      <c r="I596" t="str">
        <f>TEXT(Ventas[[#This Row],[Fecha_venta]],"m")</f>
        <v>7</v>
      </c>
      <c r="J596" t="str">
        <f>TEXT(Ventas[[#This Row],[Fecha_venta]],"yyyy")</f>
        <v>2010</v>
      </c>
    </row>
    <row r="597" spans="1:10" x14ac:dyDescent="0.25">
      <c r="A597">
        <v>5</v>
      </c>
      <c r="B597" s="1">
        <v>40389</v>
      </c>
      <c r="C597">
        <v>0</v>
      </c>
      <c r="D597">
        <v>82.46</v>
      </c>
      <c r="E597">
        <v>2.64</v>
      </c>
      <c r="F597">
        <v>211.92700060000001</v>
      </c>
      <c r="G597">
        <v>268929.03000000003</v>
      </c>
      <c r="H597" t="str">
        <f>TEXT(Ventas[[#This Row],[Fecha_venta]],"dd")</f>
        <v>30</v>
      </c>
      <c r="I597" t="str">
        <f>TEXT(Ventas[[#This Row],[Fecha_venta]],"m")</f>
        <v>7</v>
      </c>
      <c r="J597" t="str">
        <f>TEXT(Ventas[[#This Row],[Fecha_venta]],"yyyy")</f>
        <v>2010</v>
      </c>
    </row>
    <row r="598" spans="1:10" x14ac:dyDescent="0.25">
      <c r="A598">
        <v>5</v>
      </c>
      <c r="B598" s="1">
        <v>40396</v>
      </c>
      <c r="C598">
        <v>0</v>
      </c>
      <c r="D598">
        <v>86.1</v>
      </c>
      <c r="E598">
        <v>2.6269999999999998</v>
      </c>
      <c r="F598">
        <v>212.06244469999999</v>
      </c>
      <c r="G598">
        <v>303043.02</v>
      </c>
      <c r="H598" t="str">
        <f>TEXT(Ventas[[#This Row],[Fecha_venta]],"dd")</f>
        <v>06</v>
      </c>
      <c r="I598" t="str">
        <f>TEXT(Ventas[[#This Row],[Fecha_venta]],"m")</f>
        <v>8</v>
      </c>
      <c r="J598" t="str">
        <f>TEXT(Ventas[[#This Row],[Fecha_venta]],"yyyy")</f>
        <v>2010</v>
      </c>
    </row>
    <row r="599" spans="1:10" x14ac:dyDescent="0.25">
      <c r="A599">
        <v>5</v>
      </c>
      <c r="B599" s="1">
        <v>40403</v>
      </c>
      <c r="C599">
        <v>0</v>
      </c>
      <c r="D599">
        <v>87.41</v>
      </c>
      <c r="E599">
        <v>2.6920000000000002</v>
      </c>
      <c r="F599">
        <v>212.19788890000001</v>
      </c>
      <c r="G599">
        <v>286477.34999999998</v>
      </c>
      <c r="H599" t="str">
        <f>TEXT(Ventas[[#This Row],[Fecha_venta]],"dd")</f>
        <v>13</v>
      </c>
      <c r="I599" t="str">
        <f>TEXT(Ventas[[#This Row],[Fecha_venta]],"m")</f>
        <v>8</v>
      </c>
      <c r="J599" t="str">
        <f>TEXT(Ventas[[#This Row],[Fecha_venta]],"yyyy")</f>
        <v>2010</v>
      </c>
    </row>
    <row r="600" spans="1:10" x14ac:dyDescent="0.25">
      <c r="A600">
        <v>5</v>
      </c>
      <c r="B600" s="1">
        <v>40410</v>
      </c>
      <c r="C600">
        <v>0</v>
      </c>
      <c r="D600">
        <v>87.71</v>
      </c>
      <c r="E600">
        <v>2.6640000000000001</v>
      </c>
      <c r="F600">
        <v>212.16089840000001</v>
      </c>
      <c r="G600">
        <v>287205.38</v>
      </c>
      <c r="H600" t="str">
        <f>TEXT(Ventas[[#This Row],[Fecha_venta]],"dd")</f>
        <v>20</v>
      </c>
      <c r="I600" t="str">
        <f>TEXT(Ventas[[#This Row],[Fecha_venta]],"m")</f>
        <v>8</v>
      </c>
      <c r="J600" t="str">
        <f>TEXT(Ventas[[#This Row],[Fecha_venta]],"yyyy")</f>
        <v>2010</v>
      </c>
    </row>
    <row r="601" spans="1:10" x14ac:dyDescent="0.25">
      <c r="A601">
        <v>5</v>
      </c>
      <c r="B601" s="1">
        <v>40417</v>
      </c>
      <c r="C601">
        <v>0</v>
      </c>
      <c r="D601">
        <v>87.05</v>
      </c>
      <c r="E601">
        <v>2.6190000000000002</v>
      </c>
      <c r="F601">
        <v>212.123908</v>
      </c>
      <c r="G601">
        <v>288519.75</v>
      </c>
      <c r="H601" t="str">
        <f>TEXT(Ventas[[#This Row],[Fecha_venta]],"dd")</f>
        <v>27</v>
      </c>
      <c r="I601" t="str">
        <f>TEXT(Ventas[[#This Row],[Fecha_venta]],"m")</f>
        <v>8</v>
      </c>
      <c r="J601" t="str">
        <f>TEXT(Ventas[[#This Row],[Fecha_venta]],"yyyy")</f>
        <v>2010</v>
      </c>
    </row>
    <row r="602" spans="1:10" x14ac:dyDescent="0.25">
      <c r="A602">
        <v>5</v>
      </c>
      <c r="B602" s="1">
        <v>40424</v>
      </c>
      <c r="C602">
        <v>0</v>
      </c>
      <c r="D602">
        <v>84.06</v>
      </c>
      <c r="E602">
        <v>2.577</v>
      </c>
      <c r="F602">
        <v>212.08691759999999</v>
      </c>
      <c r="G602">
        <v>323798</v>
      </c>
      <c r="H602" t="str">
        <f>TEXT(Ventas[[#This Row],[Fecha_venta]],"dd")</f>
        <v>03</v>
      </c>
      <c r="I602" t="str">
        <f>TEXT(Ventas[[#This Row],[Fecha_venta]],"m")</f>
        <v>9</v>
      </c>
      <c r="J602" t="str">
        <f>TEXT(Ventas[[#This Row],[Fecha_venta]],"yyyy")</f>
        <v>2010</v>
      </c>
    </row>
    <row r="603" spans="1:10" x14ac:dyDescent="0.25">
      <c r="A603">
        <v>5</v>
      </c>
      <c r="B603" s="1">
        <v>40431</v>
      </c>
      <c r="C603">
        <v>1</v>
      </c>
      <c r="D603">
        <v>79.86</v>
      </c>
      <c r="E603">
        <v>2.5649999999999999</v>
      </c>
      <c r="F603">
        <v>212.04992709999999</v>
      </c>
      <c r="G603">
        <v>306533.08</v>
      </c>
      <c r="H603" t="str">
        <f>TEXT(Ventas[[#This Row],[Fecha_venta]],"dd")</f>
        <v>10</v>
      </c>
      <c r="I603" t="str">
        <f>TEXT(Ventas[[#This Row],[Fecha_venta]],"m")</f>
        <v>9</v>
      </c>
      <c r="J603" t="str">
        <f>TEXT(Ventas[[#This Row],[Fecha_venta]],"yyyy")</f>
        <v>2010</v>
      </c>
    </row>
    <row r="604" spans="1:10" x14ac:dyDescent="0.25">
      <c r="A604">
        <v>5</v>
      </c>
      <c r="B604" s="1">
        <v>40438</v>
      </c>
      <c r="C604">
        <v>0</v>
      </c>
      <c r="D604">
        <v>82.28</v>
      </c>
      <c r="E604">
        <v>2.5819999999999999</v>
      </c>
      <c r="F604">
        <v>212.07693459999999</v>
      </c>
      <c r="G604">
        <v>282558.65000000002</v>
      </c>
      <c r="H604" t="str">
        <f>TEXT(Ventas[[#This Row],[Fecha_venta]],"dd")</f>
        <v>17</v>
      </c>
      <c r="I604" t="str">
        <f>TEXT(Ventas[[#This Row],[Fecha_venta]],"m")</f>
        <v>9</v>
      </c>
      <c r="J604" t="str">
        <f>TEXT(Ventas[[#This Row],[Fecha_venta]],"yyyy")</f>
        <v>2010</v>
      </c>
    </row>
    <row r="605" spans="1:10" x14ac:dyDescent="0.25">
      <c r="A605">
        <v>5</v>
      </c>
      <c r="B605" s="1">
        <v>40445</v>
      </c>
      <c r="C605">
        <v>0</v>
      </c>
      <c r="D605">
        <v>78.53</v>
      </c>
      <c r="E605">
        <v>2.6240000000000001</v>
      </c>
      <c r="F605">
        <v>212.1519404</v>
      </c>
      <c r="G605">
        <v>293131.58</v>
      </c>
      <c r="H605" t="str">
        <f>TEXT(Ventas[[#This Row],[Fecha_venta]],"dd")</f>
        <v>24</v>
      </c>
      <c r="I605" t="str">
        <f>TEXT(Ventas[[#This Row],[Fecha_venta]],"m")</f>
        <v>9</v>
      </c>
      <c r="J605" t="str">
        <f>TEXT(Ventas[[#This Row],[Fecha_venta]],"yyyy")</f>
        <v>2010</v>
      </c>
    </row>
    <row r="606" spans="1:10" x14ac:dyDescent="0.25">
      <c r="A606">
        <v>5</v>
      </c>
      <c r="B606" s="1">
        <v>40452</v>
      </c>
      <c r="C606">
        <v>0</v>
      </c>
      <c r="D606">
        <v>71.099999999999994</v>
      </c>
      <c r="E606">
        <v>2.6030000000000002</v>
      </c>
      <c r="F606">
        <v>212.22694630000001</v>
      </c>
      <c r="G606">
        <v>283178.12</v>
      </c>
      <c r="H606" t="str">
        <f>TEXT(Ventas[[#This Row],[Fecha_venta]],"dd")</f>
        <v>01</v>
      </c>
      <c r="I606" t="str">
        <f>TEXT(Ventas[[#This Row],[Fecha_venta]],"m")</f>
        <v>10</v>
      </c>
      <c r="J606" t="str">
        <f>TEXT(Ventas[[#This Row],[Fecha_venta]],"yyyy")</f>
        <v>2010</v>
      </c>
    </row>
    <row r="607" spans="1:10" x14ac:dyDescent="0.25">
      <c r="A607">
        <v>5</v>
      </c>
      <c r="B607" s="1">
        <v>40459</v>
      </c>
      <c r="C607">
        <v>0</v>
      </c>
      <c r="D607">
        <v>64.989999999999995</v>
      </c>
      <c r="E607">
        <v>2.633</v>
      </c>
      <c r="F607">
        <v>212.30195219999999</v>
      </c>
      <c r="G607">
        <v>290494.84999999998</v>
      </c>
      <c r="H607" t="str">
        <f>TEXT(Ventas[[#This Row],[Fecha_venta]],"dd")</f>
        <v>08</v>
      </c>
      <c r="I607" t="str">
        <f>TEXT(Ventas[[#This Row],[Fecha_venta]],"m")</f>
        <v>10</v>
      </c>
      <c r="J607" t="str">
        <f>TEXT(Ventas[[#This Row],[Fecha_venta]],"yyyy")</f>
        <v>2010</v>
      </c>
    </row>
    <row r="608" spans="1:10" x14ac:dyDescent="0.25">
      <c r="A608">
        <v>5</v>
      </c>
      <c r="B608" s="1">
        <v>40466</v>
      </c>
      <c r="C608">
        <v>0</v>
      </c>
      <c r="D608">
        <v>68.11</v>
      </c>
      <c r="E608">
        <v>2.72</v>
      </c>
      <c r="F608">
        <v>212.3691867</v>
      </c>
      <c r="G608">
        <v>280681.2</v>
      </c>
      <c r="H608" t="str">
        <f>TEXT(Ventas[[#This Row],[Fecha_venta]],"dd")</f>
        <v>15</v>
      </c>
      <c r="I608" t="str">
        <f>TEXT(Ventas[[#This Row],[Fecha_venta]],"m")</f>
        <v>10</v>
      </c>
      <c r="J608" t="str">
        <f>TEXT(Ventas[[#This Row],[Fecha_venta]],"yyyy")</f>
        <v>2010</v>
      </c>
    </row>
    <row r="609" spans="1:10" x14ac:dyDescent="0.25">
      <c r="A609">
        <v>5</v>
      </c>
      <c r="B609" s="1">
        <v>40473</v>
      </c>
      <c r="C609">
        <v>0</v>
      </c>
      <c r="D609">
        <v>70.959999999999994</v>
      </c>
      <c r="E609">
        <v>2.7250000000000001</v>
      </c>
      <c r="F609">
        <v>212.4169928</v>
      </c>
      <c r="G609">
        <v>284988.27</v>
      </c>
      <c r="H609" t="str">
        <f>TEXT(Ventas[[#This Row],[Fecha_venta]],"dd")</f>
        <v>22</v>
      </c>
      <c r="I609" t="str">
        <f>TEXT(Ventas[[#This Row],[Fecha_venta]],"m")</f>
        <v>10</v>
      </c>
      <c r="J609" t="str">
        <f>TEXT(Ventas[[#This Row],[Fecha_venta]],"yyyy")</f>
        <v>2010</v>
      </c>
    </row>
    <row r="610" spans="1:10" x14ac:dyDescent="0.25">
      <c r="A610">
        <v>5</v>
      </c>
      <c r="B610" s="1">
        <v>40480</v>
      </c>
      <c r="C610">
        <v>0</v>
      </c>
      <c r="D610">
        <v>70.58</v>
      </c>
      <c r="E610">
        <v>2.7160000000000002</v>
      </c>
      <c r="F610">
        <v>212.464799</v>
      </c>
      <c r="G610">
        <v>278031.81</v>
      </c>
      <c r="H610" t="str">
        <f>TEXT(Ventas[[#This Row],[Fecha_venta]],"dd")</f>
        <v>29</v>
      </c>
      <c r="I610" t="str">
        <f>TEXT(Ventas[[#This Row],[Fecha_venta]],"m")</f>
        <v>10</v>
      </c>
      <c r="J610" t="str">
        <f>TEXT(Ventas[[#This Row],[Fecha_venta]],"yyyy")</f>
        <v>2010</v>
      </c>
    </row>
    <row r="611" spans="1:10" x14ac:dyDescent="0.25">
      <c r="A611">
        <v>5</v>
      </c>
      <c r="B611" s="1">
        <v>40487</v>
      </c>
      <c r="C611">
        <v>0</v>
      </c>
      <c r="D611">
        <v>58.88</v>
      </c>
      <c r="E611">
        <v>2.6890000000000001</v>
      </c>
      <c r="F611">
        <v>212.5126051</v>
      </c>
      <c r="G611">
        <v>325310.3</v>
      </c>
      <c r="H611" t="str">
        <f>TEXT(Ventas[[#This Row],[Fecha_venta]],"dd")</f>
        <v>05</v>
      </c>
      <c r="I611" t="str">
        <f>TEXT(Ventas[[#This Row],[Fecha_venta]],"m")</f>
        <v>11</v>
      </c>
      <c r="J611" t="str">
        <f>TEXT(Ventas[[#This Row],[Fecha_venta]],"yyyy")</f>
        <v>2010</v>
      </c>
    </row>
    <row r="612" spans="1:10" x14ac:dyDescent="0.25">
      <c r="A612">
        <v>5</v>
      </c>
      <c r="B612" s="1">
        <v>40494</v>
      </c>
      <c r="C612">
        <v>0</v>
      </c>
      <c r="D612">
        <v>62.37</v>
      </c>
      <c r="E612">
        <v>0</v>
      </c>
      <c r="F612">
        <v>212.5604113</v>
      </c>
      <c r="G612">
        <v>301827.36</v>
      </c>
      <c r="H612" t="str">
        <f>TEXT(Ventas[[#This Row],[Fecha_venta]],"dd")</f>
        <v>12</v>
      </c>
      <c r="I612" t="str">
        <f>TEXT(Ventas[[#This Row],[Fecha_venta]],"m")</f>
        <v>11</v>
      </c>
      <c r="J612" t="str">
        <f>TEXT(Ventas[[#This Row],[Fecha_venta]],"yyyy")</f>
        <v>2010</v>
      </c>
    </row>
    <row r="613" spans="1:10" x14ac:dyDescent="0.25">
      <c r="A613">
        <v>5</v>
      </c>
      <c r="B613" s="1">
        <v>40501</v>
      </c>
      <c r="C613">
        <v>0</v>
      </c>
      <c r="D613">
        <v>52.52</v>
      </c>
      <c r="E613">
        <v>2.7709999999999999</v>
      </c>
      <c r="F613">
        <v>212.44548700000001</v>
      </c>
      <c r="G613">
        <v>297384.81</v>
      </c>
      <c r="H613" t="str">
        <f>TEXT(Ventas[[#This Row],[Fecha_venta]],"dd")</f>
        <v>19</v>
      </c>
      <c r="I613" t="str">
        <f>TEXT(Ventas[[#This Row],[Fecha_venta]],"m")</f>
        <v>11</v>
      </c>
      <c r="J613" t="str">
        <f>TEXT(Ventas[[#This Row],[Fecha_venta]],"yyyy")</f>
        <v>2010</v>
      </c>
    </row>
    <row r="614" spans="1:10" x14ac:dyDescent="0.25">
      <c r="A614">
        <v>5</v>
      </c>
      <c r="B614" s="1">
        <v>40508</v>
      </c>
      <c r="C614">
        <v>1</v>
      </c>
      <c r="D614">
        <v>66.150000000000006</v>
      </c>
      <c r="E614">
        <v>2.7349999999999999</v>
      </c>
      <c r="F614">
        <v>212.30344099999999</v>
      </c>
      <c r="G614">
        <v>488362.61</v>
      </c>
      <c r="H614" t="str">
        <f>TEXT(Ventas[[#This Row],[Fecha_venta]],"dd")</f>
        <v>26</v>
      </c>
      <c r="I614" t="str">
        <f>TEXT(Ventas[[#This Row],[Fecha_venta]],"m")</f>
        <v>11</v>
      </c>
      <c r="J614" t="str">
        <f>TEXT(Ventas[[#This Row],[Fecha_venta]],"yyyy")</f>
        <v>2010</v>
      </c>
    </row>
    <row r="615" spans="1:10" x14ac:dyDescent="0.25">
      <c r="A615">
        <v>5</v>
      </c>
      <c r="B615" s="1">
        <v>40515</v>
      </c>
      <c r="C615">
        <v>0</v>
      </c>
      <c r="D615">
        <v>51.31</v>
      </c>
      <c r="E615">
        <v>2.7080000000000002</v>
      </c>
      <c r="F615">
        <v>212.16139509999999</v>
      </c>
      <c r="G615">
        <v>344490.88</v>
      </c>
      <c r="H615" t="str">
        <f>TEXT(Ventas[[#This Row],[Fecha_venta]],"dd")</f>
        <v>03</v>
      </c>
      <c r="I615" t="str">
        <f>TEXT(Ventas[[#This Row],[Fecha_venta]],"m")</f>
        <v>12</v>
      </c>
      <c r="J615" t="str">
        <f>TEXT(Ventas[[#This Row],[Fecha_venta]],"yyyy")</f>
        <v>2010</v>
      </c>
    </row>
    <row r="616" spans="1:10" x14ac:dyDescent="0.25">
      <c r="A616">
        <v>5</v>
      </c>
      <c r="B616" s="1">
        <v>40522</v>
      </c>
      <c r="C616">
        <v>0</v>
      </c>
      <c r="D616">
        <v>48.27</v>
      </c>
      <c r="E616">
        <v>2.843</v>
      </c>
      <c r="F616">
        <v>212.0193491</v>
      </c>
      <c r="G616">
        <v>352811.53</v>
      </c>
      <c r="H616" t="str">
        <f>TEXT(Ventas[[#This Row],[Fecha_venta]],"dd")</f>
        <v>10</v>
      </c>
      <c r="I616" t="str">
        <f>TEXT(Ventas[[#This Row],[Fecha_venta]],"m")</f>
        <v>12</v>
      </c>
      <c r="J616" t="str">
        <f>TEXT(Ventas[[#This Row],[Fecha_venta]],"yyyy")</f>
        <v>2010</v>
      </c>
    </row>
    <row r="617" spans="1:10" x14ac:dyDescent="0.25">
      <c r="A617">
        <v>5</v>
      </c>
      <c r="B617" s="1">
        <v>40529</v>
      </c>
      <c r="C617">
        <v>0</v>
      </c>
      <c r="D617">
        <v>51.61</v>
      </c>
      <c r="E617">
        <v>2.8690000000000002</v>
      </c>
      <c r="F617">
        <v>211.95808149999999</v>
      </c>
      <c r="G617">
        <v>367801.19</v>
      </c>
      <c r="H617" t="str">
        <f>TEXT(Ventas[[#This Row],[Fecha_venta]],"dd")</f>
        <v>17</v>
      </c>
      <c r="I617" t="str">
        <f>TEXT(Ventas[[#This Row],[Fecha_venta]],"m")</f>
        <v>12</v>
      </c>
      <c r="J617" t="str">
        <f>TEXT(Ventas[[#This Row],[Fecha_venta]],"yyyy")</f>
        <v>2010</v>
      </c>
    </row>
    <row r="618" spans="1:10" x14ac:dyDescent="0.25">
      <c r="A618">
        <v>5</v>
      </c>
      <c r="B618" s="1">
        <v>40536</v>
      </c>
      <c r="C618">
        <v>0</v>
      </c>
      <c r="D618">
        <v>55.01</v>
      </c>
      <c r="E618">
        <v>2.8860000000000001</v>
      </c>
      <c r="F618">
        <v>211.9573978</v>
      </c>
      <c r="G618">
        <v>466010.25</v>
      </c>
      <c r="H618" t="str">
        <f>TEXT(Ventas[[#This Row],[Fecha_venta]],"dd")</f>
        <v>24</v>
      </c>
      <c r="I618" t="str">
        <f>TEXT(Ventas[[#This Row],[Fecha_venta]],"m")</f>
        <v>12</v>
      </c>
      <c r="J618" t="str">
        <f>TEXT(Ventas[[#This Row],[Fecha_venta]],"yyyy")</f>
        <v>2010</v>
      </c>
    </row>
    <row r="619" spans="1:10" x14ac:dyDescent="0.25">
      <c r="A619">
        <v>5</v>
      </c>
      <c r="B619" s="1">
        <v>40543</v>
      </c>
      <c r="C619">
        <v>1</v>
      </c>
      <c r="D619">
        <v>49.79</v>
      </c>
      <c r="E619">
        <v>2.9430000000000001</v>
      </c>
      <c r="F619">
        <v>211.95671419999999</v>
      </c>
      <c r="G619">
        <v>298180.18</v>
      </c>
      <c r="H619" t="str">
        <f>TEXT(Ventas[[#This Row],[Fecha_venta]],"dd")</f>
        <v>31</v>
      </c>
      <c r="I619" t="str">
        <f>TEXT(Ventas[[#This Row],[Fecha_venta]],"m")</f>
        <v>12</v>
      </c>
      <c r="J619" t="str">
        <f>TEXT(Ventas[[#This Row],[Fecha_venta]],"yyyy")</f>
        <v>2010</v>
      </c>
    </row>
    <row r="620" spans="1:10" x14ac:dyDescent="0.25">
      <c r="A620">
        <v>5</v>
      </c>
      <c r="B620" s="1">
        <v>40550</v>
      </c>
      <c r="C620">
        <v>0</v>
      </c>
      <c r="D620">
        <v>48.3</v>
      </c>
      <c r="E620">
        <v>2.976</v>
      </c>
      <c r="F620">
        <v>211.9560305</v>
      </c>
      <c r="G620">
        <v>286347.26</v>
      </c>
      <c r="H620" t="str">
        <f>TEXT(Ventas[[#This Row],[Fecha_venta]],"dd")</f>
        <v>07</v>
      </c>
      <c r="I620" t="str">
        <f>TEXT(Ventas[[#This Row],[Fecha_venta]],"m")</f>
        <v>1</v>
      </c>
      <c r="J620" t="str">
        <f>TEXT(Ventas[[#This Row],[Fecha_venta]],"yyyy")</f>
        <v>2011</v>
      </c>
    </row>
    <row r="621" spans="1:10" x14ac:dyDescent="0.25">
      <c r="A621">
        <v>5</v>
      </c>
      <c r="B621" s="1">
        <v>40557</v>
      </c>
      <c r="C621">
        <v>0</v>
      </c>
      <c r="D621">
        <v>37.74</v>
      </c>
      <c r="E621">
        <v>2.9830000000000001</v>
      </c>
      <c r="F621">
        <v>212.00851399999999</v>
      </c>
      <c r="G621">
        <v>260636.71</v>
      </c>
      <c r="H621" t="str">
        <f>TEXT(Ventas[[#This Row],[Fecha_venta]],"dd")</f>
        <v>14</v>
      </c>
      <c r="I621" t="str">
        <f>TEXT(Ventas[[#This Row],[Fecha_venta]],"m")</f>
        <v>1</v>
      </c>
      <c r="J621" t="str">
        <f>TEXT(Ventas[[#This Row],[Fecha_venta]],"yyyy")</f>
        <v>2011</v>
      </c>
    </row>
    <row r="622" spans="1:10" x14ac:dyDescent="0.25">
      <c r="A622">
        <v>5</v>
      </c>
      <c r="B622" s="1">
        <v>40564</v>
      </c>
      <c r="C622">
        <v>0</v>
      </c>
      <c r="D622">
        <v>45.41</v>
      </c>
      <c r="E622">
        <v>3.016</v>
      </c>
      <c r="F622">
        <v>212.38000120000001</v>
      </c>
      <c r="G622">
        <v>275313.34000000003</v>
      </c>
      <c r="H622" t="str">
        <f>TEXT(Ventas[[#This Row],[Fecha_venta]],"dd")</f>
        <v>21</v>
      </c>
      <c r="I622" t="str">
        <f>TEXT(Ventas[[#This Row],[Fecha_venta]],"m")</f>
        <v>1</v>
      </c>
      <c r="J622" t="str">
        <f>TEXT(Ventas[[#This Row],[Fecha_venta]],"yyyy")</f>
        <v>2011</v>
      </c>
    </row>
    <row r="623" spans="1:10" x14ac:dyDescent="0.25">
      <c r="A623">
        <v>5</v>
      </c>
      <c r="B623" s="1">
        <v>40571</v>
      </c>
      <c r="C623">
        <v>0</v>
      </c>
      <c r="D623">
        <v>44.5</v>
      </c>
      <c r="E623">
        <v>3.01</v>
      </c>
      <c r="F623">
        <v>212.7514884</v>
      </c>
      <c r="G623">
        <v>279088.39</v>
      </c>
      <c r="H623" t="str">
        <f>TEXT(Ventas[[#This Row],[Fecha_venta]],"dd")</f>
        <v>28</v>
      </c>
      <c r="I623" t="str">
        <f>TEXT(Ventas[[#This Row],[Fecha_venta]],"m")</f>
        <v>1</v>
      </c>
      <c r="J623" t="str">
        <f>TEXT(Ventas[[#This Row],[Fecha_venta]],"yyyy")</f>
        <v>2011</v>
      </c>
    </row>
    <row r="624" spans="1:10" x14ac:dyDescent="0.25">
      <c r="A624">
        <v>5</v>
      </c>
      <c r="B624" s="1">
        <v>40578</v>
      </c>
      <c r="C624">
        <v>0</v>
      </c>
      <c r="D624">
        <v>41.67</v>
      </c>
      <c r="E624">
        <v>2.9889999999999999</v>
      </c>
      <c r="F624">
        <v>213.1229755</v>
      </c>
      <c r="G624">
        <v>329613.2</v>
      </c>
      <c r="H624" t="str">
        <f>TEXT(Ventas[[#This Row],[Fecha_venta]],"dd")</f>
        <v>04</v>
      </c>
      <c r="I624" t="str">
        <f>TEXT(Ventas[[#This Row],[Fecha_venta]],"m")</f>
        <v>2</v>
      </c>
      <c r="J624" t="str">
        <f>TEXT(Ventas[[#This Row],[Fecha_venta]],"yyyy")</f>
        <v>2011</v>
      </c>
    </row>
    <row r="625" spans="1:10" x14ac:dyDescent="0.25">
      <c r="A625">
        <v>5</v>
      </c>
      <c r="B625" s="1">
        <v>40585</v>
      </c>
      <c r="C625">
        <v>1</v>
      </c>
      <c r="D625">
        <v>38.25</v>
      </c>
      <c r="E625">
        <v>3.0219999999999998</v>
      </c>
      <c r="F625">
        <v>213.49446270000001</v>
      </c>
      <c r="G625">
        <v>311590.53999999998</v>
      </c>
      <c r="H625" t="str">
        <f>TEXT(Ventas[[#This Row],[Fecha_venta]],"dd")</f>
        <v>11</v>
      </c>
      <c r="I625" t="str">
        <f>TEXT(Ventas[[#This Row],[Fecha_venta]],"m")</f>
        <v>2</v>
      </c>
      <c r="J625" t="str">
        <f>TEXT(Ventas[[#This Row],[Fecha_venta]],"yyyy")</f>
        <v>2011</v>
      </c>
    </row>
    <row r="626" spans="1:10" x14ac:dyDescent="0.25">
      <c r="A626">
        <v>5</v>
      </c>
      <c r="B626" s="1">
        <v>40592</v>
      </c>
      <c r="C626">
        <v>0</v>
      </c>
      <c r="D626">
        <v>58.83</v>
      </c>
      <c r="E626">
        <v>3.0449999999999999</v>
      </c>
      <c r="F626">
        <v>213.8068304</v>
      </c>
      <c r="G626">
        <v>356622.61</v>
      </c>
      <c r="H626" t="str">
        <f>TEXT(Ventas[[#This Row],[Fecha_venta]],"dd")</f>
        <v>18</v>
      </c>
      <c r="I626" t="str">
        <f>TEXT(Ventas[[#This Row],[Fecha_venta]],"m")</f>
        <v>2</v>
      </c>
      <c r="J626" t="str">
        <f>TEXT(Ventas[[#This Row],[Fecha_venta]],"yyyy")</f>
        <v>2011</v>
      </c>
    </row>
    <row r="627" spans="1:10" x14ac:dyDescent="0.25">
      <c r="A627">
        <v>5</v>
      </c>
      <c r="B627" s="1">
        <v>40599</v>
      </c>
      <c r="C627">
        <v>0</v>
      </c>
      <c r="D627">
        <v>63.35</v>
      </c>
      <c r="E627">
        <v>3.0649999999999999</v>
      </c>
      <c r="F627">
        <v>214.09555030000001</v>
      </c>
      <c r="G627">
        <v>294659.5</v>
      </c>
      <c r="H627" t="str">
        <f>TEXT(Ventas[[#This Row],[Fecha_venta]],"dd")</f>
        <v>25</v>
      </c>
      <c r="I627" t="str">
        <f>TEXT(Ventas[[#This Row],[Fecha_venta]],"m")</f>
        <v>2</v>
      </c>
      <c r="J627" t="str">
        <f>TEXT(Ventas[[#This Row],[Fecha_venta]],"yyyy")</f>
        <v>2011</v>
      </c>
    </row>
    <row r="628" spans="1:10" x14ac:dyDescent="0.25">
      <c r="A628">
        <v>5</v>
      </c>
      <c r="B628" s="1">
        <v>40606</v>
      </c>
      <c r="C628">
        <v>0</v>
      </c>
      <c r="D628">
        <v>60.35</v>
      </c>
      <c r="E628">
        <v>3.2879999999999998</v>
      </c>
      <c r="F628">
        <v>214.3842702</v>
      </c>
      <c r="G628">
        <v>329033.65999999997</v>
      </c>
      <c r="H628" t="str">
        <f>TEXT(Ventas[[#This Row],[Fecha_venta]],"dd")</f>
        <v>04</v>
      </c>
      <c r="I628" t="str">
        <f>TEXT(Ventas[[#This Row],[Fecha_venta]],"m")</f>
        <v>3</v>
      </c>
      <c r="J628" t="str">
        <f>TEXT(Ventas[[#This Row],[Fecha_venta]],"yyyy")</f>
        <v>2011</v>
      </c>
    </row>
    <row r="629" spans="1:10" x14ac:dyDescent="0.25">
      <c r="A629">
        <v>5</v>
      </c>
      <c r="B629" s="1">
        <v>40613</v>
      </c>
      <c r="C629">
        <v>0</v>
      </c>
      <c r="D629">
        <v>55.74</v>
      </c>
      <c r="E629">
        <v>3.4590000000000001</v>
      </c>
      <c r="F629">
        <v>214.67299009999999</v>
      </c>
      <c r="G629">
        <v>293098.09999999998</v>
      </c>
      <c r="H629" t="str">
        <f>TEXT(Ventas[[#This Row],[Fecha_venta]],"dd")</f>
        <v>11</v>
      </c>
      <c r="I629" t="str">
        <f>TEXT(Ventas[[#This Row],[Fecha_venta]],"m")</f>
        <v>3</v>
      </c>
      <c r="J629" t="str">
        <f>TEXT(Ventas[[#This Row],[Fecha_venta]],"yyyy")</f>
        <v>2011</v>
      </c>
    </row>
    <row r="630" spans="1:10" x14ac:dyDescent="0.25">
      <c r="A630">
        <v>5</v>
      </c>
      <c r="B630" s="1">
        <v>40620</v>
      </c>
      <c r="C630">
        <v>0</v>
      </c>
      <c r="D630">
        <v>64.31</v>
      </c>
      <c r="E630">
        <v>3.488</v>
      </c>
      <c r="F630">
        <v>214.92573390000001</v>
      </c>
      <c r="G630">
        <v>312177.67</v>
      </c>
      <c r="H630" t="str">
        <f>TEXT(Ventas[[#This Row],[Fecha_venta]],"dd")</f>
        <v>18</v>
      </c>
      <c r="I630" t="str">
        <f>TEXT(Ventas[[#This Row],[Fecha_venta]],"m")</f>
        <v>3</v>
      </c>
      <c r="J630" t="str">
        <f>TEXT(Ventas[[#This Row],[Fecha_venta]],"yyyy")</f>
        <v>2011</v>
      </c>
    </row>
    <row r="631" spans="1:10" x14ac:dyDescent="0.25">
      <c r="A631">
        <v>5</v>
      </c>
      <c r="B631" s="1">
        <v>40627</v>
      </c>
      <c r="C631">
        <v>0</v>
      </c>
      <c r="D631">
        <v>70.709999999999994</v>
      </c>
      <c r="E631">
        <v>3.4729999999999999</v>
      </c>
      <c r="F631">
        <v>215.16408720000001</v>
      </c>
      <c r="G631">
        <v>294732.5</v>
      </c>
      <c r="H631" t="str">
        <f>TEXT(Ventas[[#This Row],[Fecha_venta]],"dd")</f>
        <v>25</v>
      </c>
      <c r="I631" t="str">
        <f>TEXT(Ventas[[#This Row],[Fecha_venta]],"m")</f>
        <v>3</v>
      </c>
      <c r="J631" t="str">
        <f>TEXT(Ventas[[#This Row],[Fecha_venta]],"yyyy")</f>
        <v>2011</v>
      </c>
    </row>
    <row r="632" spans="1:10" x14ac:dyDescent="0.25">
      <c r="A632">
        <v>5</v>
      </c>
      <c r="B632" s="1">
        <v>40634</v>
      </c>
      <c r="C632">
        <v>0</v>
      </c>
      <c r="D632">
        <v>61.5</v>
      </c>
      <c r="E632">
        <v>3.524</v>
      </c>
      <c r="F632">
        <v>215.40244060000001</v>
      </c>
      <c r="G632">
        <v>314316.55</v>
      </c>
      <c r="H632" t="str">
        <f>TEXT(Ventas[[#This Row],[Fecha_venta]],"dd")</f>
        <v>01</v>
      </c>
      <c r="I632" t="str">
        <f>TEXT(Ventas[[#This Row],[Fecha_venta]],"m")</f>
        <v>4</v>
      </c>
      <c r="J632" t="str">
        <f>TEXT(Ventas[[#This Row],[Fecha_venta]],"yyyy")</f>
        <v>2011</v>
      </c>
    </row>
    <row r="633" spans="1:10" x14ac:dyDescent="0.25">
      <c r="A633">
        <v>5</v>
      </c>
      <c r="B633" s="1">
        <v>40641</v>
      </c>
      <c r="C633">
        <v>0</v>
      </c>
      <c r="D633">
        <v>69.64</v>
      </c>
      <c r="E633">
        <v>3.6219999999999999</v>
      </c>
      <c r="F633">
        <v>215.64079390000001</v>
      </c>
      <c r="G633">
        <v>307333.62</v>
      </c>
      <c r="H633" t="str">
        <f>TEXT(Ventas[[#This Row],[Fecha_venta]],"dd")</f>
        <v>08</v>
      </c>
      <c r="I633" t="str">
        <f>TEXT(Ventas[[#This Row],[Fecha_venta]],"m")</f>
        <v>4</v>
      </c>
      <c r="J633" t="str">
        <f>TEXT(Ventas[[#This Row],[Fecha_venta]],"yyyy")</f>
        <v>2011</v>
      </c>
    </row>
    <row r="634" spans="1:10" x14ac:dyDescent="0.25">
      <c r="A634">
        <v>5</v>
      </c>
      <c r="B634" s="1">
        <v>40648</v>
      </c>
      <c r="C634">
        <v>0</v>
      </c>
      <c r="D634">
        <v>72.02</v>
      </c>
      <c r="E634">
        <v>3.7429999999999999</v>
      </c>
      <c r="F634">
        <v>215.8592673</v>
      </c>
      <c r="G634">
        <v>307913.58</v>
      </c>
      <c r="H634" t="str">
        <f>TEXT(Ventas[[#This Row],[Fecha_venta]],"dd")</f>
        <v>15</v>
      </c>
      <c r="I634" t="str">
        <f>TEXT(Ventas[[#This Row],[Fecha_venta]],"m")</f>
        <v>4</v>
      </c>
      <c r="J634" t="str">
        <f>TEXT(Ventas[[#This Row],[Fecha_venta]],"yyyy")</f>
        <v>2011</v>
      </c>
    </row>
    <row r="635" spans="1:10" x14ac:dyDescent="0.25">
      <c r="A635">
        <v>5</v>
      </c>
      <c r="B635" s="1">
        <v>40655</v>
      </c>
      <c r="C635">
        <v>0</v>
      </c>
      <c r="D635">
        <v>74.34</v>
      </c>
      <c r="E635">
        <v>3.8069999999999999</v>
      </c>
      <c r="F635">
        <v>216.02804069999999</v>
      </c>
      <c r="G635">
        <v>328415.44</v>
      </c>
      <c r="H635" t="str">
        <f>TEXT(Ventas[[#This Row],[Fecha_venta]],"dd")</f>
        <v>22</v>
      </c>
      <c r="I635" t="str">
        <f>TEXT(Ventas[[#This Row],[Fecha_venta]],"m")</f>
        <v>4</v>
      </c>
      <c r="J635" t="str">
        <f>TEXT(Ventas[[#This Row],[Fecha_venta]],"yyyy")</f>
        <v>2011</v>
      </c>
    </row>
    <row r="636" spans="1:10" x14ac:dyDescent="0.25">
      <c r="A636">
        <v>5</v>
      </c>
      <c r="B636" s="1">
        <v>40662</v>
      </c>
      <c r="C636">
        <v>0</v>
      </c>
      <c r="D636">
        <v>74.75</v>
      </c>
      <c r="E636">
        <v>3.81</v>
      </c>
      <c r="F636">
        <v>216.19681420000001</v>
      </c>
      <c r="G636">
        <v>307291.56</v>
      </c>
      <c r="H636" t="str">
        <f>TEXT(Ventas[[#This Row],[Fecha_venta]],"dd")</f>
        <v>29</v>
      </c>
      <c r="I636" t="str">
        <f>TEXT(Ventas[[#This Row],[Fecha_venta]],"m")</f>
        <v>4</v>
      </c>
      <c r="J636" t="str">
        <f>TEXT(Ventas[[#This Row],[Fecha_venta]],"yyyy")</f>
        <v>2011</v>
      </c>
    </row>
    <row r="637" spans="1:10" x14ac:dyDescent="0.25">
      <c r="A637">
        <v>5</v>
      </c>
      <c r="B637" s="1">
        <v>40669</v>
      </c>
      <c r="C637">
        <v>0</v>
      </c>
      <c r="D637">
        <v>66.27</v>
      </c>
      <c r="E637">
        <v>3.9060000000000001</v>
      </c>
      <c r="F637">
        <v>216.36558769999999</v>
      </c>
      <c r="G637">
        <v>322904.68</v>
      </c>
      <c r="H637" t="str">
        <f>TEXT(Ventas[[#This Row],[Fecha_venta]],"dd")</f>
        <v>06</v>
      </c>
      <c r="I637" t="str">
        <f>TEXT(Ventas[[#This Row],[Fecha_venta]],"m")</f>
        <v>5</v>
      </c>
      <c r="J637" t="str">
        <f>TEXT(Ventas[[#This Row],[Fecha_venta]],"yyyy")</f>
        <v>2011</v>
      </c>
    </row>
    <row r="638" spans="1:10" x14ac:dyDescent="0.25">
      <c r="A638">
        <v>5</v>
      </c>
      <c r="B638" s="1">
        <v>40676</v>
      </c>
      <c r="C638">
        <v>0</v>
      </c>
      <c r="D638">
        <v>77.38</v>
      </c>
      <c r="E638">
        <v>3.899</v>
      </c>
      <c r="F638">
        <v>216.53436110000001</v>
      </c>
      <c r="G638">
        <v>290930.01</v>
      </c>
      <c r="H638" t="str">
        <f>TEXT(Ventas[[#This Row],[Fecha_venta]],"dd")</f>
        <v>13</v>
      </c>
      <c r="I638" t="str">
        <f>TEXT(Ventas[[#This Row],[Fecha_venta]],"m")</f>
        <v>5</v>
      </c>
      <c r="J638" t="str">
        <f>TEXT(Ventas[[#This Row],[Fecha_venta]],"yyyy")</f>
        <v>2011</v>
      </c>
    </row>
    <row r="639" spans="1:10" x14ac:dyDescent="0.25">
      <c r="A639">
        <v>5</v>
      </c>
      <c r="B639" s="1">
        <v>40683</v>
      </c>
      <c r="C639">
        <v>0</v>
      </c>
      <c r="D639">
        <v>71.37</v>
      </c>
      <c r="E639">
        <v>3.907</v>
      </c>
      <c r="F639">
        <v>216.3023847</v>
      </c>
      <c r="G639">
        <v>299614.33</v>
      </c>
      <c r="H639" t="str">
        <f>TEXT(Ventas[[#This Row],[Fecha_venta]],"dd")</f>
        <v>20</v>
      </c>
      <c r="I639" t="str">
        <f>TEXT(Ventas[[#This Row],[Fecha_venta]],"m")</f>
        <v>5</v>
      </c>
      <c r="J639" t="str">
        <f>TEXT(Ventas[[#This Row],[Fecha_venta]],"yyyy")</f>
        <v>2011</v>
      </c>
    </row>
    <row r="640" spans="1:10" x14ac:dyDescent="0.25">
      <c r="A640">
        <v>5</v>
      </c>
      <c r="B640" s="1">
        <v>40690</v>
      </c>
      <c r="C640">
        <v>0</v>
      </c>
      <c r="D640">
        <v>80.14</v>
      </c>
      <c r="E640">
        <v>3.786</v>
      </c>
      <c r="F640">
        <v>216.0704083</v>
      </c>
      <c r="G640">
        <v>297149.69</v>
      </c>
      <c r="H640" t="str">
        <f>TEXT(Ventas[[#This Row],[Fecha_venta]],"dd")</f>
        <v>27</v>
      </c>
      <c r="I640" t="str">
        <f>TEXT(Ventas[[#This Row],[Fecha_venta]],"m")</f>
        <v>5</v>
      </c>
      <c r="J640" t="str">
        <f>TEXT(Ventas[[#This Row],[Fecha_venta]],"yyyy")</f>
        <v>2011</v>
      </c>
    </row>
    <row r="641" spans="1:10" x14ac:dyDescent="0.25">
      <c r="A641">
        <v>5</v>
      </c>
      <c r="B641" s="1">
        <v>40697</v>
      </c>
      <c r="C641">
        <v>0</v>
      </c>
      <c r="D641">
        <v>83.81</v>
      </c>
      <c r="E641">
        <v>3.6989999999999998</v>
      </c>
      <c r="F641">
        <v>215.83843189999999</v>
      </c>
      <c r="G641">
        <v>329183.92</v>
      </c>
      <c r="H641" t="str">
        <f>TEXT(Ventas[[#This Row],[Fecha_venta]],"dd")</f>
        <v>03</v>
      </c>
      <c r="I641" t="str">
        <f>TEXT(Ventas[[#This Row],[Fecha_venta]],"m")</f>
        <v>6</v>
      </c>
      <c r="J641" t="str">
        <f>TEXT(Ventas[[#This Row],[Fecha_venta]],"yyyy")</f>
        <v>2011</v>
      </c>
    </row>
    <row r="642" spans="1:10" x14ac:dyDescent="0.25">
      <c r="A642">
        <v>5</v>
      </c>
      <c r="B642" s="1">
        <v>40704</v>
      </c>
      <c r="C642">
        <v>0</v>
      </c>
      <c r="D642">
        <v>83.61</v>
      </c>
      <c r="E642">
        <v>3.6480000000000001</v>
      </c>
      <c r="F642">
        <v>215.60645550000001</v>
      </c>
      <c r="G642">
        <v>304984.14</v>
      </c>
      <c r="H642" t="str">
        <f>TEXT(Ventas[[#This Row],[Fecha_venta]],"dd")</f>
        <v>10</v>
      </c>
      <c r="I642" t="str">
        <f>TEXT(Ventas[[#This Row],[Fecha_venta]],"m")</f>
        <v>6</v>
      </c>
      <c r="J642" t="str">
        <f>TEXT(Ventas[[#This Row],[Fecha_venta]],"yyyy")</f>
        <v>2011</v>
      </c>
    </row>
    <row r="643" spans="1:10" x14ac:dyDescent="0.25">
      <c r="A643">
        <v>5</v>
      </c>
      <c r="B643" s="1">
        <v>40711</v>
      </c>
      <c r="C643">
        <v>0</v>
      </c>
      <c r="D643">
        <v>86.84</v>
      </c>
      <c r="E643">
        <v>3.637</v>
      </c>
      <c r="F643">
        <v>215.560463</v>
      </c>
      <c r="G643">
        <v>304811.82</v>
      </c>
      <c r="H643" t="str">
        <f>TEXT(Ventas[[#This Row],[Fecha_venta]],"dd")</f>
        <v>17</v>
      </c>
      <c r="I643" t="str">
        <f>TEXT(Ventas[[#This Row],[Fecha_venta]],"m")</f>
        <v>6</v>
      </c>
      <c r="J643" t="str">
        <f>TEXT(Ventas[[#This Row],[Fecha_venta]],"yyyy")</f>
        <v>2011</v>
      </c>
    </row>
    <row r="644" spans="1:10" x14ac:dyDescent="0.25">
      <c r="A644">
        <v>5</v>
      </c>
      <c r="B644" s="1">
        <v>40718</v>
      </c>
      <c r="C644">
        <v>0</v>
      </c>
      <c r="D644">
        <v>84.76</v>
      </c>
      <c r="E644">
        <v>3.5939999999999999</v>
      </c>
      <c r="F644">
        <v>215.6539583</v>
      </c>
      <c r="G644">
        <v>302881.64</v>
      </c>
      <c r="H644" t="str">
        <f>TEXT(Ventas[[#This Row],[Fecha_venta]],"dd")</f>
        <v>24</v>
      </c>
      <c r="I644" t="str">
        <f>TEXT(Ventas[[#This Row],[Fecha_venta]],"m")</f>
        <v>6</v>
      </c>
      <c r="J644" t="str">
        <f>TEXT(Ventas[[#This Row],[Fecha_venta]],"yyyy")</f>
        <v>2011</v>
      </c>
    </row>
    <row r="645" spans="1:10" x14ac:dyDescent="0.25">
      <c r="A645">
        <v>5</v>
      </c>
      <c r="B645" s="1">
        <v>40725</v>
      </c>
      <c r="C645">
        <v>0</v>
      </c>
      <c r="D645">
        <v>85.81</v>
      </c>
      <c r="E645">
        <v>3.524</v>
      </c>
      <c r="F645">
        <v>215.74745369999999</v>
      </c>
      <c r="G645">
        <v>327093.89</v>
      </c>
      <c r="H645" t="str">
        <f>TEXT(Ventas[[#This Row],[Fecha_venta]],"dd")</f>
        <v>01</v>
      </c>
      <c r="I645" t="str">
        <f>TEXT(Ventas[[#This Row],[Fecha_venta]],"m")</f>
        <v>7</v>
      </c>
      <c r="J645" t="str">
        <f>TEXT(Ventas[[#This Row],[Fecha_venta]],"yyyy")</f>
        <v>2011</v>
      </c>
    </row>
    <row r="646" spans="1:10" x14ac:dyDescent="0.25">
      <c r="A646">
        <v>5</v>
      </c>
      <c r="B646" s="1">
        <v>40732</v>
      </c>
      <c r="C646">
        <v>0</v>
      </c>
      <c r="D646">
        <v>86.64</v>
      </c>
      <c r="E646">
        <v>3.48</v>
      </c>
      <c r="F646">
        <v>215.84094909999999</v>
      </c>
      <c r="G646">
        <v>310804.93</v>
      </c>
      <c r="H646" t="str">
        <f>TEXT(Ventas[[#This Row],[Fecha_venta]],"dd")</f>
        <v>08</v>
      </c>
      <c r="I646" t="str">
        <f>TEXT(Ventas[[#This Row],[Fecha_venta]],"m")</f>
        <v>7</v>
      </c>
      <c r="J646" t="str">
        <f>TEXT(Ventas[[#This Row],[Fecha_venta]],"yyyy")</f>
        <v>2011</v>
      </c>
    </row>
    <row r="647" spans="1:10" x14ac:dyDescent="0.25">
      <c r="A647">
        <v>5</v>
      </c>
      <c r="B647" s="1">
        <v>40739</v>
      </c>
      <c r="C647">
        <v>0</v>
      </c>
      <c r="D647">
        <v>88.64</v>
      </c>
      <c r="E647">
        <v>3.5750000000000002</v>
      </c>
      <c r="F647">
        <v>215.9250696</v>
      </c>
      <c r="G647">
        <v>283248.62</v>
      </c>
      <c r="H647" t="str">
        <f>TEXT(Ventas[[#This Row],[Fecha_venta]],"dd")</f>
        <v>15</v>
      </c>
      <c r="I647" t="str">
        <f>TEXT(Ventas[[#This Row],[Fecha_venta]],"m")</f>
        <v>7</v>
      </c>
      <c r="J647" t="str">
        <f>TEXT(Ventas[[#This Row],[Fecha_venta]],"yyyy")</f>
        <v>2011</v>
      </c>
    </row>
    <row r="648" spans="1:10" x14ac:dyDescent="0.25">
      <c r="A648">
        <v>5</v>
      </c>
      <c r="B648" s="1">
        <v>40746</v>
      </c>
      <c r="C648">
        <v>0</v>
      </c>
      <c r="D648">
        <v>86.97</v>
      </c>
      <c r="E648">
        <v>3.6509999999999998</v>
      </c>
      <c r="F648">
        <v>215.98575299999999</v>
      </c>
      <c r="G648">
        <v>292539.73</v>
      </c>
      <c r="H648" t="str">
        <f>TEXT(Ventas[[#This Row],[Fecha_venta]],"dd")</f>
        <v>22</v>
      </c>
      <c r="I648" t="str">
        <f>TEXT(Ventas[[#This Row],[Fecha_venta]],"m")</f>
        <v>7</v>
      </c>
      <c r="J648" t="str">
        <f>TEXT(Ventas[[#This Row],[Fecha_venta]],"yyyy")</f>
        <v>2011</v>
      </c>
    </row>
    <row r="649" spans="1:10" x14ac:dyDescent="0.25">
      <c r="A649">
        <v>5</v>
      </c>
      <c r="B649" s="1">
        <v>40753</v>
      </c>
      <c r="C649">
        <v>0</v>
      </c>
      <c r="D649">
        <v>89.42</v>
      </c>
      <c r="E649">
        <v>3.6819999999999999</v>
      </c>
      <c r="F649">
        <v>216.0464364</v>
      </c>
      <c r="G649">
        <v>275142.17</v>
      </c>
      <c r="H649" t="str">
        <f>TEXT(Ventas[[#This Row],[Fecha_venta]],"dd")</f>
        <v>29</v>
      </c>
      <c r="I649" t="str">
        <f>TEXT(Ventas[[#This Row],[Fecha_venta]],"m")</f>
        <v>7</v>
      </c>
      <c r="J649" t="str">
        <f>TEXT(Ventas[[#This Row],[Fecha_venta]],"yyyy")</f>
        <v>2011</v>
      </c>
    </row>
    <row r="650" spans="1:10" x14ac:dyDescent="0.25">
      <c r="A650">
        <v>5</v>
      </c>
      <c r="B650" s="1">
        <v>40760</v>
      </c>
      <c r="C650">
        <v>0</v>
      </c>
      <c r="D650">
        <v>91.07</v>
      </c>
      <c r="E650">
        <v>3.6840000000000002</v>
      </c>
      <c r="F650">
        <v>216.10711979999999</v>
      </c>
      <c r="G650">
        <v>317738.56</v>
      </c>
      <c r="H650" t="str">
        <f>TEXT(Ventas[[#This Row],[Fecha_venta]],"dd")</f>
        <v>05</v>
      </c>
      <c r="I650" t="str">
        <f>TEXT(Ventas[[#This Row],[Fecha_venta]],"m")</f>
        <v>8</v>
      </c>
      <c r="J650" t="str">
        <f>TEXT(Ventas[[#This Row],[Fecha_venta]],"yyyy")</f>
        <v>2011</v>
      </c>
    </row>
    <row r="651" spans="1:10" x14ac:dyDescent="0.25">
      <c r="A651">
        <v>5</v>
      </c>
      <c r="B651" s="1">
        <v>40767</v>
      </c>
      <c r="C651">
        <v>0</v>
      </c>
      <c r="D651">
        <v>90.16</v>
      </c>
      <c r="E651">
        <v>3.6379999999999999</v>
      </c>
      <c r="F651">
        <v>216.16780320000001</v>
      </c>
      <c r="G651">
        <v>289886.15999999997</v>
      </c>
      <c r="H651" t="str">
        <f>TEXT(Ventas[[#This Row],[Fecha_venta]],"dd")</f>
        <v>12</v>
      </c>
      <c r="I651" t="str">
        <f>TEXT(Ventas[[#This Row],[Fecha_venta]],"m")</f>
        <v>8</v>
      </c>
      <c r="J651" t="str">
        <f>TEXT(Ventas[[#This Row],[Fecha_venta]],"yyyy")</f>
        <v>2011</v>
      </c>
    </row>
    <row r="652" spans="1:10" x14ac:dyDescent="0.25">
      <c r="A652">
        <v>5</v>
      </c>
      <c r="B652" s="1">
        <v>40774</v>
      </c>
      <c r="C652">
        <v>0</v>
      </c>
      <c r="D652">
        <v>89.35</v>
      </c>
      <c r="E652">
        <v>3.5539999999999998</v>
      </c>
      <c r="F652">
        <v>216.23118550000001</v>
      </c>
      <c r="G652">
        <v>303643.84000000003</v>
      </c>
      <c r="H652" t="str">
        <f>TEXT(Ventas[[#This Row],[Fecha_venta]],"dd")</f>
        <v>19</v>
      </c>
      <c r="I652" t="str">
        <f>TEXT(Ventas[[#This Row],[Fecha_venta]],"m")</f>
        <v>8</v>
      </c>
      <c r="J652" t="str">
        <f>TEXT(Ventas[[#This Row],[Fecha_venta]],"yyyy")</f>
        <v>2011</v>
      </c>
    </row>
    <row r="653" spans="1:10" x14ac:dyDescent="0.25">
      <c r="A653">
        <v>5</v>
      </c>
      <c r="B653" s="1">
        <v>40781</v>
      </c>
      <c r="C653">
        <v>0</v>
      </c>
      <c r="D653">
        <v>89.18</v>
      </c>
      <c r="E653">
        <v>3.5230000000000001</v>
      </c>
      <c r="F653">
        <v>216.29501759999999</v>
      </c>
      <c r="G653">
        <v>310338.17</v>
      </c>
      <c r="H653" t="str">
        <f>TEXT(Ventas[[#This Row],[Fecha_venta]],"dd")</f>
        <v>26</v>
      </c>
      <c r="I653" t="str">
        <f>TEXT(Ventas[[#This Row],[Fecha_venta]],"m")</f>
        <v>8</v>
      </c>
      <c r="J653" t="str">
        <f>TEXT(Ventas[[#This Row],[Fecha_venta]],"yyyy")</f>
        <v>2011</v>
      </c>
    </row>
    <row r="654" spans="1:10" x14ac:dyDescent="0.25">
      <c r="A654">
        <v>5</v>
      </c>
      <c r="B654" s="1">
        <v>40788</v>
      </c>
      <c r="C654">
        <v>0</v>
      </c>
      <c r="D654">
        <v>90.38</v>
      </c>
      <c r="E654">
        <v>3.5329999999999999</v>
      </c>
      <c r="F654">
        <v>216.3588498</v>
      </c>
      <c r="G654">
        <v>315645.53000000003</v>
      </c>
      <c r="H654" t="str">
        <f>TEXT(Ventas[[#This Row],[Fecha_venta]],"dd")</f>
        <v>02</v>
      </c>
      <c r="I654" t="str">
        <f>TEXT(Ventas[[#This Row],[Fecha_venta]],"m")</f>
        <v>9</v>
      </c>
      <c r="J654" t="str">
        <f>TEXT(Ventas[[#This Row],[Fecha_venta]],"yyyy")</f>
        <v>2011</v>
      </c>
    </row>
    <row r="655" spans="1:10" x14ac:dyDescent="0.25">
      <c r="A655">
        <v>5</v>
      </c>
      <c r="B655" s="1">
        <v>40795</v>
      </c>
      <c r="C655">
        <v>1</v>
      </c>
      <c r="D655">
        <v>79.040000000000006</v>
      </c>
      <c r="E655">
        <v>3.5459999999999998</v>
      </c>
      <c r="F655">
        <v>216.42268189999999</v>
      </c>
      <c r="G655">
        <v>321110.21999999997</v>
      </c>
      <c r="H655" t="str">
        <f>TEXT(Ventas[[#This Row],[Fecha_venta]],"dd")</f>
        <v>09</v>
      </c>
      <c r="I655" t="str">
        <f>TEXT(Ventas[[#This Row],[Fecha_venta]],"m")</f>
        <v>9</v>
      </c>
      <c r="J655" t="str">
        <f>TEXT(Ventas[[#This Row],[Fecha_venta]],"yyyy")</f>
        <v>2011</v>
      </c>
    </row>
    <row r="656" spans="1:10" x14ac:dyDescent="0.25">
      <c r="A656">
        <v>5</v>
      </c>
      <c r="B656" s="1">
        <v>40802</v>
      </c>
      <c r="C656">
        <v>0</v>
      </c>
      <c r="D656">
        <v>83.55</v>
      </c>
      <c r="E656">
        <v>3.5259999999999998</v>
      </c>
      <c r="F656">
        <v>216.60330830000001</v>
      </c>
      <c r="G656">
        <v>278529.71000000002</v>
      </c>
      <c r="H656" t="str">
        <f>TEXT(Ventas[[#This Row],[Fecha_venta]],"dd")</f>
        <v>16</v>
      </c>
      <c r="I656" t="str">
        <f>TEXT(Ventas[[#This Row],[Fecha_venta]],"m")</f>
        <v>9</v>
      </c>
      <c r="J656" t="str">
        <f>TEXT(Ventas[[#This Row],[Fecha_venta]],"yyyy")</f>
        <v>2011</v>
      </c>
    </row>
    <row r="657" spans="1:10" x14ac:dyDescent="0.25">
      <c r="A657">
        <v>5</v>
      </c>
      <c r="B657" s="1">
        <v>40809</v>
      </c>
      <c r="C657">
        <v>0</v>
      </c>
      <c r="D657">
        <v>78.010000000000005</v>
      </c>
      <c r="E657">
        <v>3.4670000000000001</v>
      </c>
      <c r="F657">
        <v>216.9396605</v>
      </c>
      <c r="G657">
        <v>291024.98</v>
      </c>
      <c r="H657" t="str">
        <f>TEXT(Ventas[[#This Row],[Fecha_venta]],"dd")</f>
        <v>23</v>
      </c>
      <c r="I657" t="str">
        <f>TEXT(Ventas[[#This Row],[Fecha_venta]],"m")</f>
        <v>9</v>
      </c>
      <c r="J657" t="str">
        <f>TEXT(Ventas[[#This Row],[Fecha_venta]],"yyyy")</f>
        <v>2011</v>
      </c>
    </row>
    <row r="658" spans="1:10" x14ac:dyDescent="0.25">
      <c r="A658">
        <v>5</v>
      </c>
      <c r="B658" s="1">
        <v>40816</v>
      </c>
      <c r="C658">
        <v>0</v>
      </c>
      <c r="D658">
        <v>81.16</v>
      </c>
      <c r="E658">
        <v>3.355</v>
      </c>
      <c r="F658">
        <v>217.2760127</v>
      </c>
      <c r="G658">
        <v>292315.38</v>
      </c>
      <c r="H658" t="str">
        <f>TEXT(Ventas[[#This Row],[Fecha_venta]],"dd")</f>
        <v>30</v>
      </c>
      <c r="I658" t="str">
        <f>TEXT(Ventas[[#This Row],[Fecha_venta]],"m")</f>
        <v>9</v>
      </c>
      <c r="J658" t="str">
        <f>TEXT(Ventas[[#This Row],[Fecha_venta]],"yyyy")</f>
        <v>2011</v>
      </c>
    </row>
    <row r="659" spans="1:10" x14ac:dyDescent="0.25">
      <c r="A659">
        <v>5</v>
      </c>
      <c r="B659" s="1">
        <v>40823</v>
      </c>
      <c r="C659">
        <v>0</v>
      </c>
      <c r="D659">
        <v>71.64</v>
      </c>
      <c r="E659">
        <v>3.2850000000000001</v>
      </c>
      <c r="F659">
        <v>217.61236479999999</v>
      </c>
      <c r="G659">
        <v>309111.46999999997</v>
      </c>
      <c r="H659" t="str">
        <f>TEXT(Ventas[[#This Row],[Fecha_venta]],"dd")</f>
        <v>07</v>
      </c>
      <c r="I659" t="str">
        <f>TEXT(Ventas[[#This Row],[Fecha_venta]],"m")</f>
        <v>10</v>
      </c>
      <c r="J659" t="str">
        <f>TEXT(Ventas[[#This Row],[Fecha_venta]],"yyyy")</f>
        <v>2011</v>
      </c>
    </row>
    <row r="660" spans="1:10" x14ac:dyDescent="0.25">
      <c r="A660">
        <v>5</v>
      </c>
      <c r="B660" s="1">
        <v>40830</v>
      </c>
      <c r="C660">
        <v>0</v>
      </c>
      <c r="D660">
        <v>72.36</v>
      </c>
      <c r="E660">
        <v>3.274</v>
      </c>
      <c r="F660">
        <v>217.92374580000001</v>
      </c>
      <c r="G660">
        <v>286117.71999999997</v>
      </c>
      <c r="H660" t="str">
        <f>TEXT(Ventas[[#This Row],[Fecha_venta]],"dd")</f>
        <v>14</v>
      </c>
      <c r="I660" t="str">
        <f>TEXT(Ventas[[#This Row],[Fecha_venta]],"m")</f>
        <v>10</v>
      </c>
      <c r="J660" t="str">
        <f>TEXT(Ventas[[#This Row],[Fecha_venta]],"yyyy")</f>
        <v>2011</v>
      </c>
    </row>
    <row r="661" spans="1:10" x14ac:dyDescent="0.25">
      <c r="A661">
        <v>5</v>
      </c>
      <c r="B661" s="1">
        <v>40837</v>
      </c>
      <c r="C661">
        <v>0</v>
      </c>
      <c r="D661">
        <v>66.900000000000006</v>
      </c>
      <c r="E661">
        <v>3.3530000000000002</v>
      </c>
      <c r="F661">
        <v>218.0852999</v>
      </c>
      <c r="G661">
        <v>306069.18</v>
      </c>
      <c r="H661" t="str">
        <f>TEXT(Ventas[[#This Row],[Fecha_venta]],"dd")</f>
        <v>21</v>
      </c>
      <c r="I661" t="str">
        <f>TEXT(Ventas[[#This Row],[Fecha_venta]],"m")</f>
        <v>10</v>
      </c>
      <c r="J661" t="str">
        <f>TEXT(Ventas[[#This Row],[Fecha_venta]],"yyyy")</f>
        <v>2011</v>
      </c>
    </row>
    <row r="662" spans="1:10" x14ac:dyDescent="0.25">
      <c r="A662">
        <v>5</v>
      </c>
      <c r="B662" s="1">
        <v>40844</v>
      </c>
      <c r="C662">
        <v>0</v>
      </c>
      <c r="D662">
        <v>69.27</v>
      </c>
      <c r="E662">
        <v>3.3719999999999999</v>
      </c>
      <c r="F662">
        <v>218.24685389999999</v>
      </c>
      <c r="G662">
        <v>307035.11</v>
      </c>
      <c r="H662" t="str">
        <f>TEXT(Ventas[[#This Row],[Fecha_venta]],"dd")</f>
        <v>28</v>
      </c>
      <c r="I662" t="str">
        <f>TEXT(Ventas[[#This Row],[Fecha_venta]],"m")</f>
        <v>10</v>
      </c>
      <c r="J662" t="str">
        <f>TEXT(Ventas[[#This Row],[Fecha_venta]],"yyyy")</f>
        <v>2011</v>
      </c>
    </row>
    <row r="663" spans="1:10" x14ac:dyDescent="0.25">
      <c r="A663">
        <v>5</v>
      </c>
      <c r="B663" s="1">
        <v>40851</v>
      </c>
      <c r="C663">
        <v>0</v>
      </c>
      <c r="D663">
        <v>56.71</v>
      </c>
      <c r="E663">
        <v>3.3319999999999999</v>
      </c>
      <c r="F663">
        <v>218.40840800000001</v>
      </c>
      <c r="G663">
        <v>353652.23</v>
      </c>
      <c r="H663" t="str">
        <f>TEXT(Ventas[[#This Row],[Fecha_venta]],"dd")</f>
        <v>04</v>
      </c>
      <c r="I663" t="str">
        <f>TEXT(Ventas[[#This Row],[Fecha_venta]],"m")</f>
        <v>11</v>
      </c>
      <c r="J663" t="str">
        <f>TEXT(Ventas[[#This Row],[Fecha_venta]],"yyyy")</f>
        <v>2011</v>
      </c>
    </row>
    <row r="664" spans="1:10" x14ac:dyDescent="0.25">
      <c r="A664">
        <v>5</v>
      </c>
      <c r="B664" s="1">
        <v>40858</v>
      </c>
      <c r="C664">
        <v>0</v>
      </c>
      <c r="D664">
        <v>60.71</v>
      </c>
      <c r="E664">
        <v>3.2970000000000002</v>
      </c>
      <c r="F664">
        <v>218.5699621</v>
      </c>
      <c r="G664">
        <v>311906.7</v>
      </c>
      <c r="H664" t="str">
        <f>TEXT(Ventas[[#This Row],[Fecha_venta]],"dd")</f>
        <v>11</v>
      </c>
      <c r="I664" t="str">
        <f>TEXT(Ventas[[#This Row],[Fecha_venta]],"m")</f>
        <v>11</v>
      </c>
      <c r="J664" t="str">
        <f>TEXT(Ventas[[#This Row],[Fecha_venta]],"yyyy")</f>
        <v>2011</v>
      </c>
    </row>
    <row r="665" spans="1:10" x14ac:dyDescent="0.25">
      <c r="A665">
        <v>5</v>
      </c>
      <c r="B665" s="1">
        <v>40865</v>
      </c>
      <c r="C665">
        <v>0</v>
      </c>
      <c r="D665">
        <v>64.33</v>
      </c>
      <c r="E665">
        <v>3.3079999999999998</v>
      </c>
      <c r="F665">
        <v>218.79391200000001</v>
      </c>
      <c r="G665">
        <v>307944.37</v>
      </c>
      <c r="H665" t="str">
        <f>TEXT(Ventas[[#This Row],[Fecha_venta]],"dd")</f>
        <v>18</v>
      </c>
      <c r="I665" t="str">
        <f>TEXT(Ventas[[#This Row],[Fecha_venta]],"m")</f>
        <v>11</v>
      </c>
      <c r="J665" t="str">
        <f>TEXT(Ventas[[#This Row],[Fecha_venta]],"yyyy")</f>
        <v>2011</v>
      </c>
    </row>
    <row r="666" spans="1:10" x14ac:dyDescent="0.25">
      <c r="A666">
        <v>5</v>
      </c>
      <c r="B666" s="1">
        <v>40872</v>
      </c>
      <c r="C666">
        <v>1</v>
      </c>
      <c r="D666">
        <v>61.93</v>
      </c>
      <c r="E666">
        <v>3.2360000000000002</v>
      </c>
      <c r="F666">
        <v>219.04282040000001</v>
      </c>
      <c r="G666">
        <v>507900.07</v>
      </c>
      <c r="H666" t="str">
        <f>TEXT(Ventas[[#This Row],[Fecha_venta]],"dd")</f>
        <v>25</v>
      </c>
      <c r="I666" t="str">
        <f>TEXT(Ventas[[#This Row],[Fecha_venta]],"m")</f>
        <v>11</v>
      </c>
      <c r="J666" t="str">
        <f>TEXT(Ventas[[#This Row],[Fecha_venta]],"yyyy")</f>
        <v>2011</v>
      </c>
    </row>
    <row r="667" spans="1:10" x14ac:dyDescent="0.25">
      <c r="A667">
        <v>5</v>
      </c>
      <c r="B667" s="1">
        <v>40879</v>
      </c>
      <c r="C667">
        <v>0</v>
      </c>
      <c r="D667">
        <v>51.14</v>
      </c>
      <c r="E667">
        <v>3.1720000000000002</v>
      </c>
      <c r="F667">
        <v>219.29172869999999</v>
      </c>
      <c r="G667">
        <v>376225.61</v>
      </c>
      <c r="H667" t="str">
        <f>TEXT(Ventas[[#This Row],[Fecha_venta]],"dd")</f>
        <v>02</v>
      </c>
      <c r="I667" t="str">
        <f>TEXT(Ventas[[#This Row],[Fecha_venta]],"m")</f>
        <v>12</v>
      </c>
      <c r="J667" t="str">
        <f>TEXT(Ventas[[#This Row],[Fecha_venta]],"yyyy")</f>
        <v>2011</v>
      </c>
    </row>
    <row r="668" spans="1:10" x14ac:dyDescent="0.25">
      <c r="A668">
        <v>5</v>
      </c>
      <c r="B668" s="1">
        <v>40886</v>
      </c>
      <c r="C668">
        <v>0</v>
      </c>
      <c r="D668">
        <v>44.12</v>
      </c>
      <c r="E668">
        <v>3.1579999999999999</v>
      </c>
      <c r="F668">
        <v>219.540637</v>
      </c>
      <c r="G668">
        <v>367433.77</v>
      </c>
      <c r="H668" t="str">
        <f>TEXT(Ventas[[#This Row],[Fecha_venta]],"dd")</f>
        <v>09</v>
      </c>
      <c r="I668" t="str">
        <f>TEXT(Ventas[[#This Row],[Fecha_venta]],"m")</f>
        <v>12</v>
      </c>
      <c r="J668" t="str">
        <f>TEXT(Ventas[[#This Row],[Fecha_venta]],"yyyy")</f>
        <v>2011</v>
      </c>
    </row>
    <row r="669" spans="1:10" x14ac:dyDescent="0.25">
      <c r="A669">
        <v>5</v>
      </c>
      <c r="B669" s="1">
        <v>40893</v>
      </c>
      <c r="C669">
        <v>0</v>
      </c>
      <c r="D669">
        <v>54.42</v>
      </c>
      <c r="E669">
        <v>3.1589999999999998</v>
      </c>
      <c r="F669">
        <v>219.75962659999999</v>
      </c>
      <c r="G669">
        <v>379530.3</v>
      </c>
      <c r="H669" t="str">
        <f>TEXT(Ventas[[#This Row],[Fecha_venta]],"dd")</f>
        <v>16</v>
      </c>
      <c r="I669" t="str">
        <f>TEXT(Ventas[[#This Row],[Fecha_venta]],"m")</f>
        <v>12</v>
      </c>
      <c r="J669" t="str">
        <f>TEXT(Ventas[[#This Row],[Fecha_venta]],"yyyy")</f>
        <v>2011</v>
      </c>
    </row>
    <row r="670" spans="1:10" x14ac:dyDescent="0.25">
      <c r="A670">
        <v>5</v>
      </c>
      <c r="B670" s="1">
        <v>40900</v>
      </c>
      <c r="C670">
        <v>0</v>
      </c>
      <c r="D670">
        <v>50.33</v>
      </c>
      <c r="E670">
        <v>3.1120000000000001</v>
      </c>
      <c r="F670">
        <v>219.9387246</v>
      </c>
      <c r="G670">
        <v>458562.24</v>
      </c>
      <c r="H670" t="str">
        <f>TEXT(Ventas[[#This Row],[Fecha_venta]],"dd")</f>
        <v>23</v>
      </c>
      <c r="I670" t="str">
        <f>TEXT(Ventas[[#This Row],[Fecha_venta]],"m")</f>
        <v>12</v>
      </c>
      <c r="J670" t="str">
        <f>TEXT(Ventas[[#This Row],[Fecha_venta]],"yyyy")</f>
        <v>2011</v>
      </c>
    </row>
    <row r="671" spans="1:10" x14ac:dyDescent="0.25">
      <c r="A671">
        <v>5</v>
      </c>
      <c r="B671" s="1">
        <v>40907</v>
      </c>
      <c r="C671">
        <v>1</v>
      </c>
      <c r="D671">
        <v>45.62</v>
      </c>
      <c r="E671">
        <v>3.129</v>
      </c>
      <c r="F671">
        <v>220.11782260000001</v>
      </c>
      <c r="G671">
        <v>349624.88</v>
      </c>
      <c r="H671" t="str">
        <f>TEXT(Ventas[[#This Row],[Fecha_venta]],"dd")</f>
        <v>30</v>
      </c>
      <c r="I671" t="str">
        <f>TEXT(Ventas[[#This Row],[Fecha_venta]],"m")</f>
        <v>12</v>
      </c>
      <c r="J671" t="str">
        <f>TEXT(Ventas[[#This Row],[Fecha_venta]],"yyyy")</f>
        <v>2011</v>
      </c>
    </row>
    <row r="672" spans="1:10" x14ac:dyDescent="0.25">
      <c r="A672">
        <v>5</v>
      </c>
      <c r="B672" s="1">
        <v>40914</v>
      </c>
      <c r="C672">
        <v>0</v>
      </c>
      <c r="D672">
        <v>50.21</v>
      </c>
      <c r="E672">
        <v>3.157</v>
      </c>
      <c r="F672">
        <v>220.2969205</v>
      </c>
      <c r="G672">
        <v>312078.71000000002</v>
      </c>
      <c r="H672" t="str">
        <f>TEXT(Ventas[[#This Row],[Fecha_venta]],"dd")</f>
        <v>06</v>
      </c>
      <c r="I672" t="str">
        <f>TEXT(Ventas[[#This Row],[Fecha_venta]],"m")</f>
        <v>1</v>
      </c>
      <c r="J672" t="str">
        <f>TEXT(Ventas[[#This Row],[Fecha_venta]],"yyyy")</f>
        <v>2012</v>
      </c>
    </row>
    <row r="673" spans="1:10" x14ac:dyDescent="0.25">
      <c r="A673">
        <v>5</v>
      </c>
      <c r="B673" s="1">
        <v>40921</v>
      </c>
      <c r="C673">
        <v>0</v>
      </c>
      <c r="D673">
        <v>48.86</v>
      </c>
      <c r="E673">
        <v>3.2610000000000001</v>
      </c>
      <c r="F673">
        <v>220.47601850000001</v>
      </c>
      <c r="G673">
        <v>291454.52</v>
      </c>
      <c r="H673" t="str">
        <f>TEXT(Ventas[[#This Row],[Fecha_venta]],"dd")</f>
        <v>13</v>
      </c>
      <c r="I673" t="str">
        <f>TEXT(Ventas[[#This Row],[Fecha_venta]],"m")</f>
        <v>1</v>
      </c>
      <c r="J673" t="str">
        <f>TEXT(Ventas[[#This Row],[Fecha_venta]],"yyyy")</f>
        <v>2012</v>
      </c>
    </row>
    <row r="674" spans="1:10" x14ac:dyDescent="0.25">
      <c r="A674">
        <v>5</v>
      </c>
      <c r="B674" s="1">
        <v>40928</v>
      </c>
      <c r="C674">
        <v>0</v>
      </c>
      <c r="D674">
        <v>54.65</v>
      </c>
      <c r="E674">
        <v>3.2679999999999998</v>
      </c>
      <c r="F674">
        <v>220.56941040000001</v>
      </c>
      <c r="G674">
        <v>287523.98</v>
      </c>
      <c r="H674" t="str">
        <f>TEXT(Ventas[[#This Row],[Fecha_venta]],"dd")</f>
        <v>20</v>
      </c>
      <c r="I674" t="str">
        <f>TEXT(Ventas[[#This Row],[Fecha_venta]],"m")</f>
        <v>1</v>
      </c>
      <c r="J674" t="str">
        <f>TEXT(Ventas[[#This Row],[Fecha_venta]],"yyyy")</f>
        <v>2012</v>
      </c>
    </row>
    <row r="675" spans="1:10" x14ac:dyDescent="0.25">
      <c r="A675">
        <v>5</v>
      </c>
      <c r="B675" s="1">
        <v>40935</v>
      </c>
      <c r="C675">
        <v>0</v>
      </c>
      <c r="D675">
        <v>54.63</v>
      </c>
      <c r="E675">
        <v>3.29</v>
      </c>
      <c r="F675">
        <v>220.66280230000001</v>
      </c>
      <c r="G675">
        <v>295974.21999999997</v>
      </c>
      <c r="H675" t="str">
        <f>TEXT(Ventas[[#This Row],[Fecha_venta]],"dd")</f>
        <v>27</v>
      </c>
      <c r="I675" t="str">
        <f>TEXT(Ventas[[#This Row],[Fecha_venta]],"m")</f>
        <v>1</v>
      </c>
      <c r="J675" t="str">
        <f>TEXT(Ventas[[#This Row],[Fecha_venta]],"yyyy")</f>
        <v>2012</v>
      </c>
    </row>
    <row r="676" spans="1:10" x14ac:dyDescent="0.25">
      <c r="A676">
        <v>5</v>
      </c>
      <c r="B676" s="1">
        <v>40942</v>
      </c>
      <c r="C676">
        <v>0</v>
      </c>
      <c r="D676">
        <v>57.35</v>
      </c>
      <c r="E676">
        <v>3.36</v>
      </c>
      <c r="F676">
        <v>220.75619409999999</v>
      </c>
      <c r="G676">
        <v>333948</v>
      </c>
      <c r="H676" t="str">
        <f>TEXT(Ventas[[#This Row],[Fecha_venta]],"dd")</f>
        <v>03</v>
      </c>
      <c r="I676" t="str">
        <f>TEXT(Ventas[[#This Row],[Fecha_venta]],"m")</f>
        <v>2</v>
      </c>
      <c r="J676" t="str">
        <f>TEXT(Ventas[[#This Row],[Fecha_venta]],"yyyy")</f>
        <v>2012</v>
      </c>
    </row>
    <row r="677" spans="1:10" x14ac:dyDescent="0.25">
      <c r="A677">
        <v>5</v>
      </c>
      <c r="B677" s="1">
        <v>40949</v>
      </c>
      <c r="C677">
        <v>1</v>
      </c>
      <c r="D677">
        <v>48.57</v>
      </c>
      <c r="E677">
        <v>3.4089999999999998</v>
      </c>
      <c r="F677">
        <v>220.84958599999999</v>
      </c>
      <c r="G677">
        <v>349239.88</v>
      </c>
      <c r="H677" t="str">
        <f>TEXT(Ventas[[#This Row],[Fecha_venta]],"dd")</f>
        <v>10</v>
      </c>
      <c r="I677" t="str">
        <f>TEXT(Ventas[[#This Row],[Fecha_venta]],"m")</f>
        <v>2</v>
      </c>
      <c r="J677" t="str">
        <f>TEXT(Ventas[[#This Row],[Fecha_venta]],"yyyy")</f>
        <v>2012</v>
      </c>
    </row>
    <row r="678" spans="1:10" x14ac:dyDescent="0.25">
      <c r="A678">
        <v>5</v>
      </c>
      <c r="B678" s="1">
        <v>40956</v>
      </c>
      <c r="C678">
        <v>0</v>
      </c>
      <c r="D678">
        <v>48.25</v>
      </c>
      <c r="E678">
        <v>3.51</v>
      </c>
      <c r="F678">
        <v>221.0106341</v>
      </c>
      <c r="G678">
        <v>356427.98</v>
      </c>
      <c r="H678" t="str">
        <f>TEXT(Ventas[[#This Row],[Fecha_venta]],"dd")</f>
        <v>17</v>
      </c>
      <c r="I678" t="str">
        <f>TEXT(Ventas[[#This Row],[Fecha_venta]],"m")</f>
        <v>2</v>
      </c>
      <c r="J678" t="str">
        <f>TEXT(Ventas[[#This Row],[Fecha_venta]],"yyyy")</f>
        <v>2012</v>
      </c>
    </row>
    <row r="679" spans="1:10" x14ac:dyDescent="0.25">
      <c r="A679">
        <v>5</v>
      </c>
      <c r="B679" s="1">
        <v>40963</v>
      </c>
      <c r="C679">
        <v>0</v>
      </c>
      <c r="D679">
        <v>57.75</v>
      </c>
      <c r="E679">
        <v>3.5550000000000002</v>
      </c>
      <c r="F679">
        <v>221.2224243</v>
      </c>
      <c r="G679">
        <v>312220.46999999997</v>
      </c>
      <c r="H679" t="str">
        <f>TEXT(Ventas[[#This Row],[Fecha_venta]],"dd")</f>
        <v>24</v>
      </c>
      <c r="I679" t="str">
        <f>TEXT(Ventas[[#This Row],[Fecha_venta]],"m")</f>
        <v>2</v>
      </c>
      <c r="J679" t="str">
        <f>TEXT(Ventas[[#This Row],[Fecha_venta]],"yyyy")</f>
        <v>2012</v>
      </c>
    </row>
    <row r="680" spans="1:10" x14ac:dyDescent="0.25">
      <c r="A680">
        <v>5</v>
      </c>
      <c r="B680" s="1">
        <v>40970</v>
      </c>
      <c r="C680">
        <v>0</v>
      </c>
      <c r="D680">
        <v>60.66</v>
      </c>
      <c r="E680">
        <v>3.63</v>
      </c>
      <c r="F680">
        <v>221.43421459999999</v>
      </c>
      <c r="G680">
        <v>359206.21</v>
      </c>
      <c r="H680" t="str">
        <f>TEXT(Ventas[[#This Row],[Fecha_venta]],"dd")</f>
        <v>02</v>
      </c>
      <c r="I680" t="str">
        <f>TEXT(Ventas[[#This Row],[Fecha_venta]],"m")</f>
        <v>3</v>
      </c>
      <c r="J680" t="str">
        <f>TEXT(Ventas[[#This Row],[Fecha_venta]],"yyyy")</f>
        <v>2012</v>
      </c>
    </row>
    <row r="681" spans="1:10" x14ac:dyDescent="0.25">
      <c r="A681">
        <v>5</v>
      </c>
      <c r="B681" s="1">
        <v>40977</v>
      </c>
      <c r="C681">
        <v>0</v>
      </c>
      <c r="D681">
        <v>57.69</v>
      </c>
      <c r="E681">
        <v>3.669</v>
      </c>
      <c r="F681">
        <v>221.64600479999999</v>
      </c>
      <c r="G681">
        <v>347295.6</v>
      </c>
      <c r="H681" t="str">
        <f>TEXT(Ventas[[#This Row],[Fecha_venta]],"dd")</f>
        <v>09</v>
      </c>
      <c r="I681" t="str">
        <f>TEXT(Ventas[[#This Row],[Fecha_venta]],"m")</f>
        <v>3</v>
      </c>
      <c r="J681" t="str">
        <f>TEXT(Ventas[[#This Row],[Fecha_venta]],"yyyy")</f>
        <v>2012</v>
      </c>
    </row>
    <row r="682" spans="1:10" x14ac:dyDescent="0.25">
      <c r="A682">
        <v>5</v>
      </c>
      <c r="B682" s="1">
        <v>40991</v>
      </c>
      <c r="C682">
        <v>0</v>
      </c>
      <c r="D682">
        <v>64.44</v>
      </c>
      <c r="E682">
        <v>3.7869999999999999</v>
      </c>
      <c r="F682">
        <v>221.8735063</v>
      </c>
      <c r="G682">
        <v>321299.99</v>
      </c>
      <c r="H682" t="str">
        <f>TEXT(Ventas[[#This Row],[Fecha_venta]],"dd")</f>
        <v>23</v>
      </c>
      <c r="I682" t="str">
        <f>TEXT(Ventas[[#This Row],[Fecha_venta]],"m")</f>
        <v>3</v>
      </c>
      <c r="J682" t="str">
        <f>TEXT(Ventas[[#This Row],[Fecha_venta]],"yyyy")</f>
        <v>2012</v>
      </c>
    </row>
    <row r="683" spans="1:10" x14ac:dyDescent="0.25">
      <c r="A683">
        <v>5</v>
      </c>
      <c r="B683" s="1">
        <v>40998</v>
      </c>
      <c r="C683">
        <v>0</v>
      </c>
      <c r="D683">
        <v>67.760000000000005</v>
      </c>
      <c r="E683">
        <v>3.8450000000000002</v>
      </c>
      <c r="F683">
        <v>221.94804120000001</v>
      </c>
      <c r="G683">
        <v>331318.73</v>
      </c>
      <c r="H683" t="str">
        <f>TEXT(Ventas[[#This Row],[Fecha_venta]],"dd")</f>
        <v>30</v>
      </c>
      <c r="I683" t="str">
        <f>TEXT(Ventas[[#This Row],[Fecha_venta]],"m")</f>
        <v>3</v>
      </c>
      <c r="J683" t="str">
        <f>TEXT(Ventas[[#This Row],[Fecha_venta]],"yyyy")</f>
        <v>2012</v>
      </c>
    </row>
    <row r="684" spans="1:10" x14ac:dyDescent="0.25">
      <c r="A684">
        <v>5</v>
      </c>
      <c r="B684" s="1">
        <v>41005</v>
      </c>
      <c r="C684">
        <v>0</v>
      </c>
      <c r="D684">
        <v>70.400000000000006</v>
      </c>
      <c r="E684">
        <v>3.891</v>
      </c>
      <c r="F684">
        <v>222.0225762</v>
      </c>
      <c r="G684">
        <v>402985.7</v>
      </c>
      <c r="H684" t="str">
        <f>TEXT(Ventas[[#This Row],[Fecha_venta]],"dd")</f>
        <v>06</v>
      </c>
      <c r="I684" t="str">
        <f>TEXT(Ventas[[#This Row],[Fecha_venta]],"m")</f>
        <v>4</v>
      </c>
      <c r="J684" t="str">
        <f>TEXT(Ventas[[#This Row],[Fecha_venta]],"yyyy")</f>
        <v>2012</v>
      </c>
    </row>
    <row r="685" spans="1:10" x14ac:dyDescent="0.25">
      <c r="A685">
        <v>5</v>
      </c>
      <c r="B685" s="1">
        <v>41012</v>
      </c>
      <c r="C685">
        <v>0</v>
      </c>
      <c r="D685">
        <v>70.56</v>
      </c>
      <c r="E685">
        <v>3.891</v>
      </c>
      <c r="F685">
        <v>222.09711110000001</v>
      </c>
      <c r="G685">
        <v>351832.03</v>
      </c>
      <c r="H685" t="str">
        <f>TEXT(Ventas[[#This Row],[Fecha_venta]],"dd")</f>
        <v>13</v>
      </c>
      <c r="I685" t="str">
        <f>TEXT(Ventas[[#This Row],[Fecha_venta]],"m")</f>
        <v>4</v>
      </c>
      <c r="J685" t="str">
        <f>TEXT(Ventas[[#This Row],[Fecha_venta]],"yyyy")</f>
        <v>2012</v>
      </c>
    </row>
    <row r="686" spans="1:10" x14ac:dyDescent="0.25">
      <c r="A686">
        <v>5</v>
      </c>
      <c r="B686" s="1">
        <v>41019</v>
      </c>
      <c r="C686">
        <v>0</v>
      </c>
      <c r="D686">
        <v>67.33</v>
      </c>
      <c r="E686">
        <v>3.8769999999999998</v>
      </c>
      <c r="F686">
        <v>222.15123149999999</v>
      </c>
      <c r="G686">
        <v>330063.06</v>
      </c>
      <c r="H686" t="str">
        <f>TEXT(Ventas[[#This Row],[Fecha_venta]],"dd")</f>
        <v>20</v>
      </c>
      <c r="I686" t="str">
        <f>TEXT(Ventas[[#This Row],[Fecha_venta]],"m")</f>
        <v>4</v>
      </c>
      <c r="J686" t="str">
        <f>TEXT(Ventas[[#This Row],[Fecha_venta]],"yyyy")</f>
        <v>2012</v>
      </c>
    </row>
    <row r="687" spans="1:10" x14ac:dyDescent="0.25">
      <c r="A687">
        <v>5</v>
      </c>
      <c r="B687" s="1">
        <v>41026</v>
      </c>
      <c r="C687">
        <v>0</v>
      </c>
      <c r="D687">
        <v>68.959999999999994</v>
      </c>
      <c r="E687">
        <v>3.8140000000000001</v>
      </c>
      <c r="F687">
        <v>222.20535190000001</v>
      </c>
      <c r="G687">
        <v>324839.74</v>
      </c>
      <c r="H687" t="str">
        <f>TEXT(Ventas[[#This Row],[Fecha_venta]],"dd")</f>
        <v>27</v>
      </c>
      <c r="I687" t="str">
        <f>TEXT(Ventas[[#This Row],[Fecha_venta]],"m")</f>
        <v>4</v>
      </c>
      <c r="J687" t="str">
        <f>TEXT(Ventas[[#This Row],[Fecha_venta]],"yyyy")</f>
        <v>2012</v>
      </c>
    </row>
    <row r="688" spans="1:10" x14ac:dyDescent="0.25">
      <c r="A688">
        <v>5</v>
      </c>
      <c r="B688" s="1">
        <v>41033</v>
      </c>
      <c r="C688">
        <v>0</v>
      </c>
      <c r="D688">
        <v>77.099999999999994</v>
      </c>
      <c r="E688">
        <v>3.7490000000000001</v>
      </c>
      <c r="F688">
        <v>222.2594722</v>
      </c>
      <c r="G688">
        <v>360932.69</v>
      </c>
      <c r="H688" t="str">
        <f>TEXT(Ventas[[#This Row],[Fecha_venta]],"dd")</f>
        <v>04</v>
      </c>
      <c r="I688" t="str">
        <f>TEXT(Ventas[[#This Row],[Fecha_venta]],"m")</f>
        <v>5</v>
      </c>
      <c r="J688" t="str">
        <f>TEXT(Ventas[[#This Row],[Fecha_venta]],"yyyy")</f>
        <v>2012</v>
      </c>
    </row>
    <row r="689" spans="1:10" x14ac:dyDescent="0.25">
      <c r="A689">
        <v>5</v>
      </c>
      <c r="B689" s="1">
        <v>41040</v>
      </c>
      <c r="C689">
        <v>0</v>
      </c>
      <c r="D689">
        <v>73.45</v>
      </c>
      <c r="E689">
        <v>3.6880000000000002</v>
      </c>
      <c r="F689">
        <v>222.31359259999999</v>
      </c>
      <c r="G689">
        <v>333870.52</v>
      </c>
      <c r="H689" t="str">
        <f>TEXT(Ventas[[#This Row],[Fecha_venta]],"dd")</f>
        <v>11</v>
      </c>
      <c r="I689" t="str">
        <f>TEXT(Ventas[[#This Row],[Fecha_venta]],"m")</f>
        <v>5</v>
      </c>
      <c r="J689" t="str">
        <f>TEXT(Ventas[[#This Row],[Fecha_venta]],"yyyy")</f>
        <v>2012</v>
      </c>
    </row>
    <row r="690" spans="1:10" x14ac:dyDescent="0.25">
      <c r="A690">
        <v>5</v>
      </c>
      <c r="B690" s="1">
        <v>41047</v>
      </c>
      <c r="C690">
        <v>0</v>
      </c>
      <c r="D690">
        <v>70.45</v>
      </c>
      <c r="E690">
        <v>3.63</v>
      </c>
      <c r="F690">
        <v>222.330443</v>
      </c>
      <c r="G690">
        <v>336189.66</v>
      </c>
      <c r="H690" t="str">
        <f>TEXT(Ventas[[#This Row],[Fecha_venta]],"dd")</f>
        <v>18</v>
      </c>
      <c r="I690" t="str">
        <f>TEXT(Ventas[[#This Row],[Fecha_venta]],"m")</f>
        <v>5</v>
      </c>
      <c r="J690" t="str">
        <f>TEXT(Ventas[[#This Row],[Fecha_venta]],"yyyy")</f>
        <v>2012</v>
      </c>
    </row>
    <row r="691" spans="1:10" x14ac:dyDescent="0.25">
      <c r="A691">
        <v>5</v>
      </c>
      <c r="B691" s="1">
        <v>41054</v>
      </c>
      <c r="C691">
        <v>0</v>
      </c>
      <c r="D691">
        <v>78.23</v>
      </c>
      <c r="E691">
        <v>3.5609999999999999</v>
      </c>
      <c r="F691">
        <v>222.3323853</v>
      </c>
      <c r="G691">
        <v>341994.48</v>
      </c>
      <c r="H691" t="str">
        <f>TEXT(Ventas[[#This Row],[Fecha_venta]],"dd")</f>
        <v>25</v>
      </c>
      <c r="I691" t="str">
        <f>TEXT(Ventas[[#This Row],[Fecha_venta]],"m")</f>
        <v>5</v>
      </c>
      <c r="J691" t="str">
        <f>TEXT(Ventas[[#This Row],[Fecha_venta]],"yyyy")</f>
        <v>2012</v>
      </c>
    </row>
    <row r="692" spans="1:10" x14ac:dyDescent="0.25">
      <c r="A692">
        <v>5</v>
      </c>
      <c r="B692" s="1">
        <v>41061</v>
      </c>
      <c r="C692">
        <v>0</v>
      </c>
      <c r="D692">
        <v>79.72</v>
      </c>
      <c r="E692">
        <v>3.5009999999999999</v>
      </c>
      <c r="F692">
        <v>222.33432769999999</v>
      </c>
      <c r="G692">
        <v>359867.8</v>
      </c>
      <c r="H692" t="str">
        <f>TEXT(Ventas[[#This Row],[Fecha_venta]],"dd")</f>
        <v>01</v>
      </c>
      <c r="I692" t="str">
        <f>TEXT(Ventas[[#This Row],[Fecha_venta]],"m")</f>
        <v>6</v>
      </c>
      <c r="J692" t="str">
        <f>TEXT(Ventas[[#This Row],[Fecha_venta]],"yyyy")</f>
        <v>2012</v>
      </c>
    </row>
    <row r="693" spans="1:10" x14ac:dyDescent="0.25">
      <c r="A693">
        <v>5</v>
      </c>
      <c r="B693" s="1">
        <v>41068</v>
      </c>
      <c r="C693">
        <v>0</v>
      </c>
      <c r="D693">
        <v>81.02</v>
      </c>
      <c r="E693">
        <v>3.452</v>
      </c>
      <c r="F693">
        <v>222.33627000000001</v>
      </c>
      <c r="G693">
        <v>341704.59</v>
      </c>
      <c r="H693" t="str">
        <f>TEXT(Ventas[[#This Row],[Fecha_venta]],"dd")</f>
        <v>08</v>
      </c>
      <c r="I693" t="str">
        <f>TEXT(Ventas[[#This Row],[Fecha_venta]],"m")</f>
        <v>6</v>
      </c>
      <c r="J693" t="str">
        <f>TEXT(Ventas[[#This Row],[Fecha_venta]],"yyyy")</f>
        <v>2012</v>
      </c>
    </row>
    <row r="694" spans="1:10" x14ac:dyDescent="0.25">
      <c r="A694">
        <v>5</v>
      </c>
      <c r="B694" s="1">
        <v>41075</v>
      </c>
      <c r="C694">
        <v>0</v>
      </c>
      <c r="D694">
        <v>81.64</v>
      </c>
      <c r="E694">
        <v>3.3929999999999998</v>
      </c>
      <c r="F694">
        <v>222.34929009999999</v>
      </c>
      <c r="G694">
        <v>327383.64</v>
      </c>
      <c r="H694" t="str">
        <f>TEXT(Ventas[[#This Row],[Fecha_venta]],"dd")</f>
        <v>15</v>
      </c>
      <c r="I694" t="str">
        <f>TEXT(Ventas[[#This Row],[Fecha_venta]],"m")</f>
        <v>6</v>
      </c>
      <c r="J694" t="str">
        <f>TEXT(Ventas[[#This Row],[Fecha_venta]],"yyyy")</f>
        <v>2012</v>
      </c>
    </row>
    <row r="695" spans="1:10" x14ac:dyDescent="0.25">
      <c r="A695">
        <v>5</v>
      </c>
      <c r="B695" s="1">
        <v>41082</v>
      </c>
      <c r="C695">
        <v>0</v>
      </c>
      <c r="D695">
        <v>80.569999999999993</v>
      </c>
      <c r="E695">
        <v>3.3460000000000001</v>
      </c>
      <c r="F695">
        <v>222.3900046</v>
      </c>
      <c r="G695">
        <v>325041.68</v>
      </c>
      <c r="H695" t="str">
        <f>TEXT(Ventas[[#This Row],[Fecha_venta]],"dd")</f>
        <v>22</v>
      </c>
      <c r="I695" t="str">
        <f>TEXT(Ventas[[#This Row],[Fecha_venta]],"m")</f>
        <v>6</v>
      </c>
      <c r="J695" t="str">
        <f>TEXT(Ventas[[#This Row],[Fecha_venta]],"yyyy")</f>
        <v>2012</v>
      </c>
    </row>
    <row r="696" spans="1:10" x14ac:dyDescent="0.25">
      <c r="A696">
        <v>5</v>
      </c>
      <c r="B696" s="1">
        <v>41089</v>
      </c>
      <c r="C696">
        <v>0</v>
      </c>
      <c r="D696">
        <v>87.08</v>
      </c>
      <c r="E696">
        <v>3.286</v>
      </c>
      <c r="F696">
        <v>222.4307191</v>
      </c>
      <c r="G696">
        <v>329658.09999999998</v>
      </c>
      <c r="H696" t="str">
        <f>TEXT(Ventas[[#This Row],[Fecha_venta]],"dd")</f>
        <v>29</v>
      </c>
      <c r="I696" t="str">
        <f>TEXT(Ventas[[#This Row],[Fecha_venta]],"m")</f>
        <v>6</v>
      </c>
      <c r="J696" t="str">
        <f>TEXT(Ventas[[#This Row],[Fecha_venta]],"yyyy")</f>
        <v>2012</v>
      </c>
    </row>
    <row r="697" spans="1:10" x14ac:dyDescent="0.25">
      <c r="A697">
        <v>5</v>
      </c>
      <c r="B697" s="1">
        <v>41096</v>
      </c>
      <c r="C697">
        <v>0</v>
      </c>
      <c r="D697">
        <v>82.35</v>
      </c>
      <c r="E697">
        <v>3.2269999999999999</v>
      </c>
      <c r="F697">
        <v>222.47143360000001</v>
      </c>
      <c r="G697">
        <v>341214.43</v>
      </c>
      <c r="H697" t="str">
        <f>TEXT(Ventas[[#This Row],[Fecha_venta]],"dd")</f>
        <v>06</v>
      </c>
      <c r="I697" t="str">
        <f>TEXT(Ventas[[#This Row],[Fecha_venta]],"m")</f>
        <v>7</v>
      </c>
      <c r="J697" t="str">
        <f>TEXT(Ventas[[#This Row],[Fecha_venta]],"yyyy")</f>
        <v>2012</v>
      </c>
    </row>
    <row r="698" spans="1:10" x14ac:dyDescent="0.25">
      <c r="A698">
        <v>5</v>
      </c>
      <c r="B698" s="1">
        <v>41103</v>
      </c>
      <c r="C698">
        <v>0</v>
      </c>
      <c r="D698">
        <v>80.78</v>
      </c>
      <c r="E698">
        <v>3.2559999999999998</v>
      </c>
      <c r="F698">
        <v>222.51214809999999</v>
      </c>
      <c r="G698">
        <v>316203.64</v>
      </c>
      <c r="H698" t="str">
        <f>TEXT(Ventas[[#This Row],[Fecha_venta]],"dd")</f>
        <v>13</v>
      </c>
      <c r="I698" t="str">
        <f>TEXT(Ventas[[#This Row],[Fecha_venta]],"m")</f>
        <v>7</v>
      </c>
      <c r="J698" t="str">
        <f>TEXT(Ventas[[#This Row],[Fecha_venta]],"yyyy")</f>
        <v>2012</v>
      </c>
    </row>
    <row r="699" spans="1:10" x14ac:dyDescent="0.25">
      <c r="A699">
        <v>5</v>
      </c>
      <c r="B699" s="1">
        <v>41110</v>
      </c>
      <c r="C699">
        <v>0</v>
      </c>
      <c r="D699">
        <v>81.05</v>
      </c>
      <c r="E699">
        <v>3.3109999999999999</v>
      </c>
      <c r="F699">
        <v>222.52093579999999</v>
      </c>
      <c r="G699">
        <v>321205.12</v>
      </c>
      <c r="H699" t="str">
        <f>TEXT(Ventas[[#This Row],[Fecha_venta]],"dd")</f>
        <v>20</v>
      </c>
      <c r="I699" t="str">
        <f>TEXT(Ventas[[#This Row],[Fecha_venta]],"m")</f>
        <v>7</v>
      </c>
      <c r="J699" t="str">
        <f>TEXT(Ventas[[#This Row],[Fecha_venta]],"yyyy")</f>
        <v>2012</v>
      </c>
    </row>
    <row r="700" spans="1:10" x14ac:dyDescent="0.25">
      <c r="A700">
        <v>5</v>
      </c>
      <c r="B700" s="1">
        <v>41117</v>
      </c>
      <c r="C700">
        <v>0</v>
      </c>
      <c r="D700">
        <v>85.06</v>
      </c>
      <c r="E700">
        <v>3.407</v>
      </c>
      <c r="F700">
        <v>222.52972339999999</v>
      </c>
      <c r="G700">
        <v>306827.36</v>
      </c>
      <c r="H700" t="str">
        <f>TEXT(Ventas[[#This Row],[Fecha_venta]],"dd")</f>
        <v>27</v>
      </c>
      <c r="I700" t="str">
        <f>TEXT(Ventas[[#This Row],[Fecha_venta]],"m")</f>
        <v>7</v>
      </c>
      <c r="J700" t="str">
        <f>TEXT(Ventas[[#This Row],[Fecha_venta]],"yyyy")</f>
        <v>2012</v>
      </c>
    </row>
    <row r="701" spans="1:10" x14ac:dyDescent="0.25">
      <c r="A701">
        <v>5</v>
      </c>
      <c r="B701" s="1">
        <v>41124</v>
      </c>
      <c r="C701">
        <v>0</v>
      </c>
      <c r="D701">
        <v>86.91</v>
      </c>
      <c r="E701">
        <v>3.4169999999999998</v>
      </c>
      <c r="F701">
        <v>222.53851109999999</v>
      </c>
      <c r="G701">
        <v>324195.17</v>
      </c>
      <c r="H701" t="str">
        <f>TEXT(Ventas[[#This Row],[Fecha_venta]],"dd")</f>
        <v>03</v>
      </c>
      <c r="I701" t="str">
        <f>TEXT(Ventas[[#This Row],[Fecha_venta]],"m")</f>
        <v>8</v>
      </c>
      <c r="J701" t="str">
        <f>TEXT(Ventas[[#This Row],[Fecha_venta]],"yyyy")</f>
        <v>2012</v>
      </c>
    </row>
    <row r="702" spans="1:10" x14ac:dyDescent="0.25">
      <c r="A702">
        <v>5</v>
      </c>
      <c r="B702" s="1">
        <v>41131</v>
      </c>
      <c r="C702">
        <v>0</v>
      </c>
      <c r="D702">
        <v>86.96</v>
      </c>
      <c r="E702">
        <v>3.4940000000000002</v>
      </c>
      <c r="F702">
        <v>222.5472987</v>
      </c>
      <c r="G702">
        <v>306759.7</v>
      </c>
      <c r="H702" t="str">
        <f>TEXT(Ventas[[#This Row],[Fecha_venta]],"dd")</f>
        <v>10</v>
      </c>
      <c r="I702" t="str">
        <f>TEXT(Ventas[[#This Row],[Fecha_venta]],"m")</f>
        <v>8</v>
      </c>
      <c r="J702" t="str">
        <f>TEXT(Ventas[[#This Row],[Fecha_venta]],"yyyy")</f>
        <v>2012</v>
      </c>
    </row>
    <row r="703" spans="1:10" x14ac:dyDescent="0.25">
      <c r="A703">
        <v>5</v>
      </c>
      <c r="B703" s="1">
        <v>41138</v>
      </c>
      <c r="C703">
        <v>0</v>
      </c>
      <c r="D703">
        <v>87.52</v>
      </c>
      <c r="E703">
        <v>3.5710000000000002</v>
      </c>
      <c r="F703">
        <v>222.62767529999999</v>
      </c>
      <c r="G703">
        <v>314014.18</v>
      </c>
      <c r="H703" t="str">
        <f>TEXT(Ventas[[#This Row],[Fecha_venta]],"dd")</f>
        <v>17</v>
      </c>
      <c r="I703" t="str">
        <f>TEXT(Ventas[[#This Row],[Fecha_venta]],"m")</f>
        <v>8</v>
      </c>
      <c r="J703" t="str">
        <f>TEXT(Ventas[[#This Row],[Fecha_venta]],"yyyy")</f>
        <v>2012</v>
      </c>
    </row>
    <row r="704" spans="1:10" x14ac:dyDescent="0.25">
      <c r="A704">
        <v>5</v>
      </c>
      <c r="B704" s="1">
        <v>41145</v>
      </c>
      <c r="C704">
        <v>0</v>
      </c>
      <c r="D704">
        <v>79.45</v>
      </c>
      <c r="E704">
        <v>3.62</v>
      </c>
      <c r="F704">
        <v>222.76174370000001</v>
      </c>
      <c r="G704">
        <v>320831.35999999999</v>
      </c>
      <c r="H704" t="str">
        <f>TEXT(Ventas[[#This Row],[Fecha_venta]],"dd")</f>
        <v>24</v>
      </c>
      <c r="I704" t="str">
        <f>TEXT(Ventas[[#This Row],[Fecha_venta]],"m")</f>
        <v>8</v>
      </c>
      <c r="J704" t="str">
        <f>TEXT(Ventas[[#This Row],[Fecha_venta]],"yyyy")</f>
        <v>2012</v>
      </c>
    </row>
    <row r="705" spans="1:10" x14ac:dyDescent="0.25">
      <c r="A705">
        <v>5</v>
      </c>
      <c r="B705" s="1">
        <v>41152</v>
      </c>
      <c r="C705">
        <v>0</v>
      </c>
      <c r="D705">
        <v>84.25</v>
      </c>
      <c r="E705">
        <v>3.6379999999999999</v>
      </c>
      <c r="F705">
        <v>222.8958121</v>
      </c>
      <c r="G705">
        <v>344642.01</v>
      </c>
      <c r="H705" t="str">
        <f>TEXT(Ventas[[#This Row],[Fecha_venta]],"dd")</f>
        <v>31</v>
      </c>
      <c r="I705" t="str">
        <f>TEXT(Ventas[[#This Row],[Fecha_venta]],"m")</f>
        <v>8</v>
      </c>
      <c r="J705" t="str">
        <f>TEXT(Ventas[[#This Row],[Fecha_venta]],"yyyy")</f>
        <v>2012</v>
      </c>
    </row>
    <row r="706" spans="1:10" x14ac:dyDescent="0.25">
      <c r="A706">
        <v>5</v>
      </c>
      <c r="B706" s="1">
        <v>41159</v>
      </c>
      <c r="C706">
        <v>1</v>
      </c>
      <c r="D706">
        <v>86.3</v>
      </c>
      <c r="E706">
        <v>3.73</v>
      </c>
      <c r="F706">
        <v>223.02988049999999</v>
      </c>
      <c r="G706">
        <v>350648.91</v>
      </c>
      <c r="H706" t="str">
        <f>TEXT(Ventas[[#This Row],[Fecha_venta]],"dd")</f>
        <v>07</v>
      </c>
      <c r="I706" t="str">
        <f>TEXT(Ventas[[#This Row],[Fecha_venta]],"m")</f>
        <v>9</v>
      </c>
      <c r="J706" t="str">
        <f>TEXT(Ventas[[#This Row],[Fecha_venta]],"yyyy")</f>
        <v>2012</v>
      </c>
    </row>
    <row r="707" spans="1:10" x14ac:dyDescent="0.25">
      <c r="A707">
        <v>5</v>
      </c>
      <c r="B707" s="1">
        <v>41166</v>
      </c>
      <c r="C707">
        <v>0</v>
      </c>
      <c r="D707">
        <v>76.650000000000006</v>
      </c>
      <c r="E707">
        <v>3.7170000000000001</v>
      </c>
      <c r="F707">
        <v>223.17341669999999</v>
      </c>
      <c r="G707">
        <v>299800.67</v>
      </c>
      <c r="H707" t="str">
        <f>TEXT(Ventas[[#This Row],[Fecha_venta]],"dd")</f>
        <v>14</v>
      </c>
      <c r="I707" t="str">
        <f>TEXT(Ventas[[#This Row],[Fecha_venta]],"m")</f>
        <v>9</v>
      </c>
      <c r="J707" t="str">
        <f>TEXT(Ventas[[#This Row],[Fecha_venta]],"yyyy")</f>
        <v>2012</v>
      </c>
    </row>
    <row r="708" spans="1:10" x14ac:dyDescent="0.25">
      <c r="A708">
        <v>5</v>
      </c>
      <c r="B708" s="1">
        <v>41173</v>
      </c>
      <c r="C708">
        <v>0</v>
      </c>
      <c r="D708">
        <v>71.09</v>
      </c>
      <c r="E708">
        <v>3.7210000000000001</v>
      </c>
      <c r="F708">
        <v>223.37375929999999</v>
      </c>
      <c r="G708">
        <v>307306.76</v>
      </c>
      <c r="H708" t="str">
        <f>TEXT(Ventas[[#This Row],[Fecha_venta]],"dd")</f>
        <v>21</v>
      </c>
      <c r="I708" t="str">
        <f>TEXT(Ventas[[#This Row],[Fecha_venta]],"m")</f>
        <v>9</v>
      </c>
      <c r="J708" t="str">
        <f>TEXT(Ventas[[#This Row],[Fecha_venta]],"yyyy")</f>
        <v>2012</v>
      </c>
    </row>
    <row r="709" spans="1:10" x14ac:dyDescent="0.25">
      <c r="A709">
        <v>5</v>
      </c>
      <c r="B709" s="1">
        <v>41180</v>
      </c>
      <c r="C709">
        <v>0</v>
      </c>
      <c r="D709">
        <v>78.33</v>
      </c>
      <c r="E709">
        <v>3.6659999999999999</v>
      </c>
      <c r="F709">
        <v>223.57410189999999</v>
      </c>
      <c r="G709">
        <v>310141.68</v>
      </c>
      <c r="H709" t="str">
        <f>TEXT(Ventas[[#This Row],[Fecha_venta]],"dd")</f>
        <v>28</v>
      </c>
      <c r="I709" t="str">
        <f>TEXT(Ventas[[#This Row],[Fecha_venta]],"m")</f>
        <v>9</v>
      </c>
      <c r="J709" t="str">
        <f>TEXT(Ventas[[#This Row],[Fecha_venta]],"yyyy")</f>
        <v>2012</v>
      </c>
    </row>
    <row r="710" spans="1:10" x14ac:dyDescent="0.25">
      <c r="A710">
        <v>5</v>
      </c>
      <c r="B710" s="1">
        <v>41187</v>
      </c>
      <c r="C710">
        <v>0</v>
      </c>
      <c r="D710">
        <v>71.17</v>
      </c>
      <c r="E710">
        <v>3.617</v>
      </c>
      <c r="F710">
        <v>223.77444439999999</v>
      </c>
      <c r="G710">
        <v>343048.29</v>
      </c>
      <c r="H710" t="str">
        <f>TEXT(Ventas[[#This Row],[Fecha_venta]],"dd")</f>
        <v>05</v>
      </c>
      <c r="I710" t="str">
        <f>TEXT(Ventas[[#This Row],[Fecha_venta]],"m")</f>
        <v>10</v>
      </c>
      <c r="J710" t="str">
        <f>TEXT(Ventas[[#This Row],[Fecha_venta]],"yyyy")</f>
        <v>2012</v>
      </c>
    </row>
    <row r="711" spans="1:10" x14ac:dyDescent="0.25">
      <c r="A711">
        <v>5</v>
      </c>
      <c r="B711" s="1">
        <v>41194</v>
      </c>
      <c r="C711">
        <v>0</v>
      </c>
      <c r="D711">
        <v>66.239999999999995</v>
      </c>
      <c r="E711">
        <v>3.601</v>
      </c>
      <c r="F711">
        <v>223.97478699999999</v>
      </c>
      <c r="G711">
        <v>325345.40999999997</v>
      </c>
      <c r="H711" t="str">
        <f>TEXT(Ventas[[#This Row],[Fecha_venta]],"dd")</f>
        <v>12</v>
      </c>
      <c r="I711" t="str">
        <f>TEXT(Ventas[[#This Row],[Fecha_venta]],"m")</f>
        <v>10</v>
      </c>
      <c r="J711" t="str">
        <f>TEXT(Ventas[[#This Row],[Fecha_venta]],"yyyy")</f>
        <v>2012</v>
      </c>
    </row>
    <row r="712" spans="1:10" x14ac:dyDescent="0.25">
      <c r="A712">
        <v>5</v>
      </c>
      <c r="B712" s="1">
        <v>41201</v>
      </c>
      <c r="C712">
        <v>0</v>
      </c>
      <c r="D712">
        <v>69.17</v>
      </c>
      <c r="E712">
        <v>3.5939999999999999</v>
      </c>
      <c r="F712">
        <v>224.0192873</v>
      </c>
      <c r="G712">
        <v>313358.15000000002</v>
      </c>
      <c r="H712" t="str">
        <f>TEXT(Ventas[[#This Row],[Fecha_venta]],"dd")</f>
        <v>19</v>
      </c>
      <c r="I712" t="str">
        <f>TEXT(Ventas[[#This Row],[Fecha_venta]],"m")</f>
        <v>10</v>
      </c>
      <c r="J712" t="str">
        <f>TEXT(Ventas[[#This Row],[Fecha_venta]],"yyyy")</f>
        <v>2012</v>
      </c>
    </row>
    <row r="713" spans="1:10" x14ac:dyDescent="0.25">
      <c r="A713">
        <v>5</v>
      </c>
      <c r="B713" s="1">
        <v>41208</v>
      </c>
      <c r="C713">
        <v>0</v>
      </c>
      <c r="D713">
        <v>71.7</v>
      </c>
      <c r="E713">
        <v>3.5059999999999998</v>
      </c>
      <c r="F713">
        <v>224.0378139</v>
      </c>
      <c r="G713">
        <v>319550.77</v>
      </c>
      <c r="H713" t="str">
        <f>TEXT(Ventas[[#This Row],[Fecha_venta]],"dd")</f>
        <v>26</v>
      </c>
      <c r="I713" t="str">
        <f>TEXT(Ventas[[#This Row],[Fecha_venta]],"m")</f>
        <v>10</v>
      </c>
      <c r="J713" t="str">
        <f>TEXT(Ventas[[#This Row],[Fecha_venta]],"yyyy")</f>
        <v>2012</v>
      </c>
    </row>
    <row r="714" spans="1:10" x14ac:dyDescent="0.25">
      <c r="A714">
        <v>6</v>
      </c>
      <c r="B714" s="1">
        <v>40214</v>
      </c>
      <c r="C714">
        <v>0</v>
      </c>
      <c r="D714">
        <v>40.43</v>
      </c>
      <c r="E714">
        <v>2.5720000000000001</v>
      </c>
      <c r="F714">
        <v>212.62235179999999</v>
      </c>
      <c r="G714">
        <v>1652635.1</v>
      </c>
      <c r="H714" t="str">
        <f>TEXT(Ventas[[#This Row],[Fecha_venta]],"dd")</f>
        <v>05</v>
      </c>
      <c r="I714" t="str">
        <f>TEXT(Ventas[[#This Row],[Fecha_venta]],"m")</f>
        <v>2</v>
      </c>
      <c r="J714" t="str">
        <f>TEXT(Ventas[[#This Row],[Fecha_venta]],"yyyy")</f>
        <v>2010</v>
      </c>
    </row>
    <row r="715" spans="1:10" x14ac:dyDescent="0.25">
      <c r="A715">
        <v>6</v>
      </c>
      <c r="B715" s="1">
        <v>40221</v>
      </c>
      <c r="C715">
        <v>1</v>
      </c>
      <c r="D715">
        <v>40.57</v>
      </c>
      <c r="E715">
        <v>2.548</v>
      </c>
      <c r="F715">
        <v>212.77004249999999</v>
      </c>
      <c r="G715">
        <v>1606283.86</v>
      </c>
      <c r="H715" t="str">
        <f>TEXT(Ventas[[#This Row],[Fecha_venta]],"dd")</f>
        <v>12</v>
      </c>
      <c r="I715" t="str">
        <f>TEXT(Ventas[[#This Row],[Fecha_venta]],"m")</f>
        <v>2</v>
      </c>
      <c r="J715" t="str">
        <f>TEXT(Ventas[[#This Row],[Fecha_venta]],"yyyy")</f>
        <v>2010</v>
      </c>
    </row>
    <row r="716" spans="1:10" x14ac:dyDescent="0.25">
      <c r="A716">
        <v>6</v>
      </c>
      <c r="B716" s="1">
        <v>40228</v>
      </c>
      <c r="C716">
        <v>0</v>
      </c>
      <c r="D716">
        <v>43.58</v>
      </c>
      <c r="E716">
        <v>2.5139999999999998</v>
      </c>
      <c r="F716">
        <v>212.8161546</v>
      </c>
      <c r="G716">
        <v>1567138.07</v>
      </c>
      <c r="H716" t="str">
        <f>TEXT(Ventas[[#This Row],[Fecha_venta]],"dd")</f>
        <v>19</v>
      </c>
      <c r="I716" t="str">
        <f>TEXT(Ventas[[#This Row],[Fecha_venta]],"m")</f>
        <v>2</v>
      </c>
      <c r="J716" t="str">
        <f>TEXT(Ventas[[#This Row],[Fecha_venta]],"yyyy")</f>
        <v>2010</v>
      </c>
    </row>
    <row r="717" spans="1:10" x14ac:dyDescent="0.25">
      <c r="A717">
        <v>6</v>
      </c>
      <c r="B717" s="1">
        <v>40235</v>
      </c>
      <c r="C717">
        <v>0</v>
      </c>
      <c r="D717">
        <v>47.1</v>
      </c>
      <c r="E717">
        <v>2.5609999999999999</v>
      </c>
      <c r="F717">
        <v>212.845337</v>
      </c>
      <c r="G717">
        <v>1432953.21</v>
      </c>
      <c r="H717" t="str">
        <f>TEXT(Ventas[[#This Row],[Fecha_venta]],"dd")</f>
        <v>26</v>
      </c>
      <c r="I717" t="str">
        <f>TEXT(Ventas[[#This Row],[Fecha_venta]],"m")</f>
        <v>2</v>
      </c>
      <c r="J717" t="str">
        <f>TEXT(Ventas[[#This Row],[Fecha_venta]],"yyyy")</f>
        <v>2010</v>
      </c>
    </row>
    <row r="718" spans="1:10" x14ac:dyDescent="0.25">
      <c r="A718">
        <v>6</v>
      </c>
      <c r="B718" s="1">
        <v>40242</v>
      </c>
      <c r="C718">
        <v>0</v>
      </c>
      <c r="D718">
        <v>49.63</v>
      </c>
      <c r="E718">
        <v>2.625</v>
      </c>
      <c r="F718">
        <v>212.8745193</v>
      </c>
      <c r="G718">
        <v>1601348.82</v>
      </c>
      <c r="H718" t="str">
        <f>TEXT(Ventas[[#This Row],[Fecha_venta]],"dd")</f>
        <v>05</v>
      </c>
      <c r="I718" t="str">
        <f>TEXT(Ventas[[#This Row],[Fecha_venta]],"m")</f>
        <v>3</v>
      </c>
      <c r="J718" t="str">
        <f>TEXT(Ventas[[#This Row],[Fecha_venta]],"yyyy")</f>
        <v>2010</v>
      </c>
    </row>
    <row r="719" spans="1:10" x14ac:dyDescent="0.25">
      <c r="A719">
        <v>6</v>
      </c>
      <c r="B719" s="1">
        <v>40249</v>
      </c>
      <c r="C719">
        <v>0</v>
      </c>
      <c r="D719">
        <v>58.82</v>
      </c>
      <c r="E719">
        <v>2.6669999999999998</v>
      </c>
      <c r="F719">
        <v>212.9037017</v>
      </c>
      <c r="G719">
        <v>1558621.36</v>
      </c>
      <c r="H719" t="str">
        <f>TEXT(Ventas[[#This Row],[Fecha_venta]],"dd")</f>
        <v>12</v>
      </c>
      <c r="I719" t="str">
        <f>TEXT(Ventas[[#This Row],[Fecha_venta]],"m")</f>
        <v>3</v>
      </c>
      <c r="J719" t="str">
        <f>TEXT(Ventas[[#This Row],[Fecha_venta]],"yyyy")</f>
        <v>2010</v>
      </c>
    </row>
    <row r="720" spans="1:10" x14ac:dyDescent="0.25">
      <c r="A720">
        <v>6</v>
      </c>
      <c r="B720" s="1">
        <v>40256</v>
      </c>
      <c r="C720">
        <v>0</v>
      </c>
      <c r="D720">
        <v>56.55</v>
      </c>
      <c r="E720">
        <v>2.72</v>
      </c>
      <c r="F720">
        <v>212.73519350000001</v>
      </c>
      <c r="G720">
        <v>1693058.91</v>
      </c>
      <c r="H720" t="str">
        <f>TEXT(Ventas[[#This Row],[Fecha_venta]],"dd")</f>
        <v>19</v>
      </c>
      <c r="I720" t="str">
        <f>TEXT(Ventas[[#This Row],[Fecha_venta]],"m")</f>
        <v>3</v>
      </c>
      <c r="J720" t="str">
        <f>TEXT(Ventas[[#This Row],[Fecha_venta]],"yyyy")</f>
        <v>2010</v>
      </c>
    </row>
    <row r="721" spans="1:10" x14ac:dyDescent="0.25">
      <c r="A721">
        <v>6</v>
      </c>
      <c r="B721" s="1">
        <v>40263</v>
      </c>
      <c r="C721">
        <v>0</v>
      </c>
      <c r="D721">
        <v>53.74</v>
      </c>
      <c r="E721">
        <v>2.7320000000000002</v>
      </c>
      <c r="F721">
        <v>212.533737</v>
      </c>
      <c r="G721">
        <v>1472033.38</v>
      </c>
      <c r="H721" t="str">
        <f>TEXT(Ventas[[#This Row],[Fecha_venta]],"dd")</f>
        <v>26</v>
      </c>
      <c r="I721" t="str">
        <f>TEXT(Ventas[[#This Row],[Fecha_venta]],"m")</f>
        <v>3</v>
      </c>
      <c r="J721" t="str">
        <f>TEXT(Ventas[[#This Row],[Fecha_venta]],"yyyy")</f>
        <v>2010</v>
      </c>
    </row>
    <row r="722" spans="1:10" x14ac:dyDescent="0.25">
      <c r="A722">
        <v>6</v>
      </c>
      <c r="B722" s="1">
        <v>40270</v>
      </c>
      <c r="C722">
        <v>0</v>
      </c>
      <c r="D722">
        <v>64.94</v>
      </c>
      <c r="E722">
        <v>2.7189999999999999</v>
      </c>
      <c r="F722">
        <v>212.3322805</v>
      </c>
      <c r="G722">
        <v>1770333.9</v>
      </c>
      <c r="H722" t="str">
        <f>TEXT(Ventas[[#This Row],[Fecha_venta]],"dd")</f>
        <v>02</v>
      </c>
      <c r="I722" t="str">
        <f>TEXT(Ventas[[#This Row],[Fecha_venta]],"m")</f>
        <v>4</v>
      </c>
      <c r="J722" t="str">
        <f>TEXT(Ventas[[#This Row],[Fecha_venta]],"yyyy")</f>
        <v>2010</v>
      </c>
    </row>
    <row r="723" spans="1:10" x14ac:dyDescent="0.25">
      <c r="A723">
        <v>6</v>
      </c>
      <c r="B723" s="1">
        <v>40277</v>
      </c>
      <c r="C723">
        <v>0</v>
      </c>
      <c r="D723">
        <v>66.150000000000006</v>
      </c>
      <c r="E723">
        <v>2.77</v>
      </c>
      <c r="F723">
        <v>212.1308239</v>
      </c>
      <c r="G723">
        <v>1667181.82</v>
      </c>
      <c r="H723" t="str">
        <f>TEXT(Ventas[[#This Row],[Fecha_venta]],"dd")</f>
        <v>09</v>
      </c>
      <c r="I723" t="str">
        <f>TEXT(Ventas[[#This Row],[Fecha_venta]],"m")</f>
        <v>4</v>
      </c>
      <c r="J723" t="str">
        <f>TEXT(Ventas[[#This Row],[Fecha_venta]],"yyyy")</f>
        <v>2010</v>
      </c>
    </row>
    <row r="724" spans="1:10" x14ac:dyDescent="0.25">
      <c r="A724">
        <v>6</v>
      </c>
      <c r="B724" s="1">
        <v>40284</v>
      </c>
      <c r="C724">
        <v>0</v>
      </c>
      <c r="D724">
        <v>65.680000000000007</v>
      </c>
      <c r="E724">
        <v>2.8079999999999998</v>
      </c>
      <c r="F724">
        <v>211.99427650000001</v>
      </c>
      <c r="G724">
        <v>1519846.36</v>
      </c>
      <c r="H724" t="str">
        <f>TEXT(Ventas[[#This Row],[Fecha_venta]],"dd")</f>
        <v>16</v>
      </c>
      <c r="I724" t="str">
        <f>TEXT(Ventas[[#This Row],[Fecha_venta]],"m")</f>
        <v>4</v>
      </c>
      <c r="J724" t="str">
        <f>TEXT(Ventas[[#This Row],[Fecha_venta]],"yyyy")</f>
        <v>2010</v>
      </c>
    </row>
    <row r="725" spans="1:10" x14ac:dyDescent="0.25">
      <c r="A725">
        <v>6</v>
      </c>
      <c r="B725" s="1">
        <v>40291</v>
      </c>
      <c r="C725">
        <v>0</v>
      </c>
      <c r="D725">
        <v>64.11</v>
      </c>
      <c r="E725">
        <v>2.7949999999999999</v>
      </c>
      <c r="F725">
        <v>211.94427450000001</v>
      </c>
      <c r="G725">
        <v>1540435.99</v>
      </c>
      <c r="H725" t="str">
        <f>TEXT(Ventas[[#This Row],[Fecha_venta]],"dd")</f>
        <v>23</v>
      </c>
      <c r="I725" t="str">
        <f>TEXT(Ventas[[#This Row],[Fecha_venta]],"m")</f>
        <v>4</v>
      </c>
      <c r="J725" t="str">
        <f>TEXT(Ventas[[#This Row],[Fecha_venta]],"yyyy")</f>
        <v>2010</v>
      </c>
    </row>
    <row r="726" spans="1:10" x14ac:dyDescent="0.25">
      <c r="A726">
        <v>6</v>
      </c>
      <c r="B726" s="1">
        <v>40298</v>
      </c>
      <c r="C726">
        <v>0</v>
      </c>
      <c r="D726">
        <v>68.91</v>
      </c>
      <c r="E726">
        <v>2.78</v>
      </c>
      <c r="F726">
        <v>211.8942725</v>
      </c>
      <c r="G726">
        <v>1498080.16</v>
      </c>
      <c r="H726" t="str">
        <f>TEXT(Ventas[[#This Row],[Fecha_venta]],"dd")</f>
        <v>30</v>
      </c>
      <c r="I726" t="str">
        <f>TEXT(Ventas[[#This Row],[Fecha_venta]],"m")</f>
        <v>4</v>
      </c>
      <c r="J726" t="str">
        <f>TEXT(Ventas[[#This Row],[Fecha_venta]],"yyyy")</f>
        <v>2010</v>
      </c>
    </row>
    <row r="727" spans="1:10" x14ac:dyDescent="0.25">
      <c r="A727">
        <v>6</v>
      </c>
      <c r="B727" s="1">
        <v>40305</v>
      </c>
      <c r="C727">
        <v>0</v>
      </c>
      <c r="D727">
        <v>73.680000000000007</v>
      </c>
      <c r="E727">
        <v>2.835</v>
      </c>
      <c r="F727">
        <v>211.84427059999999</v>
      </c>
      <c r="G727">
        <v>1619920.04</v>
      </c>
      <c r="H727" t="str">
        <f>TEXT(Ventas[[#This Row],[Fecha_venta]],"dd")</f>
        <v>07</v>
      </c>
      <c r="I727" t="str">
        <f>TEXT(Ventas[[#This Row],[Fecha_venta]],"m")</f>
        <v>5</v>
      </c>
      <c r="J727" t="str">
        <f>TEXT(Ventas[[#This Row],[Fecha_venta]],"yyyy")</f>
        <v>2010</v>
      </c>
    </row>
    <row r="728" spans="1:10" x14ac:dyDescent="0.25">
      <c r="A728">
        <v>6</v>
      </c>
      <c r="B728" s="1">
        <v>40312</v>
      </c>
      <c r="C728">
        <v>0</v>
      </c>
      <c r="D728">
        <v>74.95</v>
      </c>
      <c r="E728">
        <v>2.8540000000000001</v>
      </c>
      <c r="F728">
        <v>211.8421769</v>
      </c>
      <c r="G728">
        <v>1524059.4</v>
      </c>
      <c r="H728" t="str">
        <f>TEXT(Ventas[[#This Row],[Fecha_venta]],"dd")</f>
        <v>14</v>
      </c>
      <c r="I728" t="str">
        <f>TEXT(Ventas[[#This Row],[Fecha_venta]],"m")</f>
        <v>5</v>
      </c>
      <c r="J728" t="str">
        <f>TEXT(Ventas[[#This Row],[Fecha_venta]],"yyyy")</f>
        <v>2010</v>
      </c>
    </row>
    <row r="729" spans="1:10" x14ac:dyDescent="0.25">
      <c r="A729">
        <v>6</v>
      </c>
      <c r="B729" s="1">
        <v>40319</v>
      </c>
      <c r="C729">
        <v>0</v>
      </c>
      <c r="D729">
        <v>74.8</v>
      </c>
      <c r="E729">
        <v>2.8260000000000001</v>
      </c>
      <c r="F729">
        <v>212.12753240000001</v>
      </c>
      <c r="G729">
        <v>1531938.44</v>
      </c>
      <c r="H729" t="str">
        <f>TEXT(Ventas[[#This Row],[Fecha_venta]],"dd")</f>
        <v>21</v>
      </c>
      <c r="I729" t="str">
        <f>TEXT(Ventas[[#This Row],[Fecha_venta]],"m")</f>
        <v>5</v>
      </c>
      <c r="J729" t="str">
        <f>TEXT(Ventas[[#This Row],[Fecha_venta]],"yyyy")</f>
        <v>2010</v>
      </c>
    </row>
    <row r="730" spans="1:10" x14ac:dyDescent="0.25">
      <c r="A730">
        <v>6</v>
      </c>
      <c r="B730" s="1">
        <v>40326</v>
      </c>
      <c r="C730">
        <v>0</v>
      </c>
      <c r="D730">
        <v>78.89</v>
      </c>
      <c r="E730">
        <v>2.7589999999999999</v>
      </c>
      <c r="F730">
        <v>212.41288800000001</v>
      </c>
      <c r="G730">
        <v>1644470.66</v>
      </c>
      <c r="H730" t="str">
        <f>TEXT(Ventas[[#This Row],[Fecha_venta]],"dd")</f>
        <v>28</v>
      </c>
      <c r="I730" t="str">
        <f>TEXT(Ventas[[#This Row],[Fecha_venta]],"m")</f>
        <v>5</v>
      </c>
      <c r="J730" t="str">
        <f>TEXT(Ventas[[#This Row],[Fecha_venta]],"yyyy")</f>
        <v>2010</v>
      </c>
    </row>
    <row r="731" spans="1:10" x14ac:dyDescent="0.25">
      <c r="A731">
        <v>6</v>
      </c>
      <c r="B731" s="1">
        <v>40333</v>
      </c>
      <c r="C731">
        <v>0</v>
      </c>
      <c r="D731">
        <v>79.44</v>
      </c>
      <c r="E731">
        <v>2.7050000000000001</v>
      </c>
      <c r="F731">
        <v>212.69824360000001</v>
      </c>
      <c r="G731">
        <v>1857380.09</v>
      </c>
      <c r="H731" t="str">
        <f>TEXT(Ventas[[#This Row],[Fecha_venta]],"dd")</f>
        <v>04</v>
      </c>
      <c r="I731" t="str">
        <f>TEXT(Ventas[[#This Row],[Fecha_venta]],"m")</f>
        <v>6</v>
      </c>
      <c r="J731" t="str">
        <f>TEXT(Ventas[[#This Row],[Fecha_venta]],"yyyy")</f>
        <v>2010</v>
      </c>
    </row>
    <row r="732" spans="1:10" x14ac:dyDescent="0.25">
      <c r="A732">
        <v>6</v>
      </c>
      <c r="B732" s="1">
        <v>40340</v>
      </c>
      <c r="C732">
        <v>0</v>
      </c>
      <c r="D732">
        <v>81.81</v>
      </c>
      <c r="E732">
        <v>2.6680000000000001</v>
      </c>
      <c r="F732">
        <v>212.98359919999999</v>
      </c>
      <c r="G732">
        <v>1685652.35</v>
      </c>
      <c r="H732" t="str">
        <f>TEXT(Ventas[[#This Row],[Fecha_venta]],"dd")</f>
        <v>11</v>
      </c>
      <c r="I732" t="str">
        <f>TEXT(Ventas[[#This Row],[Fecha_venta]],"m")</f>
        <v>6</v>
      </c>
      <c r="J732" t="str">
        <f>TEXT(Ventas[[#This Row],[Fecha_venta]],"yyyy")</f>
        <v>2010</v>
      </c>
    </row>
    <row r="733" spans="1:10" x14ac:dyDescent="0.25">
      <c r="A733">
        <v>6</v>
      </c>
      <c r="B733" s="1">
        <v>40347</v>
      </c>
      <c r="C733">
        <v>0</v>
      </c>
      <c r="D733">
        <v>83.89</v>
      </c>
      <c r="E733">
        <v>2.637</v>
      </c>
      <c r="F733">
        <v>212.9813843</v>
      </c>
      <c r="G733">
        <v>1677248.24</v>
      </c>
      <c r="H733" t="str">
        <f>TEXT(Ventas[[#This Row],[Fecha_venta]],"dd")</f>
        <v>18</v>
      </c>
      <c r="I733" t="str">
        <f>TEXT(Ventas[[#This Row],[Fecha_venta]],"m")</f>
        <v>6</v>
      </c>
      <c r="J733" t="str">
        <f>TEXT(Ventas[[#This Row],[Fecha_venta]],"yyyy")</f>
        <v>2010</v>
      </c>
    </row>
    <row r="734" spans="1:10" x14ac:dyDescent="0.25">
      <c r="A734">
        <v>6</v>
      </c>
      <c r="B734" s="1">
        <v>40354</v>
      </c>
      <c r="C734">
        <v>0</v>
      </c>
      <c r="D734">
        <v>84.2</v>
      </c>
      <c r="E734">
        <v>2.653</v>
      </c>
      <c r="F734">
        <v>212.86414120000001</v>
      </c>
      <c r="G734">
        <v>1640681.88</v>
      </c>
      <c r="H734" t="str">
        <f>TEXT(Ventas[[#This Row],[Fecha_venta]],"dd")</f>
        <v>25</v>
      </c>
      <c r="I734" t="str">
        <f>TEXT(Ventas[[#This Row],[Fecha_venta]],"m")</f>
        <v>6</v>
      </c>
      <c r="J734" t="str">
        <f>TEXT(Ventas[[#This Row],[Fecha_venta]],"yyyy")</f>
        <v>2010</v>
      </c>
    </row>
    <row r="735" spans="1:10" x14ac:dyDescent="0.25">
      <c r="A735">
        <v>6</v>
      </c>
      <c r="B735" s="1">
        <v>40361</v>
      </c>
      <c r="C735">
        <v>0</v>
      </c>
      <c r="D735">
        <v>80.34</v>
      </c>
      <c r="E735">
        <v>2.669</v>
      </c>
      <c r="F735">
        <v>212.74689799999999</v>
      </c>
      <c r="G735">
        <v>1759777.25</v>
      </c>
      <c r="H735" t="str">
        <f>TEXT(Ventas[[#This Row],[Fecha_venta]],"dd")</f>
        <v>02</v>
      </c>
      <c r="I735" t="str">
        <f>TEXT(Ventas[[#This Row],[Fecha_venta]],"m")</f>
        <v>7</v>
      </c>
      <c r="J735" t="str">
        <f>TEXT(Ventas[[#This Row],[Fecha_venta]],"yyyy")</f>
        <v>2010</v>
      </c>
    </row>
    <row r="736" spans="1:10" x14ac:dyDescent="0.25">
      <c r="A736">
        <v>6</v>
      </c>
      <c r="B736" s="1">
        <v>40368</v>
      </c>
      <c r="C736">
        <v>0</v>
      </c>
      <c r="D736">
        <v>80.930000000000007</v>
      </c>
      <c r="E736">
        <v>2.6419999999999999</v>
      </c>
      <c r="F736">
        <v>212.62965489999999</v>
      </c>
      <c r="G736">
        <v>1690317.99</v>
      </c>
      <c r="H736" t="str">
        <f>TEXT(Ventas[[#This Row],[Fecha_venta]],"dd")</f>
        <v>09</v>
      </c>
      <c r="I736" t="str">
        <f>TEXT(Ventas[[#This Row],[Fecha_venta]],"m")</f>
        <v>7</v>
      </c>
      <c r="J736" t="str">
        <f>TEXT(Ventas[[#This Row],[Fecha_venta]],"yyyy")</f>
        <v>2010</v>
      </c>
    </row>
    <row r="737" spans="1:10" x14ac:dyDescent="0.25">
      <c r="A737">
        <v>6</v>
      </c>
      <c r="B737" s="1">
        <v>40375</v>
      </c>
      <c r="C737">
        <v>0</v>
      </c>
      <c r="D737">
        <v>83.75</v>
      </c>
      <c r="E737">
        <v>2.6230000000000002</v>
      </c>
      <c r="F737">
        <v>212.62121629999999</v>
      </c>
      <c r="G737">
        <v>1560120.8</v>
      </c>
      <c r="H737" t="str">
        <f>TEXT(Ventas[[#This Row],[Fecha_venta]],"dd")</f>
        <v>16</v>
      </c>
      <c r="I737" t="str">
        <f>TEXT(Ventas[[#This Row],[Fecha_venta]],"m")</f>
        <v>7</v>
      </c>
      <c r="J737" t="str">
        <f>TEXT(Ventas[[#This Row],[Fecha_venta]],"yyyy")</f>
        <v>2010</v>
      </c>
    </row>
    <row r="738" spans="1:10" x14ac:dyDescent="0.25">
      <c r="A738">
        <v>6</v>
      </c>
      <c r="B738" s="1">
        <v>40382</v>
      </c>
      <c r="C738">
        <v>0</v>
      </c>
      <c r="D738">
        <v>83.9</v>
      </c>
      <c r="E738">
        <v>2.6080000000000001</v>
      </c>
      <c r="F738">
        <v>212.75785049999999</v>
      </c>
      <c r="G738">
        <v>1585240.92</v>
      </c>
      <c r="H738" t="str">
        <f>TEXT(Ventas[[#This Row],[Fecha_venta]],"dd")</f>
        <v>23</v>
      </c>
      <c r="I738" t="str">
        <f>TEXT(Ventas[[#This Row],[Fecha_venta]],"m")</f>
        <v>7</v>
      </c>
      <c r="J738" t="str">
        <f>TEXT(Ventas[[#This Row],[Fecha_venta]],"yyyy")</f>
        <v>2010</v>
      </c>
    </row>
    <row r="739" spans="1:10" x14ac:dyDescent="0.25">
      <c r="A739">
        <v>6</v>
      </c>
      <c r="B739" s="1">
        <v>40389</v>
      </c>
      <c r="C739">
        <v>0</v>
      </c>
      <c r="D739">
        <v>81.37</v>
      </c>
      <c r="E739">
        <v>2.64</v>
      </c>
      <c r="F739">
        <v>212.8944846</v>
      </c>
      <c r="G739">
        <v>1532308.78</v>
      </c>
      <c r="H739" t="str">
        <f>TEXT(Ventas[[#This Row],[Fecha_venta]],"dd")</f>
        <v>30</v>
      </c>
      <c r="I739" t="str">
        <f>TEXT(Ventas[[#This Row],[Fecha_venta]],"m")</f>
        <v>7</v>
      </c>
      <c r="J739" t="str">
        <f>TEXT(Ventas[[#This Row],[Fecha_venta]],"yyyy")</f>
        <v>2010</v>
      </c>
    </row>
    <row r="740" spans="1:10" x14ac:dyDescent="0.25">
      <c r="A740">
        <v>6</v>
      </c>
      <c r="B740" s="1">
        <v>40396</v>
      </c>
      <c r="C740">
        <v>0</v>
      </c>
      <c r="D740">
        <v>86.61</v>
      </c>
      <c r="E740">
        <v>2.6269999999999998</v>
      </c>
      <c r="F740">
        <v>213.0311188</v>
      </c>
      <c r="G740">
        <v>1633241.59</v>
      </c>
      <c r="H740" t="str">
        <f>TEXT(Ventas[[#This Row],[Fecha_venta]],"dd")</f>
        <v>06</v>
      </c>
      <c r="I740" t="str">
        <f>TEXT(Ventas[[#This Row],[Fecha_venta]],"m")</f>
        <v>8</v>
      </c>
      <c r="J740" t="str">
        <f>TEXT(Ventas[[#This Row],[Fecha_venta]],"yyyy")</f>
        <v>2010</v>
      </c>
    </row>
    <row r="741" spans="1:10" x14ac:dyDescent="0.25">
      <c r="A741">
        <v>6</v>
      </c>
      <c r="B741" s="1">
        <v>40403</v>
      </c>
      <c r="C741">
        <v>0</v>
      </c>
      <c r="D741">
        <v>86.83</v>
      </c>
      <c r="E741">
        <v>2.6920000000000002</v>
      </c>
      <c r="F741">
        <v>213.16775290000001</v>
      </c>
      <c r="G741">
        <v>1547654.98</v>
      </c>
      <c r="H741" t="str">
        <f>TEXT(Ventas[[#This Row],[Fecha_venta]],"dd")</f>
        <v>13</v>
      </c>
      <c r="I741" t="str">
        <f>TEXT(Ventas[[#This Row],[Fecha_venta]],"m")</f>
        <v>8</v>
      </c>
      <c r="J741" t="str">
        <f>TEXT(Ventas[[#This Row],[Fecha_venta]],"yyyy")</f>
        <v>2010</v>
      </c>
    </row>
    <row r="742" spans="1:10" x14ac:dyDescent="0.25">
      <c r="A742">
        <v>6</v>
      </c>
      <c r="B742" s="1">
        <v>40410</v>
      </c>
      <c r="C742">
        <v>0</v>
      </c>
      <c r="D742">
        <v>87.36</v>
      </c>
      <c r="E742">
        <v>2.6640000000000001</v>
      </c>
      <c r="F742">
        <v>213.12914269999999</v>
      </c>
      <c r="G742">
        <v>1539930.5</v>
      </c>
      <c r="H742" t="str">
        <f>TEXT(Ventas[[#This Row],[Fecha_venta]],"dd")</f>
        <v>20</v>
      </c>
      <c r="I742" t="str">
        <f>TEXT(Ventas[[#This Row],[Fecha_venta]],"m")</f>
        <v>8</v>
      </c>
      <c r="J742" t="str">
        <f>TEXT(Ventas[[#This Row],[Fecha_venta]],"yyyy")</f>
        <v>2010</v>
      </c>
    </row>
    <row r="743" spans="1:10" x14ac:dyDescent="0.25">
      <c r="A743">
        <v>6</v>
      </c>
      <c r="B743" s="1">
        <v>40417</v>
      </c>
      <c r="C743">
        <v>0</v>
      </c>
      <c r="D743">
        <v>85.71</v>
      </c>
      <c r="E743">
        <v>2.6190000000000002</v>
      </c>
      <c r="F743">
        <v>213.0905324</v>
      </c>
      <c r="G743">
        <v>1450766.12</v>
      </c>
      <c r="H743" t="str">
        <f>TEXT(Ventas[[#This Row],[Fecha_venta]],"dd")</f>
        <v>27</v>
      </c>
      <c r="I743" t="str">
        <f>TEXT(Ventas[[#This Row],[Fecha_venta]],"m")</f>
        <v>8</v>
      </c>
      <c r="J743" t="str">
        <f>TEXT(Ventas[[#This Row],[Fecha_venta]],"yyyy")</f>
        <v>2010</v>
      </c>
    </row>
    <row r="744" spans="1:10" x14ac:dyDescent="0.25">
      <c r="A744">
        <v>6</v>
      </c>
      <c r="B744" s="1">
        <v>40424</v>
      </c>
      <c r="C744">
        <v>0</v>
      </c>
      <c r="D744">
        <v>82.15</v>
      </c>
      <c r="E744">
        <v>2.577</v>
      </c>
      <c r="F744">
        <v>213.05192220000001</v>
      </c>
      <c r="G744">
        <v>1510925.32</v>
      </c>
      <c r="H744" t="str">
        <f>TEXT(Ventas[[#This Row],[Fecha_venta]],"dd")</f>
        <v>03</v>
      </c>
      <c r="I744" t="str">
        <f>TEXT(Ventas[[#This Row],[Fecha_venta]],"m")</f>
        <v>9</v>
      </c>
      <c r="J744" t="str">
        <f>TEXT(Ventas[[#This Row],[Fecha_venta]],"yyyy")</f>
        <v>2010</v>
      </c>
    </row>
    <row r="745" spans="1:10" x14ac:dyDescent="0.25">
      <c r="A745">
        <v>6</v>
      </c>
      <c r="B745" s="1">
        <v>40431</v>
      </c>
      <c r="C745">
        <v>1</v>
      </c>
      <c r="D745">
        <v>78.78</v>
      </c>
      <c r="E745">
        <v>2.5649999999999999</v>
      </c>
      <c r="F745">
        <v>213.01331200000001</v>
      </c>
      <c r="G745">
        <v>1424225.44</v>
      </c>
      <c r="H745" t="str">
        <f>TEXT(Ventas[[#This Row],[Fecha_venta]],"dd")</f>
        <v>10</v>
      </c>
      <c r="I745" t="str">
        <f>TEXT(Ventas[[#This Row],[Fecha_venta]],"m")</f>
        <v>9</v>
      </c>
      <c r="J745" t="str">
        <f>TEXT(Ventas[[#This Row],[Fecha_venta]],"yyyy")</f>
        <v>2010</v>
      </c>
    </row>
    <row r="746" spans="1:10" x14ac:dyDescent="0.25">
      <c r="A746">
        <v>6</v>
      </c>
      <c r="B746" s="1">
        <v>40438</v>
      </c>
      <c r="C746">
        <v>0</v>
      </c>
      <c r="D746">
        <v>81.78</v>
      </c>
      <c r="E746">
        <v>2.5819999999999999</v>
      </c>
      <c r="F746">
        <v>213.0398643</v>
      </c>
      <c r="G746">
        <v>1308537.75</v>
      </c>
      <c r="H746" t="str">
        <f>TEXT(Ventas[[#This Row],[Fecha_venta]],"dd")</f>
        <v>17</v>
      </c>
      <c r="I746" t="str">
        <f>TEXT(Ventas[[#This Row],[Fecha_venta]],"m")</f>
        <v>9</v>
      </c>
      <c r="J746" t="str">
        <f>TEXT(Ventas[[#This Row],[Fecha_venta]],"yyyy")</f>
        <v>2010</v>
      </c>
    </row>
    <row r="747" spans="1:10" x14ac:dyDescent="0.25">
      <c r="A747">
        <v>6</v>
      </c>
      <c r="B747" s="1">
        <v>40445</v>
      </c>
      <c r="C747">
        <v>0</v>
      </c>
      <c r="D747">
        <v>76.489999999999995</v>
      </c>
      <c r="E747">
        <v>2.6240000000000001</v>
      </c>
      <c r="F747">
        <v>213.11528860000001</v>
      </c>
      <c r="G747">
        <v>1275591.8400000001</v>
      </c>
      <c r="H747" t="str">
        <f>TEXT(Ventas[[#This Row],[Fecha_venta]],"dd")</f>
        <v>24</v>
      </c>
      <c r="I747" t="str">
        <f>TEXT(Ventas[[#This Row],[Fecha_venta]],"m")</f>
        <v>9</v>
      </c>
      <c r="J747" t="str">
        <f>TEXT(Ventas[[#This Row],[Fecha_venta]],"yyyy")</f>
        <v>2010</v>
      </c>
    </row>
    <row r="748" spans="1:10" x14ac:dyDescent="0.25">
      <c r="A748">
        <v>6</v>
      </c>
      <c r="B748" s="1">
        <v>40452</v>
      </c>
      <c r="C748">
        <v>0</v>
      </c>
      <c r="D748">
        <v>70.69</v>
      </c>
      <c r="E748">
        <v>2.6030000000000002</v>
      </c>
      <c r="F748">
        <v>213.19071289999999</v>
      </c>
      <c r="G748">
        <v>1328468.8899999999</v>
      </c>
      <c r="H748" t="str">
        <f>TEXT(Ventas[[#This Row],[Fecha_venta]],"dd")</f>
        <v>01</v>
      </c>
      <c r="I748" t="str">
        <f>TEXT(Ventas[[#This Row],[Fecha_venta]],"m")</f>
        <v>10</v>
      </c>
      <c r="J748" t="str">
        <f>TEXT(Ventas[[#This Row],[Fecha_venta]],"yyyy")</f>
        <v>2010</v>
      </c>
    </row>
    <row r="749" spans="1:10" x14ac:dyDescent="0.25">
      <c r="A749">
        <v>6</v>
      </c>
      <c r="B749" s="1">
        <v>40459</v>
      </c>
      <c r="C749">
        <v>0</v>
      </c>
      <c r="D749">
        <v>65.209999999999994</v>
      </c>
      <c r="E749">
        <v>2.633</v>
      </c>
      <c r="F749">
        <v>213.2661373</v>
      </c>
      <c r="G749">
        <v>1360317.9</v>
      </c>
      <c r="H749" t="str">
        <f>TEXT(Ventas[[#This Row],[Fecha_venta]],"dd")</f>
        <v>08</v>
      </c>
      <c r="I749" t="str">
        <f>TEXT(Ventas[[#This Row],[Fecha_venta]],"m")</f>
        <v>10</v>
      </c>
      <c r="J749" t="str">
        <f>TEXT(Ventas[[#This Row],[Fecha_venta]],"yyyy")</f>
        <v>2010</v>
      </c>
    </row>
    <row r="750" spans="1:10" x14ac:dyDescent="0.25">
      <c r="A750">
        <v>6</v>
      </c>
      <c r="B750" s="1">
        <v>40466</v>
      </c>
      <c r="C750">
        <v>0</v>
      </c>
      <c r="D750">
        <v>68.930000000000007</v>
      </c>
      <c r="E750">
        <v>2.72</v>
      </c>
      <c r="F750">
        <v>213.33379769999999</v>
      </c>
      <c r="G750">
        <v>1344580.92</v>
      </c>
      <c r="H750" t="str">
        <f>TEXT(Ventas[[#This Row],[Fecha_venta]],"dd")</f>
        <v>15</v>
      </c>
      <c r="I750" t="str">
        <f>TEXT(Ventas[[#This Row],[Fecha_venta]],"m")</f>
        <v>10</v>
      </c>
      <c r="J750" t="str">
        <f>TEXT(Ventas[[#This Row],[Fecha_venta]],"yyyy")</f>
        <v>2010</v>
      </c>
    </row>
    <row r="751" spans="1:10" x14ac:dyDescent="0.25">
      <c r="A751">
        <v>6</v>
      </c>
      <c r="B751" s="1">
        <v>40473</v>
      </c>
      <c r="C751">
        <v>0</v>
      </c>
      <c r="D751">
        <v>70.97</v>
      </c>
      <c r="E751">
        <v>2.7250000000000001</v>
      </c>
      <c r="F751">
        <v>213.38204859999999</v>
      </c>
      <c r="G751">
        <v>1332716.53</v>
      </c>
      <c r="H751" t="str">
        <f>TEXT(Ventas[[#This Row],[Fecha_venta]],"dd")</f>
        <v>22</v>
      </c>
      <c r="I751" t="str">
        <f>TEXT(Ventas[[#This Row],[Fecha_venta]],"m")</f>
        <v>10</v>
      </c>
      <c r="J751" t="str">
        <f>TEXT(Ventas[[#This Row],[Fecha_venta]],"yyyy")</f>
        <v>2010</v>
      </c>
    </row>
    <row r="752" spans="1:10" x14ac:dyDescent="0.25">
      <c r="A752">
        <v>6</v>
      </c>
      <c r="B752" s="1">
        <v>40480</v>
      </c>
      <c r="C752">
        <v>0</v>
      </c>
      <c r="D752">
        <v>70.39</v>
      </c>
      <c r="E752">
        <v>2.7160000000000002</v>
      </c>
      <c r="F752">
        <v>213.4302994</v>
      </c>
      <c r="G752">
        <v>1385323.7</v>
      </c>
      <c r="H752" t="str">
        <f>TEXT(Ventas[[#This Row],[Fecha_venta]],"dd")</f>
        <v>29</v>
      </c>
      <c r="I752" t="str">
        <f>TEXT(Ventas[[#This Row],[Fecha_venta]],"m")</f>
        <v>10</v>
      </c>
      <c r="J752" t="str">
        <f>TEXT(Ventas[[#This Row],[Fecha_venta]],"yyyy")</f>
        <v>2010</v>
      </c>
    </row>
    <row r="753" spans="1:10" x14ac:dyDescent="0.25">
      <c r="A753">
        <v>6</v>
      </c>
      <c r="B753" s="1">
        <v>40487</v>
      </c>
      <c r="C753">
        <v>0</v>
      </c>
      <c r="D753">
        <v>59.9</v>
      </c>
      <c r="E753">
        <v>2.6890000000000001</v>
      </c>
      <c r="F753">
        <v>213.47855029999999</v>
      </c>
      <c r="G753">
        <v>1505442.15</v>
      </c>
      <c r="H753" t="str">
        <f>TEXT(Ventas[[#This Row],[Fecha_venta]],"dd")</f>
        <v>05</v>
      </c>
      <c r="I753" t="str">
        <f>TEXT(Ventas[[#This Row],[Fecha_venta]],"m")</f>
        <v>11</v>
      </c>
      <c r="J753" t="str">
        <f>TEXT(Ventas[[#This Row],[Fecha_venta]],"yyyy")</f>
        <v>2010</v>
      </c>
    </row>
    <row r="754" spans="1:10" x14ac:dyDescent="0.25">
      <c r="A754">
        <v>6</v>
      </c>
      <c r="B754" s="1">
        <v>40494</v>
      </c>
      <c r="C754">
        <v>0</v>
      </c>
      <c r="D754">
        <v>62.11</v>
      </c>
      <c r="E754">
        <v>2.7280000000000002</v>
      </c>
      <c r="F754">
        <v>213.5268011</v>
      </c>
      <c r="G754">
        <v>1495536.46</v>
      </c>
      <c r="H754" t="str">
        <f>TEXT(Ventas[[#This Row],[Fecha_venta]],"dd")</f>
        <v>12</v>
      </c>
      <c r="I754" t="str">
        <f>TEXT(Ventas[[#This Row],[Fecha_venta]],"m")</f>
        <v>11</v>
      </c>
      <c r="J754" t="str">
        <f>TEXT(Ventas[[#This Row],[Fecha_venta]],"yyyy")</f>
        <v>2010</v>
      </c>
    </row>
    <row r="755" spans="1:10" x14ac:dyDescent="0.25">
      <c r="A755">
        <v>6</v>
      </c>
      <c r="B755" s="1">
        <v>40501</v>
      </c>
      <c r="C755">
        <v>0</v>
      </c>
      <c r="D755">
        <v>52.99</v>
      </c>
      <c r="E755">
        <v>2.7709999999999999</v>
      </c>
      <c r="F755">
        <v>213.41074119999999</v>
      </c>
      <c r="G755">
        <v>1518841.45</v>
      </c>
      <c r="H755" t="str">
        <f>TEXT(Ventas[[#This Row],[Fecha_venta]],"dd")</f>
        <v>19</v>
      </c>
      <c r="I755" t="str">
        <f>TEXT(Ventas[[#This Row],[Fecha_venta]],"m")</f>
        <v>11</v>
      </c>
      <c r="J755" t="str">
        <f>TEXT(Ventas[[#This Row],[Fecha_venta]],"yyyy")</f>
        <v>2010</v>
      </c>
    </row>
    <row r="756" spans="1:10" x14ac:dyDescent="0.25">
      <c r="A756">
        <v>6</v>
      </c>
      <c r="B756" s="1">
        <v>40508</v>
      </c>
      <c r="C756">
        <v>1</v>
      </c>
      <c r="D756">
        <v>65.790000000000006</v>
      </c>
      <c r="E756">
        <v>2.7349999999999999</v>
      </c>
      <c r="F756">
        <v>213.26729610000001</v>
      </c>
      <c r="G756">
        <v>2267452.4</v>
      </c>
      <c r="H756" t="str">
        <f>TEXT(Ventas[[#This Row],[Fecha_venta]],"dd")</f>
        <v>26</v>
      </c>
      <c r="I756" t="str">
        <f>TEXT(Ventas[[#This Row],[Fecha_venta]],"m")</f>
        <v>11</v>
      </c>
      <c r="J756" t="str">
        <f>TEXT(Ventas[[#This Row],[Fecha_venta]],"yyyy")</f>
        <v>2010</v>
      </c>
    </row>
    <row r="757" spans="1:10" x14ac:dyDescent="0.25">
      <c r="A757">
        <v>6</v>
      </c>
      <c r="B757" s="1">
        <v>40515</v>
      </c>
      <c r="C757">
        <v>0</v>
      </c>
      <c r="D757">
        <v>52.3</v>
      </c>
      <c r="E757">
        <v>2.7080000000000002</v>
      </c>
      <c r="F757">
        <v>213.123851</v>
      </c>
      <c r="G757">
        <v>1677067.24</v>
      </c>
      <c r="H757" t="str">
        <f>TEXT(Ventas[[#This Row],[Fecha_venta]],"dd")</f>
        <v>03</v>
      </c>
      <c r="I757" t="str">
        <f>TEXT(Ventas[[#This Row],[Fecha_venta]],"m")</f>
        <v>12</v>
      </c>
      <c r="J757" t="str">
        <f>TEXT(Ventas[[#This Row],[Fecha_venta]],"yyyy")</f>
        <v>2010</v>
      </c>
    </row>
    <row r="758" spans="1:10" x14ac:dyDescent="0.25">
      <c r="A758">
        <v>6</v>
      </c>
      <c r="B758" s="1">
        <v>40522</v>
      </c>
      <c r="C758">
        <v>0</v>
      </c>
      <c r="D758">
        <v>48.46</v>
      </c>
      <c r="E758">
        <v>2.843</v>
      </c>
      <c r="F758">
        <v>212.98040589999999</v>
      </c>
      <c r="G758">
        <v>1834737.58</v>
      </c>
      <c r="H758" t="str">
        <f>TEXT(Ventas[[#This Row],[Fecha_venta]],"dd")</f>
        <v>10</v>
      </c>
      <c r="I758" t="str">
        <f>TEXT(Ventas[[#This Row],[Fecha_venta]],"m")</f>
        <v>12</v>
      </c>
      <c r="J758" t="str">
        <f>TEXT(Ventas[[#This Row],[Fecha_venta]],"yyyy")</f>
        <v>2010</v>
      </c>
    </row>
    <row r="759" spans="1:10" x14ac:dyDescent="0.25">
      <c r="A759">
        <v>6</v>
      </c>
      <c r="B759" s="1">
        <v>40529</v>
      </c>
      <c r="C759">
        <v>0</v>
      </c>
      <c r="D759">
        <v>52.24</v>
      </c>
      <c r="E759">
        <v>2.8690000000000002</v>
      </c>
      <c r="F759">
        <v>212.918049</v>
      </c>
      <c r="G759">
        <v>2090268.95</v>
      </c>
      <c r="H759" t="str">
        <f>TEXT(Ventas[[#This Row],[Fecha_venta]],"dd")</f>
        <v>17</v>
      </c>
      <c r="I759" t="str">
        <f>TEXT(Ventas[[#This Row],[Fecha_venta]],"m")</f>
        <v>12</v>
      </c>
      <c r="J759" t="str">
        <f>TEXT(Ventas[[#This Row],[Fecha_venta]],"yyyy")</f>
        <v>2010</v>
      </c>
    </row>
    <row r="760" spans="1:10" x14ac:dyDescent="0.25">
      <c r="A760">
        <v>6</v>
      </c>
      <c r="B760" s="1">
        <v>40536</v>
      </c>
      <c r="C760">
        <v>0</v>
      </c>
      <c r="D760">
        <v>55.07</v>
      </c>
      <c r="E760">
        <v>2.8860000000000001</v>
      </c>
      <c r="F760">
        <v>212.91650820000001</v>
      </c>
      <c r="G760">
        <v>2727575.18</v>
      </c>
      <c r="H760" t="str">
        <f>TEXT(Ventas[[#This Row],[Fecha_venta]],"dd")</f>
        <v>24</v>
      </c>
      <c r="I760" t="str">
        <f>TEXT(Ventas[[#This Row],[Fecha_venta]],"m")</f>
        <v>12</v>
      </c>
      <c r="J760" t="str">
        <f>TEXT(Ventas[[#This Row],[Fecha_venta]],"yyyy")</f>
        <v>2010</v>
      </c>
    </row>
    <row r="761" spans="1:10" x14ac:dyDescent="0.25">
      <c r="A761">
        <v>6</v>
      </c>
      <c r="B761" s="1">
        <v>40543</v>
      </c>
      <c r="C761">
        <v>1</v>
      </c>
      <c r="D761">
        <v>49.14</v>
      </c>
      <c r="E761">
        <v>2.9430000000000001</v>
      </c>
      <c r="F761">
        <v>212.91496739999999</v>
      </c>
      <c r="G761">
        <v>1464050.02</v>
      </c>
      <c r="H761" t="str">
        <f>TEXT(Ventas[[#This Row],[Fecha_venta]],"dd")</f>
        <v>31</v>
      </c>
      <c r="I761" t="str">
        <f>TEXT(Ventas[[#This Row],[Fecha_venta]],"m")</f>
        <v>12</v>
      </c>
      <c r="J761" t="str">
        <f>TEXT(Ventas[[#This Row],[Fecha_venta]],"yyyy")</f>
        <v>2010</v>
      </c>
    </row>
    <row r="762" spans="1:10" x14ac:dyDescent="0.25">
      <c r="A762">
        <v>6</v>
      </c>
      <c r="B762" s="1">
        <v>40550</v>
      </c>
      <c r="C762">
        <v>0</v>
      </c>
      <c r="D762">
        <v>47.78</v>
      </c>
      <c r="E762">
        <v>2.976</v>
      </c>
      <c r="F762">
        <v>212.91342660000001</v>
      </c>
      <c r="G762">
        <v>1350441.68</v>
      </c>
      <c r="H762" t="str">
        <f>TEXT(Ventas[[#This Row],[Fecha_venta]],"dd")</f>
        <v>07</v>
      </c>
      <c r="I762" t="str">
        <f>TEXT(Ventas[[#This Row],[Fecha_venta]],"m")</f>
        <v>1</v>
      </c>
      <c r="J762" t="str">
        <f>TEXT(Ventas[[#This Row],[Fecha_venta]],"yyyy")</f>
        <v>2011</v>
      </c>
    </row>
    <row r="763" spans="1:10" x14ac:dyDescent="0.25">
      <c r="A763">
        <v>6</v>
      </c>
      <c r="B763" s="1">
        <v>40557</v>
      </c>
      <c r="C763">
        <v>0</v>
      </c>
      <c r="D763">
        <v>38.369999999999997</v>
      </c>
      <c r="E763">
        <v>2.9830000000000001</v>
      </c>
      <c r="F763">
        <v>212.96558820000001</v>
      </c>
      <c r="G763">
        <v>1306194.55</v>
      </c>
      <c r="H763" t="str">
        <f>TEXT(Ventas[[#This Row],[Fecha_venta]],"dd")</f>
        <v>14</v>
      </c>
      <c r="I763" t="str">
        <f>TEXT(Ventas[[#This Row],[Fecha_venta]],"m")</f>
        <v>1</v>
      </c>
      <c r="J763" t="str">
        <f>TEXT(Ventas[[#This Row],[Fecha_venta]],"yyyy")</f>
        <v>2011</v>
      </c>
    </row>
    <row r="764" spans="1:10" x14ac:dyDescent="0.25">
      <c r="A764">
        <v>6</v>
      </c>
      <c r="B764" s="1">
        <v>40564</v>
      </c>
      <c r="C764">
        <v>0</v>
      </c>
      <c r="D764">
        <v>46.2</v>
      </c>
      <c r="E764">
        <v>3.016</v>
      </c>
      <c r="F764">
        <v>213.3399647</v>
      </c>
      <c r="G764">
        <v>1261253.18</v>
      </c>
      <c r="H764" t="str">
        <f>TEXT(Ventas[[#This Row],[Fecha_venta]],"dd")</f>
        <v>21</v>
      </c>
      <c r="I764" t="str">
        <f>TEXT(Ventas[[#This Row],[Fecha_venta]],"m")</f>
        <v>1</v>
      </c>
      <c r="J764" t="str">
        <f>TEXT(Ventas[[#This Row],[Fecha_venta]],"yyyy")</f>
        <v>2011</v>
      </c>
    </row>
    <row r="765" spans="1:10" x14ac:dyDescent="0.25">
      <c r="A765">
        <v>6</v>
      </c>
      <c r="B765" s="1">
        <v>40571</v>
      </c>
      <c r="C765">
        <v>0</v>
      </c>
      <c r="D765">
        <v>44.98</v>
      </c>
      <c r="E765">
        <v>3.01</v>
      </c>
      <c r="F765">
        <v>213.71434120000001</v>
      </c>
      <c r="G765">
        <v>1287034.7</v>
      </c>
      <c r="H765" t="str">
        <f>TEXT(Ventas[[#This Row],[Fecha_venta]],"dd")</f>
        <v>28</v>
      </c>
      <c r="I765" t="str">
        <f>TEXT(Ventas[[#This Row],[Fecha_venta]],"m")</f>
        <v>1</v>
      </c>
      <c r="J765" t="str">
        <f>TEXT(Ventas[[#This Row],[Fecha_venta]],"yyyy")</f>
        <v>2011</v>
      </c>
    </row>
    <row r="766" spans="1:10" x14ac:dyDescent="0.25">
      <c r="A766">
        <v>6</v>
      </c>
      <c r="B766" s="1">
        <v>40578</v>
      </c>
      <c r="C766">
        <v>0</v>
      </c>
      <c r="D766">
        <v>40.590000000000003</v>
      </c>
      <c r="E766">
        <v>2.9889999999999999</v>
      </c>
      <c r="F766">
        <v>214.0887176</v>
      </c>
      <c r="G766">
        <v>1514999.17</v>
      </c>
      <c r="H766" t="str">
        <f>TEXT(Ventas[[#This Row],[Fecha_venta]],"dd")</f>
        <v>04</v>
      </c>
      <c r="I766" t="str">
        <f>TEXT(Ventas[[#This Row],[Fecha_venta]],"m")</f>
        <v>2</v>
      </c>
      <c r="J766" t="str">
        <f>TEXT(Ventas[[#This Row],[Fecha_venta]],"yyyy")</f>
        <v>2011</v>
      </c>
    </row>
    <row r="767" spans="1:10" x14ac:dyDescent="0.25">
      <c r="A767">
        <v>6</v>
      </c>
      <c r="B767" s="1">
        <v>40585</v>
      </c>
      <c r="C767">
        <v>1</v>
      </c>
      <c r="D767">
        <v>39.380000000000003</v>
      </c>
      <c r="E767">
        <v>3.0219999999999998</v>
      </c>
      <c r="F767">
        <v>214.46309410000001</v>
      </c>
      <c r="G767">
        <v>1486920.17</v>
      </c>
      <c r="H767" t="str">
        <f>TEXT(Ventas[[#This Row],[Fecha_venta]],"dd")</f>
        <v>11</v>
      </c>
      <c r="I767" t="str">
        <f>TEXT(Ventas[[#This Row],[Fecha_venta]],"m")</f>
        <v>2</v>
      </c>
      <c r="J767" t="str">
        <f>TEXT(Ventas[[#This Row],[Fecha_venta]],"yyyy")</f>
        <v>2011</v>
      </c>
    </row>
    <row r="768" spans="1:10" x14ac:dyDescent="0.25">
      <c r="A768">
        <v>6</v>
      </c>
      <c r="B768" s="1">
        <v>40592</v>
      </c>
      <c r="C768">
        <v>0</v>
      </c>
      <c r="D768">
        <v>59.61</v>
      </c>
      <c r="E768">
        <v>3.0449999999999999</v>
      </c>
      <c r="F768">
        <v>214.7775231</v>
      </c>
      <c r="G768">
        <v>1572117.54</v>
      </c>
      <c r="H768" t="str">
        <f>TEXT(Ventas[[#This Row],[Fecha_venta]],"dd")</f>
        <v>18</v>
      </c>
      <c r="I768" t="str">
        <f>TEXT(Ventas[[#This Row],[Fecha_venta]],"m")</f>
        <v>2</v>
      </c>
      <c r="J768" t="str">
        <f>TEXT(Ventas[[#This Row],[Fecha_venta]],"yyyy")</f>
        <v>2011</v>
      </c>
    </row>
    <row r="769" spans="1:10" x14ac:dyDescent="0.25">
      <c r="A769">
        <v>6</v>
      </c>
      <c r="B769" s="1">
        <v>40599</v>
      </c>
      <c r="C769">
        <v>0</v>
      </c>
      <c r="D769">
        <v>62.86</v>
      </c>
      <c r="E769">
        <v>3.0649999999999999</v>
      </c>
      <c r="F769">
        <v>215.06797309999999</v>
      </c>
      <c r="G769">
        <v>1422600.43</v>
      </c>
      <c r="H769" t="str">
        <f>TEXT(Ventas[[#This Row],[Fecha_venta]],"dd")</f>
        <v>25</v>
      </c>
      <c r="I769" t="str">
        <f>TEXT(Ventas[[#This Row],[Fecha_venta]],"m")</f>
        <v>2</v>
      </c>
      <c r="J769" t="str">
        <f>TEXT(Ventas[[#This Row],[Fecha_venta]],"yyyy")</f>
        <v>2011</v>
      </c>
    </row>
    <row r="770" spans="1:10" x14ac:dyDescent="0.25">
      <c r="A770">
        <v>6</v>
      </c>
      <c r="B770" s="1">
        <v>40606</v>
      </c>
      <c r="C770">
        <v>0</v>
      </c>
      <c r="D770">
        <v>60.45</v>
      </c>
      <c r="E770">
        <v>3.2879999999999998</v>
      </c>
      <c r="F770">
        <v>215.35842310000001</v>
      </c>
      <c r="G770">
        <v>1502617.99</v>
      </c>
      <c r="H770" t="str">
        <f>TEXT(Ventas[[#This Row],[Fecha_venta]],"dd")</f>
        <v>04</v>
      </c>
      <c r="I770" t="str">
        <f>TEXT(Ventas[[#This Row],[Fecha_venta]],"m")</f>
        <v>3</v>
      </c>
      <c r="J770" t="str">
        <f>TEXT(Ventas[[#This Row],[Fecha_venta]],"yyyy")</f>
        <v>2011</v>
      </c>
    </row>
    <row r="771" spans="1:10" x14ac:dyDescent="0.25">
      <c r="A771">
        <v>6</v>
      </c>
      <c r="B771" s="1">
        <v>40613</v>
      </c>
      <c r="C771">
        <v>0</v>
      </c>
      <c r="D771">
        <v>57.71</v>
      </c>
      <c r="E771">
        <v>3.4590000000000001</v>
      </c>
      <c r="F771">
        <v>215.6488731</v>
      </c>
      <c r="G771">
        <v>1494497.39</v>
      </c>
      <c r="H771" t="str">
        <f>TEXT(Ventas[[#This Row],[Fecha_venta]],"dd")</f>
        <v>11</v>
      </c>
      <c r="I771" t="str">
        <f>TEXT(Ventas[[#This Row],[Fecha_venta]],"m")</f>
        <v>3</v>
      </c>
      <c r="J771" t="str">
        <f>TEXT(Ventas[[#This Row],[Fecha_venta]],"yyyy")</f>
        <v>2011</v>
      </c>
    </row>
    <row r="772" spans="1:10" x14ac:dyDescent="0.25">
      <c r="A772">
        <v>6</v>
      </c>
      <c r="B772" s="1">
        <v>40620</v>
      </c>
      <c r="C772">
        <v>0</v>
      </c>
      <c r="D772">
        <v>65.069999999999993</v>
      </c>
      <c r="E772">
        <v>3.488</v>
      </c>
      <c r="F772">
        <v>215.9035078</v>
      </c>
      <c r="G772">
        <v>1685375.47</v>
      </c>
      <c r="H772" t="str">
        <f>TEXT(Ventas[[#This Row],[Fecha_venta]],"dd")</f>
        <v>18</v>
      </c>
      <c r="I772" t="str">
        <f>TEXT(Ventas[[#This Row],[Fecha_venta]],"m")</f>
        <v>3</v>
      </c>
      <c r="J772" t="str">
        <f>TEXT(Ventas[[#This Row],[Fecha_venta]],"yyyy")</f>
        <v>2011</v>
      </c>
    </row>
    <row r="773" spans="1:10" x14ac:dyDescent="0.25">
      <c r="A773">
        <v>6</v>
      </c>
      <c r="B773" s="1">
        <v>40627</v>
      </c>
      <c r="C773">
        <v>0</v>
      </c>
      <c r="D773">
        <v>70.83</v>
      </c>
      <c r="E773">
        <v>3.4729999999999999</v>
      </c>
      <c r="F773">
        <v>216.1438163</v>
      </c>
      <c r="G773">
        <v>1438465.81</v>
      </c>
      <c r="H773" t="str">
        <f>TEXT(Ventas[[#This Row],[Fecha_venta]],"dd")</f>
        <v>25</v>
      </c>
      <c r="I773" t="str">
        <f>TEXT(Ventas[[#This Row],[Fecha_venta]],"m")</f>
        <v>3</v>
      </c>
      <c r="J773" t="str">
        <f>TEXT(Ventas[[#This Row],[Fecha_venta]],"yyyy")</f>
        <v>2011</v>
      </c>
    </row>
    <row r="774" spans="1:10" x14ac:dyDescent="0.25">
      <c r="A774">
        <v>6</v>
      </c>
      <c r="B774" s="1">
        <v>40634</v>
      </c>
      <c r="C774">
        <v>0</v>
      </c>
      <c r="D774">
        <v>62.25</v>
      </c>
      <c r="E774">
        <v>3.524</v>
      </c>
      <c r="F774">
        <v>216.38412489999999</v>
      </c>
      <c r="G774">
        <v>1459276.77</v>
      </c>
      <c r="H774" t="str">
        <f>TEXT(Ventas[[#This Row],[Fecha_venta]],"dd")</f>
        <v>01</v>
      </c>
      <c r="I774" t="str">
        <f>TEXT(Ventas[[#This Row],[Fecha_venta]],"m")</f>
        <v>4</v>
      </c>
      <c r="J774" t="str">
        <f>TEXT(Ventas[[#This Row],[Fecha_venta]],"yyyy")</f>
        <v>2011</v>
      </c>
    </row>
    <row r="775" spans="1:10" x14ac:dyDescent="0.25">
      <c r="A775">
        <v>6</v>
      </c>
      <c r="B775" s="1">
        <v>40641</v>
      </c>
      <c r="C775">
        <v>0</v>
      </c>
      <c r="D775">
        <v>70.349999999999994</v>
      </c>
      <c r="E775">
        <v>3.6219999999999999</v>
      </c>
      <c r="F775">
        <v>216.62443339999999</v>
      </c>
      <c r="G775">
        <v>1534594</v>
      </c>
      <c r="H775" t="str">
        <f>TEXT(Ventas[[#This Row],[Fecha_venta]],"dd")</f>
        <v>08</v>
      </c>
      <c r="I775" t="str">
        <f>TEXT(Ventas[[#This Row],[Fecha_venta]],"m")</f>
        <v>4</v>
      </c>
      <c r="J775" t="str">
        <f>TEXT(Ventas[[#This Row],[Fecha_venta]],"yyyy")</f>
        <v>2011</v>
      </c>
    </row>
    <row r="776" spans="1:10" x14ac:dyDescent="0.25">
      <c r="A776">
        <v>6</v>
      </c>
      <c r="B776" s="1">
        <v>40648</v>
      </c>
      <c r="C776">
        <v>0</v>
      </c>
      <c r="D776">
        <v>73.17</v>
      </c>
      <c r="E776">
        <v>3.7429999999999999</v>
      </c>
      <c r="F776">
        <v>216.84466269999999</v>
      </c>
      <c r="G776">
        <v>1448797.02</v>
      </c>
      <c r="H776" t="str">
        <f>TEXT(Ventas[[#This Row],[Fecha_venta]],"dd")</f>
        <v>15</v>
      </c>
      <c r="I776" t="str">
        <f>TEXT(Ventas[[#This Row],[Fecha_venta]],"m")</f>
        <v>4</v>
      </c>
      <c r="J776" t="str">
        <f>TEXT(Ventas[[#This Row],[Fecha_venta]],"yyyy")</f>
        <v>2011</v>
      </c>
    </row>
    <row r="777" spans="1:10" x14ac:dyDescent="0.25">
      <c r="A777">
        <v>6</v>
      </c>
      <c r="B777" s="1">
        <v>40655</v>
      </c>
      <c r="C777">
        <v>0</v>
      </c>
      <c r="D777">
        <v>74.239999999999995</v>
      </c>
      <c r="E777">
        <v>3.8069999999999999</v>
      </c>
      <c r="F777">
        <v>217.01469410000001</v>
      </c>
      <c r="G777">
        <v>1639358.93</v>
      </c>
      <c r="H777" t="str">
        <f>TEXT(Ventas[[#This Row],[Fecha_venta]],"dd")</f>
        <v>22</v>
      </c>
      <c r="I777" t="str">
        <f>TEXT(Ventas[[#This Row],[Fecha_venta]],"m")</f>
        <v>4</v>
      </c>
      <c r="J777" t="str">
        <f>TEXT(Ventas[[#This Row],[Fecha_venta]],"yyyy")</f>
        <v>2011</v>
      </c>
    </row>
    <row r="778" spans="1:10" x14ac:dyDescent="0.25">
      <c r="A778">
        <v>6</v>
      </c>
      <c r="B778" s="1">
        <v>40662</v>
      </c>
      <c r="C778">
        <v>0</v>
      </c>
      <c r="D778">
        <v>75.27</v>
      </c>
      <c r="E778">
        <v>3.81</v>
      </c>
      <c r="F778">
        <v>217.18472550000001</v>
      </c>
      <c r="G778">
        <v>1479249.9</v>
      </c>
      <c r="H778" t="str">
        <f>TEXT(Ventas[[#This Row],[Fecha_venta]],"dd")</f>
        <v>29</v>
      </c>
      <c r="I778" t="str">
        <f>TEXT(Ventas[[#This Row],[Fecha_venta]],"m")</f>
        <v>4</v>
      </c>
      <c r="J778" t="str">
        <f>TEXT(Ventas[[#This Row],[Fecha_venta]],"yyyy")</f>
        <v>2011</v>
      </c>
    </row>
    <row r="779" spans="1:10" x14ac:dyDescent="0.25">
      <c r="A779">
        <v>6</v>
      </c>
      <c r="B779" s="1">
        <v>40669</v>
      </c>
      <c r="C779">
        <v>0</v>
      </c>
      <c r="D779">
        <v>65.42</v>
      </c>
      <c r="E779">
        <v>3.9060000000000001</v>
      </c>
      <c r="F779">
        <v>217.35475690000001</v>
      </c>
      <c r="G779">
        <v>1504651.57</v>
      </c>
      <c r="H779" t="str">
        <f>TEXT(Ventas[[#This Row],[Fecha_venta]],"dd")</f>
        <v>06</v>
      </c>
      <c r="I779" t="str">
        <f>TEXT(Ventas[[#This Row],[Fecha_venta]],"m")</f>
        <v>5</v>
      </c>
      <c r="J779" t="str">
        <f>TEXT(Ventas[[#This Row],[Fecha_venta]],"yyyy")</f>
        <v>2011</v>
      </c>
    </row>
    <row r="780" spans="1:10" x14ac:dyDescent="0.25">
      <c r="A780">
        <v>6</v>
      </c>
      <c r="B780" s="1">
        <v>40676</v>
      </c>
      <c r="C780">
        <v>0</v>
      </c>
      <c r="D780">
        <v>76.95</v>
      </c>
      <c r="E780">
        <v>3.899</v>
      </c>
      <c r="F780">
        <v>217.52478819999999</v>
      </c>
      <c r="G780">
        <v>1453185.65</v>
      </c>
      <c r="H780" t="str">
        <f>TEXT(Ventas[[#This Row],[Fecha_venta]],"dd")</f>
        <v>13</v>
      </c>
      <c r="I780" t="str">
        <f>TEXT(Ventas[[#This Row],[Fecha_venta]],"m")</f>
        <v>5</v>
      </c>
      <c r="J780" t="str">
        <f>TEXT(Ventas[[#This Row],[Fecha_venta]],"yyyy")</f>
        <v>2011</v>
      </c>
    </row>
    <row r="781" spans="1:10" x14ac:dyDescent="0.25">
      <c r="A781">
        <v>6</v>
      </c>
      <c r="B781" s="1">
        <v>40683</v>
      </c>
      <c r="C781">
        <v>0</v>
      </c>
      <c r="D781">
        <v>72.010000000000005</v>
      </c>
      <c r="E781">
        <v>3.907</v>
      </c>
      <c r="F781">
        <v>217.28960950000001</v>
      </c>
      <c r="G781">
        <v>1382783.83</v>
      </c>
      <c r="H781" t="str">
        <f>TEXT(Ventas[[#This Row],[Fecha_venta]],"dd")</f>
        <v>20</v>
      </c>
      <c r="I781" t="str">
        <f>TEXT(Ventas[[#This Row],[Fecha_venta]],"m")</f>
        <v>5</v>
      </c>
      <c r="J781" t="str">
        <f>TEXT(Ventas[[#This Row],[Fecha_venta]],"yyyy")</f>
        <v>2011</v>
      </c>
    </row>
    <row r="782" spans="1:10" x14ac:dyDescent="0.25">
      <c r="A782">
        <v>6</v>
      </c>
      <c r="B782" s="1">
        <v>40690</v>
      </c>
      <c r="C782">
        <v>0</v>
      </c>
      <c r="D782">
        <v>80.83</v>
      </c>
      <c r="E782">
        <v>3.786</v>
      </c>
      <c r="F782">
        <v>217.05443070000001</v>
      </c>
      <c r="G782">
        <v>1523979.11</v>
      </c>
      <c r="H782" t="str">
        <f>TEXT(Ventas[[#This Row],[Fecha_venta]],"dd")</f>
        <v>27</v>
      </c>
      <c r="I782" t="str">
        <f>TEXT(Ventas[[#This Row],[Fecha_venta]],"m")</f>
        <v>5</v>
      </c>
      <c r="J782" t="str">
        <f>TEXT(Ventas[[#This Row],[Fecha_venta]],"yyyy")</f>
        <v>2011</v>
      </c>
    </row>
    <row r="783" spans="1:10" x14ac:dyDescent="0.25">
      <c r="A783">
        <v>6</v>
      </c>
      <c r="B783" s="1">
        <v>40697</v>
      </c>
      <c r="C783">
        <v>0</v>
      </c>
      <c r="D783">
        <v>84.01</v>
      </c>
      <c r="E783">
        <v>3.6989999999999998</v>
      </c>
      <c r="F783">
        <v>216.81925200000001</v>
      </c>
      <c r="G783">
        <v>1705506.29</v>
      </c>
      <c r="H783" t="str">
        <f>TEXT(Ventas[[#This Row],[Fecha_venta]],"dd")</f>
        <v>03</v>
      </c>
      <c r="I783" t="str">
        <f>TEXT(Ventas[[#This Row],[Fecha_venta]],"m")</f>
        <v>6</v>
      </c>
      <c r="J783" t="str">
        <f>TEXT(Ventas[[#This Row],[Fecha_venta]],"yyyy")</f>
        <v>2011</v>
      </c>
    </row>
    <row r="784" spans="1:10" x14ac:dyDescent="0.25">
      <c r="A784">
        <v>6</v>
      </c>
      <c r="B784" s="1">
        <v>40704</v>
      </c>
      <c r="C784">
        <v>0</v>
      </c>
      <c r="D784">
        <v>84.49</v>
      </c>
      <c r="E784">
        <v>3.6480000000000001</v>
      </c>
      <c r="F784">
        <v>216.58407320000001</v>
      </c>
      <c r="G784">
        <v>1598643.65</v>
      </c>
      <c r="H784" t="str">
        <f>TEXT(Ventas[[#This Row],[Fecha_venta]],"dd")</f>
        <v>10</v>
      </c>
      <c r="I784" t="str">
        <f>TEXT(Ventas[[#This Row],[Fecha_venta]],"m")</f>
        <v>6</v>
      </c>
      <c r="J784" t="str">
        <f>TEXT(Ventas[[#This Row],[Fecha_venta]],"yyyy")</f>
        <v>2011</v>
      </c>
    </row>
    <row r="785" spans="1:10" x14ac:dyDescent="0.25">
      <c r="A785">
        <v>6</v>
      </c>
      <c r="B785" s="1">
        <v>40711</v>
      </c>
      <c r="C785">
        <v>0</v>
      </c>
      <c r="D785">
        <v>87.08</v>
      </c>
      <c r="E785">
        <v>3.637</v>
      </c>
      <c r="F785">
        <v>216.53716159999999</v>
      </c>
      <c r="G785">
        <v>1622150.33</v>
      </c>
      <c r="H785" t="str">
        <f>TEXT(Ventas[[#This Row],[Fecha_venta]],"dd")</f>
        <v>17</v>
      </c>
      <c r="I785" t="str">
        <f>TEXT(Ventas[[#This Row],[Fecha_venta]],"m")</f>
        <v>6</v>
      </c>
      <c r="J785" t="str">
        <f>TEXT(Ventas[[#This Row],[Fecha_venta]],"yyyy")</f>
        <v>2011</v>
      </c>
    </row>
    <row r="786" spans="1:10" x14ac:dyDescent="0.25">
      <c r="A786">
        <v>6</v>
      </c>
      <c r="B786" s="1">
        <v>40718</v>
      </c>
      <c r="C786">
        <v>0</v>
      </c>
      <c r="D786">
        <v>85.51</v>
      </c>
      <c r="E786">
        <v>3.5939999999999999</v>
      </c>
      <c r="F786">
        <v>216.63145019999999</v>
      </c>
      <c r="G786">
        <v>1543365.9</v>
      </c>
      <c r="H786" t="str">
        <f>TEXT(Ventas[[#This Row],[Fecha_venta]],"dd")</f>
        <v>24</v>
      </c>
      <c r="I786" t="str">
        <f>TEXT(Ventas[[#This Row],[Fecha_venta]],"m")</f>
        <v>6</v>
      </c>
      <c r="J786" t="str">
        <f>TEXT(Ventas[[#This Row],[Fecha_venta]],"yyyy")</f>
        <v>2011</v>
      </c>
    </row>
    <row r="787" spans="1:10" x14ac:dyDescent="0.25">
      <c r="A787">
        <v>6</v>
      </c>
      <c r="B787" s="1">
        <v>40725</v>
      </c>
      <c r="C787">
        <v>0</v>
      </c>
      <c r="D787">
        <v>87</v>
      </c>
      <c r="E787">
        <v>3.524</v>
      </c>
      <c r="F787">
        <v>216.72573879999999</v>
      </c>
      <c r="G787">
        <v>1694551.15</v>
      </c>
      <c r="H787" t="str">
        <f>TEXT(Ventas[[#This Row],[Fecha_venta]],"dd")</f>
        <v>01</v>
      </c>
      <c r="I787" t="str">
        <f>TEXT(Ventas[[#This Row],[Fecha_venta]],"m")</f>
        <v>7</v>
      </c>
      <c r="J787" t="str">
        <f>TEXT(Ventas[[#This Row],[Fecha_venta]],"yyyy")</f>
        <v>2011</v>
      </c>
    </row>
    <row r="788" spans="1:10" x14ac:dyDescent="0.25">
      <c r="A788">
        <v>6</v>
      </c>
      <c r="B788" s="1">
        <v>40732</v>
      </c>
      <c r="C788">
        <v>0</v>
      </c>
      <c r="D788">
        <v>88.36</v>
      </c>
      <c r="E788">
        <v>3.48</v>
      </c>
      <c r="F788">
        <v>216.82002750000001</v>
      </c>
      <c r="G788">
        <v>1709373.62</v>
      </c>
      <c r="H788" t="str">
        <f>TEXT(Ventas[[#This Row],[Fecha_venta]],"dd")</f>
        <v>08</v>
      </c>
      <c r="I788" t="str">
        <f>TEXT(Ventas[[#This Row],[Fecha_venta]],"m")</f>
        <v>7</v>
      </c>
      <c r="J788" t="str">
        <f>TEXT(Ventas[[#This Row],[Fecha_venta]],"yyyy")</f>
        <v>2011</v>
      </c>
    </row>
    <row r="789" spans="1:10" x14ac:dyDescent="0.25">
      <c r="A789">
        <v>6</v>
      </c>
      <c r="B789" s="1">
        <v>40739</v>
      </c>
      <c r="C789">
        <v>0</v>
      </c>
      <c r="D789">
        <v>88.93</v>
      </c>
      <c r="E789">
        <v>3.5750000000000002</v>
      </c>
      <c r="F789">
        <v>216.90447320000001</v>
      </c>
      <c r="G789">
        <v>1526801.24</v>
      </c>
      <c r="H789" t="str">
        <f>TEXT(Ventas[[#This Row],[Fecha_venta]],"dd")</f>
        <v>15</v>
      </c>
      <c r="I789" t="str">
        <f>TEXT(Ventas[[#This Row],[Fecha_venta]],"m")</f>
        <v>7</v>
      </c>
      <c r="J789" t="str">
        <f>TEXT(Ventas[[#This Row],[Fecha_venta]],"yyyy")</f>
        <v>2011</v>
      </c>
    </row>
    <row r="790" spans="1:10" x14ac:dyDescent="0.25">
      <c r="A790">
        <v>6</v>
      </c>
      <c r="B790" s="1">
        <v>40746</v>
      </c>
      <c r="C790">
        <v>0</v>
      </c>
      <c r="D790">
        <v>88.06</v>
      </c>
      <c r="E790">
        <v>3.6509999999999998</v>
      </c>
      <c r="F790">
        <v>216.96431200000001</v>
      </c>
      <c r="G790">
        <v>1526506.08</v>
      </c>
      <c r="H790" t="str">
        <f>TEXT(Ventas[[#This Row],[Fecha_venta]],"dd")</f>
        <v>22</v>
      </c>
      <c r="I790" t="str">
        <f>TEXT(Ventas[[#This Row],[Fecha_venta]],"m")</f>
        <v>7</v>
      </c>
      <c r="J790" t="str">
        <f>TEXT(Ventas[[#This Row],[Fecha_venta]],"yyyy")</f>
        <v>2011</v>
      </c>
    </row>
    <row r="791" spans="1:10" x14ac:dyDescent="0.25">
      <c r="A791">
        <v>6</v>
      </c>
      <c r="B791" s="1">
        <v>40753</v>
      </c>
      <c r="C791">
        <v>0</v>
      </c>
      <c r="D791">
        <v>90.22</v>
      </c>
      <c r="E791">
        <v>3.6819999999999999</v>
      </c>
      <c r="F791">
        <v>217.02415070000001</v>
      </c>
      <c r="G791">
        <v>1483991.05</v>
      </c>
      <c r="H791" t="str">
        <f>TEXT(Ventas[[#This Row],[Fecha_venta]],"dd")</f>
        <v>29</v>
      </c>
      <c r="I791" t="str">
        <f>TEXT(Ventas[[#This Row],[Fecha_venta]],"m")</f>
        <v>7</v>
      </c>
      <c r="J791" t="str">
        <f>TEXT(Ventas[[#This Row],[Fecha_venta]],"yyyy")</f>
        <v>2011</v>
      </c>
    </row>
    <row r="792" spans="1:10" x14ac:dyDescent="0.25">
      <c r="A792">
        <v>6</v>
      </c>
      <c r="B792" s="1">
        <v>40760</v>
      </c>
      <c r="C792">
        <v>0</v>
      </c>
      <c r="D792">
        <v>91.46</v>
      </c>
      <c r="E792">
        <v>3.6840000000000002</v>
      </c>
      <c r="F792">
        <v>217.08398940000001</v>
      </c>
      <c r="G792">
        <v>1601584.57</v>
      </c>
      <c r="H792" t="str">
        <f>TEXT(Ventas[[#This Row],[Fecha_venta]],"dd")</f>
        <v>05</v>
      </c>
      <c r="I792" t="str">
        <f>TEXT(Ventas[[#This Row],[Fecha_venta]],"m")</f>
        <v>8</v>
      </c>
      <c r="J792" t="str">
        <f>TEXT(Ventas[[#This Row],[Fecha_venta]],"yyyy")</f>
        <v>2011</v>
      </c>
    </row>
    <row r="793" spans="1:10" x14ac:dyDescent="0.25">
      <c r="A793">
        <v>6</v>
      </c>
      <c r="B793" s="1">
        <v>40767</v>
      </c>
      <c r="C793">
        <v>0</v>
      </c>
      <c r="D793">
        <v>90.49</v>
      </c>
      <c r="E793">
        <v>3.6379999999999999</v>
      </c>
      <c r="F793">
        <v>217.14382810000001</v>
      </c>
      <c r="G793">
        <v>1484995.38</v>
      </c>
      <c r="H793" t="str">
        <f>TEXT(Ventas[[#This Row],[Fecha_venta]],"dd")</f>
        <v>12</v>
      </c>
      <c r="I793" t="str">
        <f>TEXT(Ventas[[#This Row],[Fecha_venta]],"m")</f>
        <v>8</v>
      </c>
      <c r="J793" t="str">
        <f>TEXT(Ventas[[#This Row],[Fecha_venta]],"yyyy")</f>
        <v>2011</v>
      </c>
    </row>
    <row r="794" spans="1:10" x14ac:dyDescent="0.25">
      <c r="A794">
        <v>6</v>
      </c>
      <c r="B794" s="1">
        <v>40774</v>
      </c>
      <c r="C794">
        <v>0</v>
      </c>
      <c r="D794">
        <v>89.26</v>
      </c>
      <c r="E794">
        <v>3.5539999999999998</v>
      </c>
      <c r="F794">
        <v>217.20696620000001</v>
      </c>
      <c r="G794">
        <v>1493544.04</v>
      </c>
      <c r="H794" t="str">
        <f>TEXT(Ventas[[#This Row],[Fecha_venta]],"dd")</f>
        <v>19</v>
      </c>
      <c r="I794" t="str">
        <f>TEXT(Ventas[[#This Row],[Fecha_venta]],"m")</f>
        <v>8</v>
      </c>
      <c r="J794" t="str">
        <f>TEXT(Ventas[[#This Row],[Fecha_venta]],"yyyy")</f>
        <v>2011</v>
      </c>
    </row>
    <row r="795" spans="1:10" x14ac:dyDescent="0.25">
      <c r="A795">
        <v>6</v>
      </c>
      <c r="B795" s="1">
        <v>40781</v>
      </c>
      <c r="C795">
        <v>0</v>
      </c>
      <c r="D795">
        <v>90.07</v>
      </c>
      <c r="E795">
        <v>3.5230000000000001</v>
      </c>
      <c r="F795">
        <v>217.27065429999999</v>
      </c>
      <c r="G795">
        <v>1420405.41</v>
      </c>
      <c r="H795" t="str">
        <f>TEXT(Ventas[[#This Row],[Fecha_venta]],"dd")</f>
        <v>26</v>
      </c>
      <c r="I795" t="str">
        <f>TEXT(Ventas[[#This Row],[Fecha_venta]],"m")</f>
        <v>8</v>
      </c>
      <c r="J795" t="str">
        <f>TEXT(Ventas[[#This Row],[Fecha_venta]],"yyyy")</f>
        <v>2011</v>
      </c>
    </row>
    <row r="796" spans="1:10" x14ac:dyDescent="0.25">
      <c r="A796">
        <v>6</v>
      </c>
      <c r="B796" s="1">
        <v>40788</v>
      </c>
      <c r="C796">
        <v>0</v>
      </c>
      <c r="D796">
        <v>91.22</v>
      </c>
      <c r="E796">
        <v>3.5329999999999999</v>
      </c>
      <c r="F796">
        <v>217.3343423</v>
      </c>
      <c r="G796">
        <v>1481618.74</v>
      </c>
      <c r="H796" t="str">
        <f>TEXT(Ventas[[#This Row],[Fecha_venta]],"dd")</f>
        <v>02</v>
      </c>
      <c r="I796" t="str">
        <f>TEXT(Ventas[[#This Row],[Fecha_venta]],"m")</f>
        <v>9</v>
      </c>
      <c r="J796" t="str">
        <f>TEXT(Ventas[[#This Row],[Fecha_venta]],"yyyy")</f>
        <v>2011</v>
      </c>
    </row>
    <row r="797" spans="1:10" x14ac:dyDescent="0.25">
      <c r="A797">
        <v>6</v>
      </c>
      <c r="B797" s="1">
        <v>40795</v>
      </c>
      <c r="C797">
        <v>1</v>
      </c>
      <c r="D797">
        <v>80.209999999999994</v>
      </c>
      <c r="E797">
        <v>3.5459999999999998</v>
      </c>
      <c r="F797">
        <v>217.39803040000001</v>
      </c>
      <c r="G797">
        <v>1483574.38</v>
      </c>
      <c r="H797" t="str">
        <f>TEXT(Ventas[[#This Row],[Fecha_venta]],"dd")</f>
        <v>09</v>
      </c>
      <c r="I797" t="str">
        <f>TEXT(Ventas[[#This Row],[Fecha_venta]],"m")</f>
        <v>9</v>
      </c>
      <c r="J797" t="str">
        <f>TEXT(Ventas[[#This Row],[Fecha_venta]],"yyyy")</f>
        <v>2011</v>
      </c>
    </row>
    <row r="798" spans="1:10" x14ac:dyDescent="0.25">
      <c r="A798">
        <v>6</v>
      </c>
      <c r="B798" s="1">
        <v>40802</v>
      </c>
      <c r="C798">
        <v>0</v>
      </c>
      <c r="D798">
        <v>84.94</v>
      </c>
      <c r="E798">
        <v>3.5259999999999998</v>
      </c>
      <c r="F798">
        <v>217.57975060000001</v>
      </c>
      <c r="G798">
        <v>1351407.79</v>
      </c>
      <c r="H798" t="str">
        <f>TEXT(Ventas[[#This Row],[Fecha_venta]],"dd")</f>
        <v>16</v>
      </c>
      <c r="I798" t="str">
        <f>TEXT(Ventas[[#This Row],[Fecha_venta]],"m")</f>
        <v>9</v>
      </c>
      <c r="J798" t="str">
        <f>TEXT(Ventas[[#This Row],[Fecha_venta]],"yyyy")</f>
        <v>2011</v>
      </c>
    </row>
    <row r="799" spans="1:10" x14ac:dyDescent="0.25">
      <c r="A799">
        <v>6</v>
      </c>
      <c r="B799" s="1">
        <v>40809</v>
      </c>
      <c r="C799">
        <v>0</v>
      </c>
      <c r="D799">
        <v>78.489999999999995</v>
      </c>
      <c r="E799">
        <v>3.4670000000000001</v>
      </c>
      <c r="F799">
        <v>217.91884709999999</v>
      </c>
      <c r="G799">
        <v>1336044.75</v>
      </c>
      <c r="H799" t="str">
        <f>TEXT(Ventas[[#This Row],[Fecha_venta]],"dd")</f>
        <v>23</v>
      </c>
      <c r="I799" t="str">
        <f>TEXT(Ventas[[#This Row],[Fecha_venta]],"m")</f>
        <v>9</v>
      </c>
      <c r="J799" t="str">
        <f>TEXT(Ventas[[#This Row],[Fecha_venta]],"yyyy")</f>
        <v>2011</v>
      </c>
    </row>
    <row r="800" spans="1:10" x14ac:dyDescent="0.25">
      <c r="A800">
        <v>6</v>
      </c>
      <c r="B800" s="1">
        <v>40816</v>
      </c>
      <c r="C800">
        <v>0</v>
      </c>
      <c r="D800">
        <v>82.51</v>
      </c>
      <c r="E800">
        <v>3.355</v>
      </c>
      <c r="F800">
        <v>218.25794350000001</v>
      </c>
      <c r="G800">
        <v>1307551.92</v>
      </c>
      <c r="H800" t="str">
        <f>TEXT(Ventas[[#This Row],[Fecha_venta]],"dd")</f>
        <v>30</v>
      </c>
      <c r="I800" t="str">
        <f>TEXT(Ventas[[#This Row],[Fecha_venta]],"m")</f>
        <v>9</v>
      </c>
      <c r="J800" t="str">
        <f>TEXT(Ventas[[#This Row],[Fecha_venta]],"yyyy")</f>
        <v>2011</v>
      </c>
    </row>
    <row r="801" spans="1:10" x14ac:dyDescent="0.25">
      <c r="A801">
        <v>6</v>
      </c>
      <c r="B801" s="1">
        <v>40823</v>
      </c>
      <c r="C801">
        <v>0</v>
      </c>
      <c r="D801">
        <v>74.099999999999994</v>
      </c>
      <c r="E801">
        <v>3.2850000000000001</v>
      </c>
      <c r="F801">
        <v>218.59703999999999</v>
      </c>
      <c r="G801">
        <v>1481739.2</v>
      </c>
      <c r="H801" t="str">
        <f>TEXT(Ventas[[#This Row],[Fecha_venta]],"dd")</f>
        <v>07</v>
      </c>
      <c r="I801" t="str">
        <f>TEXT(Ventas[[#This Row],[Fecha_venta]],"m")</f>
        <v>10</v>
      </c>
      <c r="J801" t="str">
        <f>TEXT(Ventas[[#This Row],[Fecha_venta]],"yyyy")</f>
        <v>2011</v>
      </c>
    </row>
    <row r="802" spans="1:10" x14ac:dyDescent="0.25">
      <c r="A802">
        <v>6</v>
      </c>
      <c r="B802" s="1">
        <v>40830</v>
      </c>
      <c r="C802">
        <v>0</v>
      </c>
      <c r="D802">
        <v>71.239999999999995</v>
      </c>
      <c r="E802">
        <v>3.274</v>
      </c>
      <c r="F802">
        <v>218.91098439999999</v>
      </c>
      <c r="G802">
        <v>1386520.99</v>
      </c>
      <c r="H802" t="str">
        <f>TEXT(Ventas[[#This Row],[Fecha_venta]],"dd")</f>
        <v>14</v>
      </c>
      <c r="I802" t="str">
        <f>TEXT(Ventas[[#This Row],[Fecha_venta]],"m")</f>
        <v>10</v>
      </c>
      <c r="J802" t="str">
        <f>TEXT(Ventas[[#This Row],[Fecha_venta]],"yyyy")</f>
        <v>2011</v>
      </c>
    </row>
    <row r="803" spans="1:10" x14ac:dyDescent="0.25">
      <c r="A803">
        <v>6</v>
      </c>
      <c r="B803" s="1">
        <v>40837</v>
      </c>
      <c r="C803">
        <v>0</v>
      </c>
      <c r="D803">
        <v>68.53</v>
      </c>
      <c r="E803">
        <v>3.3530000000000002</v>
      </c>
      <c r="F803">
        <v>219.07401669999999</v>
      </c>
      <c r="G803">
        <v>1417922.37</v>
      </c>
      <c r="H803" t="str">
        <f>TEXT(Ventas[[#This Row],[Fecha_venta]],"dd")</f>
        <v>21</v>
      </c>
      <c r="I803" t="str">
        <f>TEXT(Ventas[[#This Row],[Fecha_venta]],"m")</f>
        <v>10</v>
      </c>
      <c r="J803" t="str">
        <f>TEXT(Ventas[[#This Row],[Fecha_venta]],"yyyy")</f>
        <v>2011</v>
      </c>
    </row>
    <row r="804" spans="1:10" x14ac:dyDescent="0.25">
      <c r="A804">
        <v>6</v>
      </c>
      <c r="B804" s="1">
        <v>40844</v>
      </c>
      <c r="C804">
        <v>0</v>
      </c>
      <c r="D804">
        <v>69.510000000000005</v>
      </c>
      <c r="E804">
        <v>3.3719999999999999</v>
      </c>
      <c r="F804">
        <v>219.23704900000001</v>
      </c>
      <c r="G804">
        <v>1419445.12</v>
      </c>
      <c r="H804" t="str">
        <f>TEXT(Ventas[[#This Row],[Fecha_venta]],"dd")</f>
        <v>28</v>
      </c>
      <c r="I804" t="str">
        <f>TEXT(Ventas[[#This Row],[Fecha_venta]],"m")</f>
        <v>10</v>
      </c>
      <c r="J804" t="str">
        <f>TEXT(Ventas[[#This Row],[Fecha_venta]],"yyyy")</f>
        <v>2011</v>
      </c>
    </row>
    <row r="805" spans="1:10" x14ac:dyDescent="0.25">
      <c r="A805">
        <v>6</v>
      </c>
      <c r="B805" s="1">
        <v>40851</v>
      </c>
      <c r="C805">
        <v>0</v>
      </c>
      <c r="D805">
        <v>58.54</v>
      </c>
      <c r="E805">
        <v>3.3319999999999999</v>
      </c>
      <c r="F805">
        <v>219.40008119999999</v>
      </c>
      <c r="G805">
        <v>1523420.38</v>
      </c>
      <c r="H805" t="str">
        <f>TEXT(Ventas[[#This Row],[Fecha_venta]],"dd")</f>
        <v>04</v>
      </c>
      <c r="I805" t="str">
        <f>TEXT(Ventas[[#This Row],[Fecha_venta]],"m")</f>
        <v>11</v>
      </c>
      <c r="J805" t="str">
        <f>TEXT(Ventas[[#This Row],[Fecha_venta]],"yyyy")</f>
        <v>2011</v>
      </c>
    </row>
    <row r="806" spans="1:10" x14ac:dyDescent="0.25">
      <c r="A806">
        <v>6</v>
      </c>
      <c r="B806" s="1">
        <v>40858</v>
      </c>
      <c r="C806">
        <v>0</v>
      </c>
      <c r="D806">
        <v>61.33</v>
      </c>
      <c r="E806">
        <v>3.2970000000000002</v>
      </c>
      <c r="F806">
        <v>219.56311349999999</v>
      </c>
      <c r="G806">
        <v>1536176.54</v>
      </c>
      <c r="H806" t="str">
        <f>TEXT(Ventas[[#This Row],[Fecha_venta]],"dd")</f>
        <v>11</v>
      </c>
      <c r="I806" t="str">
        <f>TEXT(Ventas[[#This Row],[Fecha_venta]],"m")</f>
        <v>11</v>
      </c>
      <c r="J806" t="str">
        <f>TEXT(Ventas[[#This Row],[Fecha_venta]],"yyyy")</f>
        <v>2011</v>
      </c>
    </row>
    <row r="807" spans="1:10" x14ac:dyDescent="0.25">
      <c r="A807">
        <v>6</v>
      </c>
      <c r="B807" s="1">
        <v>40865</v>
      </c>
      <c r="C807">
        <v>0</v>
      </c>
      <c r="D807">
        <v>63.89</v>
      </c>
      <c r="E807">
        <v>3.3079999999999998</v>
      </c>
      <c r="F807">
        <v>219.78971369999999</v>
      </c>
      <c r="G807">
        <v>1524390.07</v>
      </c>
      <c r="H807" t="str">
        <f>TEXT(Ventas[[#This Row],[Fecha_venta]],"dd")</f>
        <v>18</v>
      </c>
      <c r="I807" t="str">
        <f>TEXT(Ventas[[#This Row],[Fecha_venta]],"m")</f>
        <v>11</v>
      </c>
      <c r="J807" t="str">
        <f>TEXT(Ventas[[#This Row],[Fecha_venta]],"yyyy")</f>
        <v>2011</v>
      </c>
    </row>
    <row r="808" spans="1:10" x14ac:dyDescent="0.25">
      <c r="A808">
        <v>6</v>
      </c>
      <c r="B808" s="1">
        <v>40872</v>
      </c>
      <c r="C808">
        <v>1</v>
      </c>
      <c r="D808">
        <v>62.78</v>
      </c>
      <c r="E808">
        <v>3.2360000000000002</v>
      </c>
      <c r="F808">
        <v>220.04174119999999</v>
      </c>
      <c r="G808">
        <v>2249811.5499999998</v>
      </c>
      <c r="H808" t="str">
        <f>TEXT(Ventas[[#This Row],[Fecha_venta]],"dd")</f>
        <v>25</v>
      </c>
      <c r="I808" t="str">
        <f>TEXT(Ventas[[#This Row],[Fecha_venta]],"m")</f>
        <v>11</v>
      </c>
      <c r="J808" t="str">
        <f>TEXT(Ventas[[#This Row],[Fecha_venta]],"yyyy")</f>
        <v>2011</v>
      </c>
    </row>
    <row r="809" spans="1:10" x14ac:dyDescent="0.25">
      <c r="A809">
        <v>6</v>
      </c>
      <c r="B809" s="1">
        <v>40879</v>
      </c>
      <c r="C809">
        <v>0</v>
      </c>
      <c r="D809">
        <v>51.18</v>
      </c>
      <c r="E809">
        <v>3.1720000000000002</v>
      </c>
      <c r="F809">
        <v>220.29376859999999</v>
      </c>
      <c r="G809">
        <v>1688531.34</v>
      </c>
      <c r="H809" t="str">
        <f>TEXT(Ventas[[#This Row],[Fecha_venta]],"dd")</f>
        <v>02</v>
      </c>
      <c r="I809" t="str">
        <f>TEXT(Ventas[[#This Row],[Fecha_venta]],"m")</f>
        <v>12</v>
      </c>
      <c r="J809" t="str">
        <f>TEXT(Ventas[[#This Row],[Fecha_venta]],"yyyy")</f>
        <v>2011</v>
      </c>
    </row>
    <row r="810" spans="1:10" x14ac:dyDescent="0.25">
      <c r="A810">
        <v>6</v>
      </c>
      <c r="B810" s="1">
        <v>40886</v>
      </c>
      <c r="C810">
        <v>0</v>
      </c>
      <c r="D810">
        <v>43.64</v>
      </c>
      <c r="E810">
        <v>3.1579999999999999</v>
      </c>
      <c r="F810">
        <v>220.54579609999999</v>
      </c>
      <c r="G810">
        <v>1903385.14</v>
      </c>
      <c r="H810" t="str">
        <f>TEXT(Ventas[[#This Row],[Fecha_venta]],"dd")</f>
        <v>09</v>
      </c>
      <c r="I810" t="str">
        <f>TEXT(Ventas[[#This Row],[Fecha_venta]],"m")</f>
        <v>12</v>
      </c>
      <c r="J810" t="str">
        <f>TEXT(Ventas[[#This Row],[Fecha_venta]],"yyyy")</f>
        <v>2011</v>
      </c>
    </row>
    <row r="811" spans="1:10" x14ac:dyDescent="0.25">
      <c r="A811">
        <v>6</v>
      </c>
      <c r="B811" s="1">
        <v>40893</v>
      </c>
      <c r="C811">
        <v>0</v>
      </c>
      <c r="D811">
        <v>53.27</v>
      </c>
      <c r="E811">
        <v>3.1589999999999998</v>
      </c>
      <c r="F811">
        <v>220.7671856</v>
      </c>
      <c r="G811">
        <v>2034695.56</v>
      </c>
      <c r="H811" t="str">
        <f>TEXT(Ventas[[#This Row],[Fecha_venta]],"dd")</f>
        <v>16</v>
      </c>
      <c r="I811" t="str">
        <f>TEXT(Ventas[[#This Row],[Fecha_venta]],"m")</f>
        <v>12</v>
      </c>
      <c r="J811" t="str">
        <f>TEXT(Ventas[[#This Row],[Fecha_venta]],"yyyy")</f>
        <v>2011</v>
      </c>
    </row>
    <row r="812" spans="1:10" x14ac:dyDescent="0.25">
      <c r="A812">
        <v>6</v>
      </c>
      <c r="B812" s="1">
        <v>40900</v>
      </c>
      <c r="C812">
        <v>0</v>
      </c>
      <c r="D812">
        <v>49.45</v>
      </c>
      <c r="E812">
        <v>3.1120000000000001</v>
      </c>
      <c r="F812">
        <v>220.94772449999999</v>
      </c>
      <c r="G812">
        <v>2644633.02</v>
      </c>
      <c r="H812" t="str">
        <f>TEXT(Ventas[[#This Row],[Fecha_venta]],"dd")</f>
        <v>23</v>
      </c>
      <c r="I812" t="str">
        <f>TEXT(Ventas[[#This Row],[Fecha_venta]],"m")</f>
        <v>12</v>
      </c>
      <c r="J812" t="str">
        <f>TEXT(Ventas[[#This Row],[Fecha_venta]],"yyyy")</f>
        <v>2011</v>
      </c>
    </row>
    <row r="813" spans="1:10" x14ac:dyDescent="0.25">
      <c r="A813">
        <v>6</v>
      </c>
      <c r="B813" s="1">
        <v>40907</v>
      </c>
      <c r="C813">
        <v>1</v>
      </c>
      <c r="D813">
        <v>46.8</v>
      </c>
      <c r="E813">
        <v>3.129</v>
      </c>
      <c r="F813">
        <v>221.12826340000001</v>
      </c>
      <c r="G813">
        <v>1598080.52</v>
      </c>
      <c r="H813" t="str">
        <f>TEXT(Ventas[[#This Row],[Fecha_venta]],"dd")</f>
        <v>30</v>
      </c>
      <c r="I813" t="str">
        <f>TEXT(Ventas[[#This Row],[Fecha_venta]],"m")</f>
        <v>12</v>
      </c>
      <c r="J813" t="str">
        <f>TEXT(Ventas[[#This Row],[Fecha_venta]],"yyyy")</f>
        <v>2011</v>
      </c>
    </row>
    <row r="814" spans="1:10" x14ac:dyDescent="0.25">
      <c r="A814">
        <v>6</v>
      </c>
      <c r="B814" s="1">
        <v>40914</v>
      </c>
      <c r="C814">
        <v>0</v>
      </c>
      <c r="D814">
        <v>50.82</v>
      </c>
      <c r="E814">
        <v>3.157</v>
      </c>
      <c r="F814">
        <v>221.3088023</v>
      </c>
      <c r="G814">
        <v>1395339.71</v>
      </c>
      <c r="H814" t="str">
        <f>TEXT(Ventas[[#This Row],[Fecha_venta]],"dd")</f>
        <v>06</v>
      </c>
      <c r="I814" t="str">
        <f>TEXT(Ventas[[#This Row],[Fecha_venta]],"m")</f>
        <v>1</v>
      </c>
      <c r="J814" t="str">
        <f>TEXT(Ventas[[#This Row],[Fecha_venta]],"yyyy")</f>
        <v>2012</v>
      </c>
    </row>
    <row r="815" spans="1:10" x14ac:dyDescent="0.25">
      <c r="A815">
        <v>6</v>
      </c>
      <c r="B815" s="1">
        <v>40921</v>
      </c>
      <c r="C815">
        <v>0</v>
      </c>
      <c r="D815">
        <v>48.33</v>
      </c>
      <c r="E815">
        <v>3.2610000000000001</v>
      </c>
      <c r="F815">
        <v>221.48934120000001</v>
      </c>
      <c r="G815">
        <v>1344243.17</v>
      </c>
      <c r="H815" t="str">
        <f>TEXT(Ventas[[#This Row],[Fecha_venta]],"dd")</f>
        <v>13</v>
      </c>
      <c r="I815" t="str">
        <f>TEXT(Ventas[[#This Row],[Fecha_venta]],"m")</f>
        <v>1</v>
      </c>
      <c r="J815" t="str">
        <f>TEXT(Ventas[[#This Row],[Fecha_venta]],"yyyy")</f>
        <v>2012</v>
      </c>
    </row>
    <row r="816" spans="1:10" x14ac:dyDescent="0.25">
      <c r="A816">
        <v>6</v>
      </c>
      <c r="B816" s="1">
        <v>40928</v>
      </c>
      <c r="C816">
        <v>0</v>
      </c>
      <c r="D816">
        <v>55.37</v>
      </c>
      <c r="E816">
        <v>3.2679999999999998</v>
      </c>
      <c r="F816">
        <v>221.5831306</v>
      </c>
      <c r="G816">
        <v>1326255.7</v>
      </c>
      <c r="H816" t="str">
        <f>TEXT(Ventas[[#This Row],[Fecha_venta]],"dd")</f>
        <v>20</v>
      </c>
      <c r="I816" t="str">
        <f>TEXT(Ventas[[#This Row],[Fecha_venta]],"m")</f>
        <v>1</v>
      </c>
      <c r="J816" t="str">
        <f>TEXT(Ventas[[#This Row],[Fecha_venta]],"yyyy")</f>
        <v>2012</v>
      </c>
    </row>
    <row r="817" spans="1:10" x14ac:dyDescent="0.25">
      <c r="A817">
        <v>6</v>
      </c>
      <c r="B817" s="1">
        <v>40935</v>
      </c>
      <c r="C817">
        <v>0</v>
      </c>
      <c r="D817">
        <v>53.95</v>
      </c>
      <c r="E817">
        <v>3.29</v>
      </c>
      <c r="F817">
        <v>221.6769199</v>
      </c>
      <c r="G817">
        <v>1315610.6599999999</v>
      </c>
      <c r="H817" t="str">
        <f>TEXT(Ventas[[#This Row],[Fecha_venta]],"dd")</f>
        <v>27</v>
      </c>
      <c r="I817" t="str">
        <f>TEXT(Ventas[[#This Row],[Fecha_venta]],"m")</f>
        <v>1</v>
      </c>
      <c r="J817" t="str">
        <f>TEXT(Ventas[[#This Row],[Fecha_venta]],"yyyy")</f>
        <v>2012</v>
      </c>
    </row>
    <row r="818" spans="1:10" x14ac:dyDescent="0.25">
      <c r="A818">
        <v>6</v>
      </c>
      <c r="B818" s="1">
        <v>40942</v>
      </c>
      <c r="C818">
        <v>0</v>
      </c>
      <c r="D818">
        <v>57.45</v>
      </c>
      <c r="E818">
        <v>3.36</v>
      </c>
      <c r="F818">
        <v>221.77070929999999</v>
      </c>
      <c r="G818">
        <v>1496305.78</v>
      </c>
      <c r="H818" t="str">
        <f>TEXT(Ventas[[#This Row],[Fecha_venta]],"dd")</f>
        <v>03</v>
      </c>
      <c r="I818" t="str">
        <f>TEXT(Ventas[[#This Row],[Fecha_venta]],"m")</f>
        <v>2</v>
      </c>
      <c r="J818" t="str">
        <f>TEXT(Ventas[[#This Row],[Fecha_venta]],"yyyy")</f>
        <v>2012</v>
      </c>
    </row>
    <row r="819" spans="1:10" x14ac:dyDescent="0.25">
      <c r="A819">
        <v>6</v>
      </c>
      <c r="B819" s="1">
        <v>40949</v>
      </c>
      <c r="C819">
        <v>1</v>
      </c>
      <c r="D819">
        <v>48.58</v>
      </c>
      <c r="E819">
        <v>3.4089999999999998</v>
      </c>
      <c r="F819">
        <v>221.86449870000001</v>
      </c>
      <c r="G819">
        <v>1620603.92</v>
      </c>
      <c r="H819" t="str">
        <f>TEXT(Ventas[[#This Row],[Fecha_venta]],"dd")</f>
        <v>10</v>
      </c>
      <c r="I819" t="str">
        <f>TEXT(Ventas[[#This Row],[Fecha_venta]],"m")</f>
        <v>2</v>
      </c>
      <c r="J819" t="str">
        <f>TEXT(Ventas[[#This Row],[Fecha_venta]],"yyyy")</f>
        <v>2012</v>
      </c>
    </row>
    <row r="820" spans="1:10" x14ac:dyDescent="0.25">
      <c r="A820">
        <v>6</v>
      </c>
      <c r="B820" s="1">
        <v>40956</v>
      </c>
      <c r="C820">
        <v>0</v>
      </c>
      <c r="D820">
        <v>49.03</v>
      </c>
      <c r="E820">
        <v>3.51</v>
      </c>
      <c r="F820">
        <v>222.02635900000001</v>
      </c>
      <c r="G820">
        <v>1632616.09</v>
      </c>
      <c r="H820" t="str">
        <f>TEXT(Ventas[[#This Row],[Fecha_venta]],"dd")</f>
        <v>17</v>
      </c>
      <c r="I820" t="str">
        <f>TEXT(Ventas[[#This Row],[Fecha_venta]],"m")</f>
        <v>2</v>
      </c>
      <c r="J820" t="str">
        <f>TEXT(Ventas[[#This Row],[Fecha_venta]],"yyyy")</f>
        <v>2012</v>
      </c>
    </row>
    <row r="821" spans="1:10" x14ac:dyDescent="0.25">
      <c r="A821">
        <v>6</v>
      </c>
      <c r="B821" s="1">
        <v>40963</v>
      </c>
      <c r="C821">
        <v>0</v>
      </c>
      <c r="D821">
        <v>59.17</v>
      </c>
      <c r="E821">
        <v>3.5550000000000002</v>
      </c>
      <c r="F821">
        <v>222.23927259999999</v>
      </c>
      <c r="G821">
        <v>1465187.71</v>
      </c>
      <c r="H821" t="str">
        <f>TEXT(Ventas[[#This Row],[Fecha_venta]],"dd")</f>
        <v>24</v>
      </c>
      <c r="I821" t="str">
        <f>TEXT(Ventas[[#This Row],[Fecha_venta]],"m")</f>
        <v>2</v>
      </c>
      <c r="J821" t="str">
        <f>TEXT(Ventas[[#This Row],[Fecha_venta]],"yyyy")</f>
        <v>2012</v>
      </c>
    </row>
    <row r="822" spans="1:10" x14ac:dyDescent="0.25">
      <c r="A822">
        <v>6</v>
      </c>
      <c r="B822" s="1">
        <v>40970</v>
      </c>
      <c r="C822">
        <v>0</v>
      </c>
      <c r="D822">
        <v>60.32</v>
      </c>
      <c r="E822">
        <v>3.63</v>
      </c>
      <c r="F822">
        <v>222.4521862</v>
      </c>
      <c r="G822">
        <v>1550385.65</v>
      </c>
      <c r="H822" t="str">
        <f>TEXT(Ventas[[#This Row],[Fecha_venta]],"dd")</f>
        <v>02</v>
      </c>
      <c r="I822" t="str">
        <f>TEXT(Ventas[[#This Row],[Fecha_venta]],"m")</f>
        <v>3</v>
      </c>
      <c r="J822" t="str">
        <f>TEXT(Ventas[[#This Row],[Fecha_venta]],"yyyy")</f>
        <v>2012</v>
      </c>
    </row>
    <row r="823" spans="1:10" x14ac:dyDescent="0.25">
      <c r="A823">
        <v>6</v>
      </c>
      <c r="B823" s="1">
        <v>40977</v>
      </c>
      <c r="C823">
        <v>0</v>
      </c>
      <c r="D823">
        <v>57.89</v>
      </c>
      <c r="E823">
        <v>3.669</v>
      </c>
      <c r="F823">
        <v>222.66509980000001</v>
      </c>
      <c r="G823">
        <v>1569304.4</v>
      </c>
      <c r="H823" t="str">
        <f>TEXT(Ventas[[#This Row],[Fecha_venta]],"dd")</f>
        <v>09</v>
      </c>
      <c r="I823" t="str">
        <f>TEXT(Ventas[[#This Row],[Fecha_venta]],"m")</f>
        <v>3</v>
      </c>
      <c r="J823" t="str">
        <f>TEXT(Ventas[[#This Row],[Fecha_venta]],"yyyy")</f>
        <v>2012</v>
      </c>
    </row>
    <row r="824" spans="1:10" x14ac:dyDescent="0.25">
      <c r="A824">
        <v>6</v>
      </c>
      <c r="B824" s="1">
        <v>40984</v>
      </c>
      <c r="C824">
        <v>0</v>
      </c>
      <c r="D824">
        <v>62.8</v>
      </c>
      <c r="E824">
        <v>3.734</v>
      </c>
      <c r="F824">
        <v>222.8186603</v>
      </c>
      <c r="G824">
        <v>1748010.29</v>
      </c>
      <c r="H824" t="str">
        <f>TEXT(Ventas[[#This Row],[Fecha_venta]],"dd")</f>
        <v>16</v>
      </c>
      <c r="I824" t="str">
        <f>TEXT(Ventas[[#This Row],[Fecha_venta]],"m")</f>
        <v>3</v>
      </c>
      <c r="J824" t="str">
        <f>TEXT(Ventas[[#This Row],[Fecha_venta]],"yyyy")</f>
        <v>2012</v>
      </c>
    </row>
    <row r="825" spans="1:10" x14ac:dyDescent="0.25">
      <c r="A825">
        <v>6</v>
      </c>
      <c r="B825" s="1">
        <v>40998</v>
      </c>
      <c r="C825">
        <v>0</v>
      </c>
      <c r="D825">
        <v>67.91</v>
      </c>
      <c r="E825">
        <v>3.8450000000000002</v>
      </c>
      <c r="F825">
        <v>222.96750660000001</v>
      </c>
      <c r="G825">
        <v>1508933.26</v>
      </c>
      <c r="H825" t="str">
        <f>TEXT(Ventas[[#This Row],[Fecha_venta]],"dd")</f>
        <v>30</v>
      </c>
      <c r="I825" t="str">
        <f>TEXT(Ventas[[#This Row],[Fecha_venta]],"m")</f>
        <v>3</v>
      </c>
      <c r="J825" t="str">
        <f>TEXT(Ventas[[#This Row],[Fecha_venta]],"yyyy")</f>
        <v>2012</v>
      </c>
    </row>
    <row r="826" spans="1:10" x14ac:dyDescent="0.25">
      <c r="A826">
        <v>6</v>
      </c>
      <c r="B826" s="1">
        <v>41005</v>
      </c>
      <c r="C826">
        <v>0</v>
      </c>
      <c r="D826">
        <v>71.599999999999994</v>
      </c>
      <c r="E826">
        <v>3.891</v>
      </c>
      <c r="F826">
        <v>223.04192979999999</v>
      </c>
      <c r="G826">
        <v>1840131.19</v>
      </c>
      <c r="H826" t="str">
        <f>TEXT(Ventas[[#This Row],[Fecha_venta]],"dd")</f>
        <v>06</v>
      </c>
      <c r="I826" t="str">
        <f>TEXT(Ventas[[#This Row],[Fecha_venta]],"m")</f>
        <v>4</v>
      </c>
      <c r="J826" t="str">
        <f>TEXT(Ventas[[#This Row],[Fecha_venta]],"yyyy")</f>
        <v>2012</v>
      </c>
    </row>
    <row r="827" spans="1:10" x14ac:dyDescent="0.25">
      <c r="A827">
        <v>6</v>
      </c>
      <c r="B827" s="1">
        <v>41012</v>
      </c>
      <c r="C827">
        <v>0</v>
      </c>
      <c r="D827">
        <v>71.290000000000006</v>
      </c>
      <c r="E827">
        <v>3.891</v>
      </c>
      <c r="F827">
        <v>223.11635290000001</v>
      </c>
      <c r="G827">
        <v>1616394.45</v>
      </c>
      <c r="H827" t="str">
        <f>TEXT(Ventas[[#This Row],[Fecha_venta]],"dd")</f>
        <v>13</v>
      </c>
      <c r="I827" t="str">
        <f>TEXT(Ventas[[#This Row],[Fecha_venta]],"m")</f>
        <v>4</v>
      </c>
      <c r="J827" t="str">
        <f>TEXT(Ventas[[#This Row],[Fecha_venta]],"yyyy")</f>
        <v>2012</v>
      </c>
    </row>
    <row r="828" spans="1:10" x14ac:dyDescent="0.25">
      <c r="A828">
        <v>6</v>
      </c>
      <c r="B828" s="1">
        <v>41019</v>
      </c>
      <c r="C828">
        <v>0</v>
      </c>
      <c r="D828">
        <v>68.64</v>
      </c>
      <c r="E828">
        <v>3.8769999999999998</v>
      </c>
      <c r="F828">
        <v>223.17092</v>
      </c>
      <c r="G828">
        <v>1456073.24</v>
      </c>
      <c r="H828" t="str">
        <f>TEXT(Ventas[[#This Row],[Fecha_venta]],"dd")</f>
        <v>20</v>
      </c>
      <c r="I828" t="str">
        <f>TEXT(Ventas[[#This Row],[Fecha_venta]],"m")</f>
        <v>4</v>
      </c>
      <c r="J828" t="str">
        <f>TEXT(Ventas[[#This Row],[Fecha_venta]],"yyyy")</f>
        <v>2012</v>
      </c>
    </row>
    <row r="829" spans="1:10" x14ac:dyDescent="0.25">
      <c r="A829">
        <v>6</v>
      </c>
      <c r="B829" s="1">
        <v>41026</v>
      </c>
      <c r="C829">
        <v>0</v>
      </c>
      <c r="D829">
        <v>71.5</v>
      </c>
      <c r="E829">
        <v>3.8140000000000001</v>
      </c>
      <c r="F829">
        <v>223.22548710000001</v>
      </c>
      <c r="G829">
        <v>1456221.1</v>
      </c>
      <c r="H829" t="str">
        <f>TEXT(Ventas[[#This Row],[Fecha_venta]],"dd")</f>
        <v>27</v>
      </c>
      <c r="I829" t="str">
        <f>TEXT(Ventas[[#This Row],[Fecha_venta]],"m")</f>
        <v>4</v>
      </c>
      <c r="J829" t="str">
        <f>TEXT(Ventas[[#This Row],[Fecha_venta]],"yyyy")</f>
        <v>2012</v>
      </c>
    </row>
    <row r="830" spans="1:10" x14ac:dyDescent="0.25">
      <c r="A830">
        <v>6</v>
      </c>
      <c r="B830" s="1">
        <v>41033</v>
      </c>
      <c r="C830">
        <v>0</v>
      </c>
      <c r="D830">
        <v>77.66</v>
      </c>
      <c r="E830">
        <v>3.7490000000000001</v>
      </c>
      <c r="F830">
        <v>223.2800541</v>
      </c>
      <c r="G830">
        <v>1543461.12</v>
      </c>
      <c r="H830" t="str">
        <f>TEXT(Ventas[[#This Row],[Fecha_venta]],"dd")</f>
        <v>04</v>
      </c>
      <c r="I830" t="str">
        <f>TEXT(Ventas[[#This Row],[Fecha_venta]],"m")</f>
        <v>5</v>
      </c>
      <c r="J830" t="str">
        <f>TEXT(Ventas[[#This Row],[Fecha_venta]],"yyyy")</f>
        <v>2012</v>
      </c>
    </row>
    <row r="831" spans="1:10" x14ac:dyDescent="0.25">
      <c r="A831">
        <v>6</v>
      </c>
      <c r="B831" s="1">
        <v>41040</v>
      </c>
      <c r="C831">
        <v>0</v>
      </c>
      <c r="D831">
        <v>72.66</v>
      </c>
      <c r="E831">
        <v>3.6880000000000002</v>
      </c>
      <c r="F831">
        <v>223.33462119999999</v>
      </c>
      <c r="G831">
        <v>1517075.67</v>
      </c>
      <c r="H831" t="str">
        <f>TEXT(Ventas[[#This Row],[Fecha_venta]],"dd")</f>
        <v>11</v>
      </c>
      <c r="I831" t="str">
        <f>TEXT(Ventas[[#This Row],[Fecha_venta]],"m")</f>
        <v>5</v>
      </c>
      <c r="J831" t="str">
        <f>TEXT(Ventas[[#This Row],[Fecha_venta]],"yyyy")</f>
        <v>2012</v>
      </c>
    </row>
    <row r="832" spans="1:10" x14ac:dyDescent="0.25">
      <c r="A832">
        <v>6</v>
      </c>
      <c r="B832" s="1">
        <v>41047</v>
      </c>
      <c r="C832">
        <v>0</v>
      </c>
      <c r="D832">
        <v>70.5</v>
      </c>
      <c r="E832">
        <v>3.63</v>
      </c>
      <c r="F832">
        <v>223.35119280000001</v>
      </c>
      <c r="G832">
        <v>1513635.64</v>
      </c>
      <c r="H832" t="str">
        <f>TEXT(Ventas[[#This Row],[Fecha_venta]],"dd")</f>
        <v>18</v>
      </c>
      <c r="I832" t="str">
        <f>TEXT(Ventas[[#This Row],[Fecha_venta]],"m")</f>
        <v>5</v>
      </c>
      <c r="J832" t="str">
        <f>TEXT(Ventas[[#This Row],[Fecha_venta]],"yyyy")</f>
        <v>2012</v>
      </c>
    </row>
    <row r="833" spans="1:10" x14ac:dyDescent="0.25">
      <c r="A833">
        <v>6</v>
      </c>
      <c r="B833" s="1">
        <v>41054</v>
      </c>
      <c r="C833">
        <v>0</v>
      </c>
      <c r="D833">
        <v>78.47</v>
      </c>
      <c r="E833">
        <v>3.5609999999999999</v>
      </c>
      <c r="F833">
        <v>223.35256620000001</v>
      </c>
      <c r="G833">
        <v>1603793.42</v>
      </c>
      <c r="H833" t="str">
        <f>TEXT(Ventas[[#This Row],[Fecha_venta]],"dd")</f>
        <v>25</v>
      </c>
      <c r="I833" t="str">
        <f>TEXT(Ventas[[#This Row],[Fecha_venta]],"m")</f>
        <v>5</v>
      </c>
      <c r="J833" t="str">
        <f>TEXT(Ventas[[#This Row],[Fecha_venta]],"yyyy")</f>
        <v>2012</v>
      </c>
    </row>
    <row r="834" spans="1:10" x14ac:dyDescent="0.25">
      <c r="A834">
        <v>6</v>
      </c>
      <c r="B834" s="1">
        <v>41061</v>
      </c>
      <c r="C834">
        <v>0</v>
      </c>
      <c r="D834">
        <v>80.39</v>
      </c>
      <c r="E834">
        <v>3.5009999999999999</v>
      </c>
      <c r="F834">
        <v>223.35393970000001</v>
      </c>
      <c r="G834">
        <v>1681121.38</v>
      </c>
      <c r="H834" t="str">
        <f>TEXT(Ventas[[#This Row],[Fecha_venta]],"dd")</f>
        <v>01</v>
      </c>
      <c r="I834" t="str">
        <f>TEXT(Ventas[[#This Row],[Fecha_venta]],"m")</f>
        <v>6</v>
      </c>
      <c r="J834" t="str">
        <f>TEXT(Ventas[[#This Row],[Fecha_venta]],"yyyy")</f>
        <v>2012</v>
      </c>
    </row>
    <row r="835" spans="1:10" x14ac:dyDescent="0.25">
      <c r="A835">
        <v>6</v>
      </c>
      <c r="B835" s="1">
        <v>41068</v>
      </c>
      <c r="C835">
        <v>0</v>
      </c>
      <c r="D835">
        <v>80.5</v>
      </c>
      <c r="E835">
        <v>3.452</v>
      </c>
      <c r="F835">
        <v>223.35531309999999</v>
      </c>
      <c r="G835">
        <v>1696619.52</v>
      </c>
      <c r="H835" t="str">
        <f>TEXT(Ventas[[#This Row],[Fecha_venta]],"dd")</f>
        <v>08</v>
      </c>
      <c r="I835" t="str">
        <f>TEXT(Ventas[[#This Row],[Fecha_venta]],"m")</f>
        <v>6</v>
      </c>
      <c r="J835" t="str">
        <f>TEXT(Ventas[[#This Row],[Fecha_venta]],"yyyy")</f>
        <v>2012</v>
      </c>
    </row>
    <row r="836" spans="1:10" x14ac:dyDescent="0.25">
      <c r="A836">
        <v>6</v>
      </c>
      <c r="B836" s="1">
        <v>41075</v>
      </c>
      <c r="C836">
        <v>0</v>
      </c>
      <c r="D836">
        <v>82.1</v>
      </c>
      <c r="E836">
        <v>3.3929999999999998</v>
      </c>
      <c r="F836">
        <v>223.3680933</v>
      </c>
      <c r="G836">
        <v>1642247.48</v>
      </c>
      <c r="H836" t="str">
        <f>TEXT(Ventas[[#This Row],[Fecha_venta]],"dd")</f>
        <v>15</v>
      </c>
      <c r="I836" t="str">
        <f>TEXT(Ventas[[#This Row],[Fecha_venta]],"m")</f>
        <v>6</v>
      </c>
      <c r="J836" t="str">
        <f>TEXT(Ventas[[#This Row],[Fecha_venta]],"yyyy")</f>
        <v>2012</v>
      </c>
    </row>
    <row r="837" spans="1:10" x14ac:dyDescent="0.25">
      <c r="A837">
        <v>6</v>
      </c>
      <c r="B837" s="1">
        <v>41082</v>
      </c>
      <c r="C837">
        <v>0</v>
      </c>
      <c r="D837">
        <v>81.2</v>
      </c>
      <c r="E837">
        <v>3.3460000000000001</v>
      </c>
      <c r="F837">
        <v>223.40939059999999</v>
      </c>
      <c r="G837">
        <v>1618272.25</v>
      </c>
      <c r="H837" t="str">
        <f>TEXT(Ventas[[#This Row],[Fecha_venta]],"dd")</f>
        <v>22</v>
      </c>
      <c r="I837" t="str">
        <f>TEXT(Ventas[[#This Row],[Fecha_venta]],"m")</f>
        <v>6</v>
      </c>
      <c r="J837" t="str">
        <f>TEXT(Ventas[[#This Row],[Fecha_venta]],"yyyy")</f>
        <v>2012</v>
      </c>
    </row>
    <row r="838" spans="1:10" x14ac:dyDescent="0.25">
      <c r="A838">
        <v>6</v>
      </c>
      <c r="B838" s="1">
        <v>41089</v>
      </c>
      <c r="C838">
        <v>0</v>
      </c>
      <c r="D838">
        <v>87.35</v>
      </c>
      <c r="E838">
        <v>3.286</v>
      </c>
      <c r="F838">
        <v>223.4506878</v>
      </c>
      <c r="G838">
        <v>1648863.46</v>
      </c>
      <c r="H838" t="str">
        <f>TEXT(Ventas[[#This Row],[Fecha_venta]],"dd")</f>
        <v>29</v>
      </c>
      <c r="I838" t="str">
        <f>TEXT(Ventas[[#This Row],[Fecha_venta]],"m")</f>
        <v>6</v>
      </c>
      <c r="J838" t="str">
        <f>TEXT(Ventas[[#This Row],[Fecha_venta]],"yyyy")</f>
        <v>2012</v>
      </c>
    </row>
    <row r="839" spans="1:10" x14ac:dyDescent="0.25">
      <c r="A839">
        <v>6</v>
      </c>
      <c r="B839" s="1">
        <v>41096</v>
      </c>
      <c r="C839">
        <v>0</v>
      </c>
      <c r="D839">
        <v>82.95</v>
      </c>
      <c r="E839">
        <v>3.2269999999999999</v>
      </c>
      <c r="F839">
        <v>223.49198509999999</v>
      </c>
      <c r="G839">
        <v>1876359.39</v>
      </c>
      <c r="H839" t="str">
        <f>TEXT(Ventas[[#This Row],[Fecha_venta]],"dd")</f>
        <v>06</v>
      </c>
      <c r="I839" t="str">
        <f>TEXT(Ventas[[#This Row],[Fecha_venta]],"m")</f>
        <v>7</v>
      </c>
      <c r="J839" t="str">
        <f>TEXT(Ventas[[#This Row],[Fecha_venta]],"yyyy")</f>
        <v>2012</v>
      </c>
    </row>
    <row r="840" spans="1:10" x14ac:dyDescent="0.25">
      <c r="A840">
        <v>6</v>
      </c>
      <c r="B840" s="1">
        <v>41103</v>
      </c>
      <c r="C840">
        <v>0</v>
      </c>
      <c r="D840">
        <v>80.27</v>
      </c>
      <c r="E840">
        <v>3.2559999999999998</v>
      </c>
      <c r="F840">
        <v>223.53328239999999</v>
      </c>
      <c r="G840">
        <v>1588142.26</v>
      </c>
      <c r="H840" t="str">
        <f>TEXT(Ventas[[#This Row],[Fecha_venta]],"dd")</f>
        <v>13</v>
      </c>
      <c r="I840" t="str">
        <f>TEXT(Ventas[[#This Row],[Fecha_venta]],"m")</f>
        <v>7</v>
      </c>
      <c r="J840" t="str">
        <f>TEXT(Ventas[[#This Row],[Fecha_venta]],"yyyy")</f>
        <v>2012</v>
      </c>
    </row>
    <row r="841" spans="1:10" x14ac:dyDescent="0.25">
      <c r="A841">
        <v>6</v>
      </c>
      <c r="B841" s="1">
        <v>41110</v>
      </c>
      <c r="C841">
        <v>0</v>
      </c>
      <c r="D841">
        <v>81.569999999999993</v>
      </c>
      <c r="E841">
        <v>3.3109999999999999</v>
      </c>
      <c r="F841">
        <v>223.5424501</v>
      </c>
      <c r="G841">
        <v>1574361.97</v>
      </c>
      <c r="H841" t="str">
        <f>TEXT(Ventas[[#This Row],[Fecha_venta]],"dd")</f>
        <v>20</v>
      </c>
      <c r="I841" t="str">
        <f>TEXT(Ventas[[#This Row],[Fecha_venta]],"m")</f>
        <v>7</v>
      </c>
      <c r="J841" t="str">
        <f>TEXT(Ventas[[#This Row],[Fecha_venta]],"yyyy")</f>
        <v>2012</v>
      </c>
    </row>
    <row r="842" spans="1:10" x14ac:dyDescent="0.25">
      <c r="A842">
        <v>6</v>
      </c>
      <c r="B842" s="1">
        <v>41117</v>
      </c>
      <c r="C842">
        <v>0</v>
      </c>
      <c r="D842">
        <v>85.78</v>
      </c>
      <c r="E842">
        <v>3.407</v>
      </c>
      <c r="F842">
        <v>223.5516178</v>
      </c>
      <c r="G842">
        <v>1513229.16</v>
      </c>
      <c r="H842" t="str">
        <f>TEXT(Ventas[[#This Row],[Fecha_venta]],"dd")</f>
        <v>27</v>
      </c>
      <c r="I842" t="str">
        <f>TEXT(Ventas[[#This Row],[Fecha_venta]],"m")</f>
        <v>7</v>
      </c>
      <c r="J842" t="str">
        <f>TEXT(Ventas[[#This Row],[Fecha_venta]],"yyyy")</f>
        <v>2012</v>
      </c>
    </row>
    <row r="843" spans="1:10" x14ac:dyDescent="0.25">
      <c r="A843">
        <v>6</v>
      </c>
      <c r="B843" s="1">
        <v>41124</v>
      </c>
      <c r="C843">
        <v>0</v>
      </c>
      <c r="D843">
        <v>87.55</v>
      </c>
      <c r="E843">
        <v>3.4169999999999998</v>
      </c>
      <c r="F843">
        <v>223.5607856</v>
      </c>
      <c r="G843">
        <v>1627274.93</v>
      </c>
      <c r="H843" t="str">
        <f>TEXT(Ventas[[#This Row],[Fecha_venta]],"dd")</f>
        <v>03</v>
      </c>
      <c r="I843" t="str">
        <f>TEXT(Ventas[[#This Row],[Fecha_venta]],"m")</f>
        <v>8</v>
      </c>
      <c r="J843" t="str">
        <f>TEXT(Ventas[[#This Row],[Fecha_venta]],"yyyy")</f>
        <v>2012</v>
      </c>
    </row>
    <row r="844" spans="1:10" x14ac:dyDescent="0.25">
      <c r="A844">
        <v>6</v>
      </c>
      <c r="B844" s="1">
        <v>41131</v>
      </c>
      <c r="C844">
        <v>0</v>
      </c>
      <c r="D844">
        <v>87.04</v>
      </c>
      <c r="E844">
        <v>3.4940000000000002</v>
      </c>
      <c r="F844">
        <v>223.56995330000001</v>
      </c>
      <c r="G844">
        <v>1588380.73</v>
      </c>
      <c r="H844" t="str">
        <f>TEXT(Ventas[[#This Row],[Fecha_venta]],"dd")</f>
        <v>10</v>
      </c>
      <c r="I844" t="str">
        <f>TEXT(Ventas[[#This Row],[Fecha_venta]],"m")</f>
        <v>8</v>
      </c>
      <c r="J844" t="str">
        <f>TEXT(Ventas[[#This Row],[Fecha_venta]],"yyyy")</f>
        <v>2012</v>
      </c>
    </row>
    <row r="845" spans="1:10" x14ac:dyDescent="0.25">
      <c r="A845">
        <v>6</v>
      </c>
      <c r="B845" s="1">
        <v>41138</v>
      </c>
      <c r="C845">
        <v>0</v>
      </c>
      <c r="D845">
        <v>87.53</v>
      </c>
      <c r="E845">
        <v>3.5710000000000002</v>
      </c>
      <c r="F845">
        <v>223.65102239999999</v>
      </c>
      <c r="G845">
        <v>1543049.52</v>
      </c>
      <c r="H845" t="str">
        <f>TEXT(Ventas[[#This Row],[Fecha_venta]],"dd")</f>
        <v>17</v>
      </c>
      <c r="I845" t="str">
        <f>TEXT(Ventas[[#This Row],[Fecha_venta]],"m")</f>
        <v>8</v>
      </c>
      <c r="J845" t="str">
        <f>TEXT(Ventas[[#This Row],[Fecha_venta]],"yyyy")</f>
        <v>2012</v>
      </c>
    </row>
    <row r="846" spans="1:10" x14ac:dyDescent="0.25">
      <c r="A846">
        <v>6</v>
      </c>
      <c r="B846" s="1">
        <v>41145</v>
      </c>
      <c r="C846">
        <v>0</v>
      </c>
      <c r="D846">
        <v>79.03</v>
      </c>
      <c r="E846">
        <v>3.62</v>
      </c>
      <c r="F846">
        <v>223.78601750000001</v>
      </c>
      <c r="G846">
        <v>1501095.49</v>
      </c>
      <c r="H846" t="str">
        <f>TEXT(Ventas[[#This Row],[Fecha_venta]],"dd")</f>
        <v>24</v>
      </c>
      <c r="I846" t="str">
        <f>TEXT(Ventas[[#This Row],[Fecha_venta]],"m")</f>
        <v>8</v>
      </c>
      <c r="J846" t="str">
        <f>TEXT(Ventas[[#This Row],[Fecha_venta]],"yyyy")</f>
        <v>2012</v>
      </c>
    </row>
    <row r="847" spans="1:10" x14ac:dyDescent="0.25">
      <c r="A847">
        <v>6</v>
      </c>
      <c r="B847" s="1">
        <v>41152</v>
      </c>
      <c r="C847">
        <v>0</v>
      </c>
      <c r="D847">
        <v>83.58</v>
      </c>
      <c r="E847">
        <v>3.6379999999999999</v>
      </c>
      <c r="F847">
        <v>223.92101249999999</v>
      </c>
      <c r="G847">
        <v>1577439.81</v>
      </c>
      <c r="H847" t="str">
        <f>TEXT(Ventas[[#This Row],[Fecha_venta]],"dd")</f>
        <v>31</v>
      </c>
      <c r="I847" t="str">
        <f>TEXT(Ventas[[#This Row],[Fecha_venta]],"m")</f>
        <v>8</v>
      </c>
      <c r="J847" t="str">
        <f>TEXT(Ventas[[#This Row],[Fecha_venta]],"yyyy")</f>
        <v>2012</v>
      </c>
    </row>
    <row r="848" spans="1:10" x14ac:dyDescent="0.25">
      <c r="A848">
        <v>6</v>
      </c>
      <c r="B848" s="1">
        <v>41159</v>
      </c>
      <c r="C848">
        <v>1</v>
      </c>
      <c r="D848">
        <v>86.33</v>
      </c>
      <c r="E848">
        <v>3.73</v>
      </c>
      <c r="F848">
        <v>224.05600759999999</v>
      </c>
      <c r="G848">
        <v>1608077.01</v>
      </c>
      <c r="H848" t="str">
        <f>TEXT(Ventas[[#This Row],[Fecha_venta]],"dd")</f>
        <v>07</v>
      </c>
      <c r="I848" t="str">
        <f>TEXT(Ventas[[#This Row],[Fecha_venta]],"m")</f>
        <v>9</v>
      </c>
      <c r="J848" t="str">
        <f>TEXT(Ventas[[#This Row],[Fecha_venta]],"yyyy")</f>
        <v>2012</v>
      </c>
    </row>
    <row r="849" spans="1:10" x14ac:dyDescent="0.25">
      <c r="A849">
        <v>6</v>
      </c>
      <c r="B849" s="1">
        <v>41166</v>
      </c>
      <c r="C849">
        <v>0</v>
      </c>
      <c r="D849">
        <v>76.41</v>
      </c>
      <c r="E849">
        <v>3.7170000000000001</v>
      </c>
      <c r="F849">
        <v>224.20046780000001</v>
      </c>
      <c r="G849">
        <v>1375166.86</v>
      </c>
      <c r="H849" t="str">
        <f>TEXT(Ventas[[#This Row],[Fecha_venta]],"dd")</f>
        <v>14</v>
      </c>
      <c r="I849" t="str">
        <f>TEXT(Ventas[[#This Row],[Fecha_venta]],"m")</f>
        <v>9</v>
      </c>
      <c r="J849" t="str">
        <f>TEXT(Ventas[[#This Row],[Fecha_venta]],"yyyy")</f>
        <v>2012</v>
      </c>
    </row>
    <row r="850" spans="1:10" x14ac:dyDescent="0.25">
      <c r="A850">
        <v>6</v>
      </c>
      <c r="B850" s="1">
        <v>41173</v>
      </c>
      <c r="C850">
        <v>0</v>
      </c>
      <c r="D850">
        <v>70.81</v>
      </c>
      <c r="E850">
        <v>3.7210000000000001</v>
      </c>
      <c r="F850">
        <v>224.4017192</v>
      </c>
      <c r="G850">
        <v>1425603.65</v>
      </c>
      <c r="H850" t="str">
        <f>TEXT(Ventas[[#This Row],[Fecha_venta]],"dd")</f>
        <v>21</v>
      </c>
      <c r="I850" t="str">
        <f>TEXT(Ventas[[#This Row],[Fecha_venta]],"m")</f>
        <v>9</v>
      </c>
      <c r="J850" t="str">
        <f>TEXT(Ventas[[#This Row],[Fecha_venta]],"yyyy")</f>
        <v>2012</v>
      </c>
    </row>
    <row r="851" spans="1:10" x14ac:dyDescent="0.25">
      <c r="A851">
        <v>6</v>
      </c>
      <c r="B851" s="1">
        <v>41180</v>
      </c>
      <c r="C851">
        <v>0</v>
      </c>
      <c r="D851">
        <v>77.819999999999993</v>
      </c>
      <c r="E851">
        <v>3.6659999999999999</v>
      </c>
      <c r="F851">
        <v>224.60297059999999</v>
      </c>
      <c r="G851">
        <v>1369131.46</v>
      </c>
      <c r="H851" t="str">
        <f>TEXT(Ventas[[#This Row],[Fecha_venta]],"dd")</f>
        <v>28</v>
      </c>
      <c r="I851" t="str">
        <f>TEXT(Ventas[[#This Row],[Fecha_venta]],"m")</f>
        <v>9</v>
      </c>
      <c r="J851" t="str">
        <f>TEXT(Ventas[[#This Row],[Fecha_venta]],"yyyy")</f>
        <v>2012</v>
      </c>
    </row>
    <row r="852" spans="1:10" x14ac:dyDescent="0.25">
      <c r="A852">
        <v>6</v>
      </c>
      <c r="B852" s="1">
        <v>41187</v>
      </c>
      <c r="C852">
        <v>0</v>
      </c>
      <c r="D852">
        <v>70.84</v>
      </c>
      <c r="E852">
        <v>3.617</v>
      </c>
      <c r="F852">
        <v>224.80422200000001</v>
      </c>
      <c r="G852">
        <v>1518177.71</v>
      </c>
      <c r="H852" t="str">
        <f>TEXT(Ventas[[#This Row],[Fecha_venta]],"dd")</f>
        <v>05</v>
      </c>
      <c r="I852" t="str">
        <f>TEXT(Ventas[[#This Row],[Fecha_venta]],"m")</f>
        <v>10</v>
      </c>
      <c r="J852" t="str">
        <f>TEXT(Ventas[[#This Row],[Fecha_venta]],"yyyy")</f>
        <v>2012</v>
      </c>
    </row>
    <row r="853" spans="1:10" x14ac:dyDescent="0.25">
      <c r="A853">
        <v>6</v>
      </c>
      <c r="B853" s="1">
        <v>41194</v>
      </c>
      <c r="C853">
        <v>0</v>
      </c>
      <c r="D853">
        <v>65.430000000000007</v>
      </c>
      <c r="E853">
        <v>3.601</v>
      </c>
      <c r="F853">
        <v>225.00547330000001</v>
      </c>
      <c r="G853">
        <v>1459396.84</v>
      </c>
      <c r="H853" t="str">
        <f>TEXT(Ventas[[#This Row],[Fecha_venta]],"dd")</f>
        <v>12</v>
      </c>
      <c r="I853" t="str">
        <f>TEXT(Ventas[[#This Row],[Fecha_venta]],"m")</f>
        <v>10</v>
      </c>
      <c r="J853" t="str">
        <f>TEXT(Ventas[[#This Row],[Fecha_venta]],"yyyy")</f>
        <v>2012</v>
      </c>
    </row>
    <row r="854" spans="1:10" x14ac:dyDescent="0.25">
      <c r="A854">
        <v>6</v>
      </c>
      <c r="B854" s="1">
        <v>41201</v>
      </c>
      <c r="C854">
        <v>0</v>
      </c>
      <c r="D854">
        <v>69.680000000000007</v>
      </c>
      <c r="E854">
        <v>3.5939999999999999</v>
      </c>
      <c r="F854">
        <v>225.05010129999999</v>
      </c>
      <c r="G854">
        <v>1436883.99</v>
      </c>
      <c r="H854" t="str">
        <f>TEXT(Ventas[[#This Row],[Fecha_venta]],"dd")</f>
        <v>19</v>
      </c>
      <c r="I854" t="str">
        <f>TEXT(Ventas[[#This Row],[Fecha_venta]],"m")</f>
        <v>10</v>
      </c>
      <c r="J854" t="str">
        <f>TEXT(Ventas[[#This Row],[Fecha_venta]],"yyyy")</f>
        <v>2012</v>
      </c>
    </row>
    <row r="855" spans="1:10" x14ac:dyDescent="0.25">
      <c r="A855">
        <v>6</v>
      </c>
      <c r="B855" s="1">
        <v>41208</v>
      </c>
      <c r="C855">
        <v>0</v>
      </c>
      <c r="D855">
        <v>72.34</v>
      </c>
      <c r="E855">
        <v>3.5059999999999998</v>
      </c>
      <c r="F855">
        <v>225.0686254</v>
      </c>
      <c r="G855">
        <v>1431426.34</v>
      </c>
      <c r="H855" t="str">
        <f>TEXT(Ventas[[#This Row],[Fecha_venta]],"dd")</f>
        <v>26</v>
      </c>
      <c r="I855" t="str">
        <f>TEXT(Ventas[[#This Row],[Fecha_venta]],"m")</f>
        <v>10</v>
      </c>
      <c r="J855" t="str">
        <f>TEXT(Ventas[[#This Row],[Fecha_venta]],"yyyy")</f>
        <v>2012</v>
      </c>
    </row>
    <row r="856" spans="1:10" x14ac:dyDescent="0.25">
      <c r="A856">
        <v>7</v>
      </c>
      <c r="B856" s="1">
        <v>40214</v>
      </c>
      <c r="C856">
        <v>0</v>
      </c>
      <c r="D856">
        <v>10.53</v>
      </c>
      <c r="E856">
        <v>2.58</v>
      </c>
      <c r="F856">
        <v>189.38169740000001</v>
      </c>
      <c r="G856">
        <v>496725.44</v>
      </c>
      <c r="H856" t="str">
        <f>TEXT(Ventas[[#This Row],[Fecha_venta]],"dd")</f>
        <v>05</v>
      </c>
      <c r="I856" t="str">
        <f>TEXT(Ventas[[#This Row],[Fecha_venta]],"m")</f>
        <v>2</v>
      </c>
      <c r="J856" t="str">
        <f>TEXT(Ventas[[#This Row],[Fecha_venta]],"yyyy")</f>
        <v>2010</v>
      </c>
    </row>
    <row r="857" spans="1:10" x14ac:dyDescent="0.25">
      <c r="A857">
        <v>7</v>
      </c>
      <c r="B857" s="1">
        <v>40221</v>
      </c>
      <c r="C857">
        <v>1</v>
      </c>
      <c r="D857">
        <v>25.9</v>
      </c>
      <c r="E857">
        <v>2.5720000000000001</v>
      </c>
      <c r="F857">
        <v>189.46427249999999</v>
      </c>
      <c r="G857">
        <v>524104.92</v>
      </c>
      <c r="H857" t="str">
        <f>TEXT(Ventas[[#This Row],[Fecha_venta]],"dd")</f>
        <v>12</v>
      </c>
      <c r="I857" t="str">
        <f>TEXT(Ventas[[#This Row],[Fecha_venta]],"m")</f>
        <v>2</v>
      </c>
      <c r="J857" t="str">
        <f>TEXT(Ventas[[#This Row],[Fecha_venta]],"yyyy")</f>
        <v>2010</v>
      </c>
    </row>
    <row r="858" spans="1:10" x14ac:dyDescent="0.25">
      <c r="A858">
        <v>7</v>
      </c>
      <c r="B858" s="1">
        <v>40228</v>
      </c>
      <c r="C858">
        <v>0</v>
      </c>
      <c r="D858">
        <v>27.28</v>
      </c>
      <c r="E858">
        <v>2.5499999999999998</v>
      </c>
      <c r="F858">
        <v>189.53409980000001</v>
      </c>
      <c r="G858">
        <v>506760.54</v>
      </c>
      <c r="H858" t="str">
        <f>TEXT(Ventas[[#This Row],[Fecha_venta]],"dd")</f>
        <v>19</v>
      </c>
      <c r="I858" t="str">
        <f>TEXT(Ventas[[#This Row],[Fecha_venta]],"m")</f>
        <v>2</v>
      </c>
      <c r="J858" t="str">
        <f>TEXT(Ventas[[#This Row],[Fecha_venta]],"yyyy")</f>
        <v>2010</v>
      </c>
    </row>
    <row r="859" spans="1:10" x14ac:dyDescent="0.25">
      <c r="A859">
        <v>7</v>
      </c>
      <c r="B859" s="1">
        <v>40235</v>
      </c>
      <c r="C859">
        <v>0</v>
      </c>
      <c r="D859">
        <v>24.91</v>
      </c>
      <c r="E859">
        <v>2.5859999999999999</v>
      </c>
      <c r="F859">
        <v>189.6018023</v>
      </c>
      <c r="G859">
        <v>496083.24</v>
      </c>
      <c r="H859" t="str">
        <f>TEXT(Ventas[[#This Row],[Fecha_venta]],"dd")</f>
        <v>26</v>
      </c>
      <c r="I859" t="str">
        <f>TEXT(Ventas[[#This Row],[Fecha_venta]],"m")</f>
        <v>2</v>
      </c>
      <c r="J859" t="str">
        <f>TEXT(Ventas[[#This Row],[Fecha_venta]],"yyyy")</f>
        <v>2010</v>
      </c>
    </row>
    <row r="860" spans="1:10" x14ac:dyDescent="0.25">
      <c r="A860">
        <v>7</v>
      </c>
      <c r="B860" s="1">
        <v>40242</v>
      </c>
      <c r="C860">
        <v>0</v>
      </c>
      <c r="D860">
        <v>35.86</v>
      </c>
      <c r="E860">
        <v>2.62</v>
      </c>
      <c r="F860">
        <v>189.66950489999999</v>
      </c>
      <c r="G860">
        <v>491419.55</v>
      </c>
      <c r="H860" t="str">
        <f>TEXT(Ventas[[#This Row],[Fecha_venta]],"dd")</f>
        <v>05</v>
      </c>
      <c r="I860" t="str">
        <f>TEXT(Ventas[[#This Row],[Fecha_venta]],"m")</f>
        <v>3</v>
      </c>
      <c r="J860" t="str">
        <f>TEXT(Ventas[[#This Row],[Fecha_venta]],"yyyy")</f>
        <v>2010</v>
      </c>
    </row>
    <row r="861" spans="1:10" x14ac:dyDescent="0.25">
      <c r="A861">
        <v>7</v>
      </c>
      <c r="B861" s="1">
        <v>40249</v>
      </c>
      <c r="C861">
        <v>0</v>
      </c>
      <c r="D861">
        <v>27.25</v>
      </c>
      <c r="E861">
        <v>2.6840000000000002</v>
      </c>
      <c r="F861">
        <v>189.73720750000001</v>
      </c>
      <c r="G861">
        <v>480452.1</v>
      </c>
      <c r="H861" t="str">
        <f>TEXT(Ventas[[#This Row],[Fecha_venta]],"dd")</f>
        <v>12</v>
      </c>
      <c r="I861" t="str">
        <f>TEXT(Ventas[[#This Row],[Fecha_venta]],"m")</f>
        <v>3</v>
      </c>
      <c r="J861" t="str">
        <f>TEXT(Ventas[[#This Row],[Fecha_venta]],"yyyy")</f>
        <v>2010</v>
      </c>
    </row>
    <row r="862" spans="1:10" x14ac:dyDescent="0.25">
      <c r="A862">
        <v>7</v>
      </c>
      <c r="B862" s="1">
        <v>40256</v>
      </c>
      <c r="C862">
        <v>0</v>
      </c>
      <c r="D862">
        <v>29.04</v>
      </c>
      <c r="E862">
        <v>2.6920000000000002</v>
      </c>
      <c r="F862">
        <v>189.734262</v>
      </c>
      <c r="G862">
        <v>574450.23</v>
      </c>
      <c r="H862" t="str">
        <f>TEXT(Ventas[[#This Row],[Fecha_venta]],"dd")</f>
        <v>19</v>
      </c>
      <c r="I862" t="str">
        <f>TEXT(Ventas[[#This Row],[Fecha_venta]],"m")</f>
        <v>3</v>
      </c>
      <c r="J862" t="str">
        <f>TEXT(Ventas[[#This Row],[Fecha_venta]],"yyyy")</f>
        <v>2010</v>
      </c>
    </row>
    <row r="863" spans="1:10" x14ac:dyDescent="0.25">
      <c r="A863">
        <v>7</v>
      </c>
      <c r="B863" s="1">
        <v>40263</v>
      </c>
      <c r="C863">
        <v>0</v>
      </c>
      <c r="D863">
        <v>23.33</v>
      </c>
      <c r="E863">
        <v>2.7170000000000001</v>
      </c>
      <c r="F863">
        <v>189.71954170000001</v>
      </c>
      <c r="G863">
        <v>514731.6</v>
      </c>
      <c r="H863" t="str">
        <f>TEXT(Ventas[[#This Row],[Fecha_venta]],"dd")</f>
        <v>26</v>
      </c>
      <c r="I863" t="str">
        <f>TEXT(Ventas[[#This Row],[Fecha_venta]],"m")</f>
        <v>3</v>
      </c>
      <c r="J863" t="str">
        <f>TEXT(Ventas[[#This Row],[Fecha_venta]],"yyyy")</f>
        <v>2010</v>
      </c>
    </row>
    <row r="864" spans="1:10" x14ac:dyDescent="0.25">
      <c r="A864">
        <v>7</v>
      </c>
      <c r="B864" s="1">
        <v>40270</v>
      </c>
      <c r="C864">
        <v>0</v>
      </c>
      <c r="D864">
        <v>38.26</v>
      </c>
      <c r="E864">
        <v>2.7250000000000001</v>
      </c>
      <c r="F864">
        <v>189.70482150000001</v>
      </c>
      <c r="G864">
        <v>561145.14</v>
      </c>
      <c r="H864" t="str">
        <f>TEXT(Ventas[[#This Row],[Fecha_venta]],"dd")</f>
        <v>02</v>
      </c>
      <c r="I864" t="str">
        <f>TEXT(Ventas[[#This Row],[Fecha_venta]],"m")</f>
        <v>4</v>
      </c>
      <c r="J864" t="str">
        <f>TEXT(Ventas[[#This Row],[Fecha_venta]],"yyyy")</f>
        <v>2010</v>
      </c>
    </row>
    <row r="865" spans="1:10" x14ac:dyDescent="0.25">
      <c r="A865">
        <v>7</v>
      </c>
      <c r="B865" s="1">
        <v>40277</v>
      </c>
      <c r="C865">
        <v>0</v>
      </c>
      <c r="D865">
        <v>33.79</v>
      </c>
      <c r="E865">
        <v>2.75</v>
      </c>
      <c r="F865">
        <v>189.69010119999999</v>
      </c>
      <c r="G865">
        <v>484263.25</v>
      </c>
      <c r="H865" t="str">
        <f>TEXT(Ventas[[#This Row],[Fecha_venta]],"dd")</f>
        <v>09</v>
      </c>
      <c r="I865" t="str">
        <f>TEXT(Ventas[[#This Row],[Fecha_venta]],"m")</f>
        <v>4</v>
      </c>
      <c r="J865" t="str">
        <f>TEXT(Ventas[[#This Row],[Fecha_venta]],"yyyy")</f>
        <v>2010</v>
      </c>
    </row>
    <row r="866" spans="1:10" x14ac:dyDescent="0.25">
      <c r="A866">
        <v>7</v>
      </c>
      <c r="B866" s="1">
        <v>40284</v>
      </c>
      <c r="C866">
        <v>0</v>
      </c>
      <c r="D866">
        <v>41.89</v>
      </c>
      <c r="E866">
        <v>2.7650000000000001</v>
      </c>
      <c r="F866">
        <v>189.66288449999999</v>
      </c>
      <c r="G866">
        <v>406228.19</v>
      </c>
      <c r="H866" t="str">
        <f>TEXT(Ventas[[#This Row],[Fecha_venta]],"dd")</f>
        <v>16</v>
      </c>
      <c r="I866" t="str">
        <f>TEXT(Ventas[[#This Row],[Fecha_venta]],"m")</f>
        <v>4</v>
      </c>
      <c r="J866" t="str">
        <f>TEXT(Ventas[[#This Row],[Fecha_venta]],"yyyy")</f>
        <v>2010</v>
      </c>
    </row>
    <row r="867" spans="1:10" x14ac:dyDescent="0.25">
      <c r="A867">
        <v>7</v>
      </c>
      <c r="B867" s="1">
        <v>40291</v>
      </c>
      <c r="C867">
        <v>0</v>
      </c>
      <c r="D867">
        <v>43.07</v>
      </c>
      <c r="E867">
        <v>2.7759999999999998</v>
      </c>
      <c r="F867">
        <v>189.6190057</v>
      </c>
      <c r="G867">
        <v>404751.25</v>
      </c>
      <c r="H867" t="str">
        <f>TEXT(Ventas[[#This Row],[Fecha_venta]],"dd")</f>
        <v>23</v>
      </c>
      <c r="I867" t="str">
        <f>TEXT(Ventas[[#This Row],[Fecha_venta]],"m")</f>
        <v>4</v>
      </c>
      <c r="J867" t="str">
        <f>TEXT(Ventas[[#This Row],[Fecha_venta]],"yyyy")</f>
        <v>2010</v>
      </c>
    </row>
    <row r="868" spans="1:10" x14ac:dyDescent="0.25">
      <c r="A868">
        <v>7</v>
      </c>
      <c r="B868" s="1">
        <v>40298</v>
      </c>
      <c r="C868">
        <v>0</v>
      </c>
      <c r="D868">
        <v>38.99</v>
      </c>
      <c r="E868">
        <v>2.766</v>
      </c>
      <c r="F868">
        <v>189.57512700000001</v>
      </c>
      <c r="G868">
        <v>373655.61</v>
      </c>
      <c r="H868" t="str">
        <f>TEXT(Ventas[[#This Row],[Fecha_venta]],"dd")</f>
        <v>30</v>
      </c>
      <c r="I868" t="str">
        <f>TEXT(Ventas[[#This Row],[Fecha_venta]],"m")</f>
        <v>4</v>
      </c>
      <c r="J868" t="str">
        <f>TEXT(Ventas[[#This Row],[Fecha_venta]],"yyyy")</f>
        <v>2010</v>
      </c>
    </row>
    <row r="869" spans="1:10" x14ac:dyDescent="0.25">
      <c r="A869">
        <v>7</v>
      </c>
      <c r="B869" s="1">
        <v>40305</v>
      </c>
      <c r="C869">
        <v>0</v>
      </c>
      <c r="D869">
        <v>40.07</v>
      </c>
      <c r="E869">
        <v>2.7709999999999999</v>
      </c>
      <c r="F869">
        <v>189.53124829999999</v>
      </c>
      <c r="G869">
        <v>395453.83</v>
      </c>
      <c r="H869" t="str">
        <f>TEXT(Ventas[[#This Row],[Fecha_venta]],"dd")</f>
        <v>07</v>
      </c>
      <c r="I869" t="str">
        <f>TEXT(Ventas[[#This Row],[Fecha_venta]],"m")</f>
        <v>5</v>
      </c>
      <c r="J869" t="str">
        <f>TEXT(Ventas[[#This Row],[Fecha_venta]],"yyyy")</f>
        <v>2010</v>
      </c>
    </row>
    <row r="870" spans="1:10" x14ac:dyDescent="0.25">
      <c r="A870">
        <v>7</v>
      </c>
      <c r="B870" s="1">
        <v>40312</v>
      </c>
      <c r="C870">
        <v>0</v>
      </c>
      <c r="D870">
        <v>41.41</v>
      </c>
      <c r="E870">
        <v>2.7879999999999998</v>
      </c>
      <c r="F870">
        <v>189.49041159999999</v>
      </c>
      <c r="G870">
        <v>372673.61</v>
      </c>
      <c r="H870" t="str">
        <f>TEXT(Ventas[[#This Row],[Fecha_venta]],"dd")</f>
        <v>14</v>
      </c>
      <c r="I870" t="str">
        <f>TEXT(Ventas[[#This Row],[Fecha_venta]],"m")</f>
        <v>5</v>
      </c>
      <c r="J870" t="str">
        <f>TEXT(Ventas[[#This Row],[Fecha_venta]],"yyyy")</f>
        <v>2010</v>
      </c>
    </row>
    <row r="871" spans="1:10" x14ac:dyDescent="0.25">
      <c r="A871">
        <v>7</v>
      </c>
      <c r="B871" s="1">
        <v>40319</v>
      </c>
      <c r="C871">
        <v>0</v>
      </c>
      <c r="D871">
        <v>46.6</v>
      </c>
      <c r="E871">
        <v>2.7759999999999998</v>
      </c>
      <c r="F871">
        <v>189.467827</v>
      </c>
      <c r="G871">
        <v>395195.65</v>
      </c>
      <c r="H871" t="str">
        <f>TEXT(Ventas[[#This Row],[Fecha_venta]],"dd")</f>
        <v>21</v>
      </c>
      <c r="I871" t="str">
        <f>TEXT(Ventas[[#This Row],[Fecha_venta]],"m")</f>
        <v>5</v>
      </c>
      <c r="J871" t="str">
        <f>TEXT(Ventas[[#This Row],[Fecha_venta]],"yyyy")</f>
        <v>2010</v>
      </c>
    </row>
    <row r="872" spans="1:10" x14ac:dyDescent="0.25">
      <c r="A872">
        <v>7</v>
      </c>
      <c r="B872" s="1">
        <v>40326</v>
      </c>
      <c r="C872">
        <v>0</v>
      </c>
      <c r="D872">
        <v>54.24</v>
      </c>
      <c r="E872">
        <v>2.7370000000000001</v>
      </c>
      <c r="F872">
        <v>189.44524250000001</v>
      </c>
      <c r="G872">
        <v>442734.55</v>
      </c>
      <c r="H872" t="str">
        <f>TEXT(Ventas[[#This Row],[Fecha_venta]],"dd")</f>
        <v>28</v>
      </c>
      <c r="I872" t="str">
        <f>TEXT(Ventas[[#This Row],[Fecha_venta]],"m")</f>
        <v>5</v>
      </c>
      <c r="J872" t="str">
        <f>TEXT(Ventas[[#This Row],[Fecha_venta]],"yyyy")</f>
        <v>2010</v>
      </c>
    </row>
    <row r="873" spans="1:10" x14ac:dyDescent="0.25">
      <c r="A873">
        <v>7</v>
      </c>
      <c r="B873" s="1">
        <v>40333</v>
      </c>
      <c r="C873">
        <v>0</v>
      </c>
      <c r="D873">
        <v>53.63</v>
      </c>
      <c r="E873">
        <v>2.7</v>
      </c>
      <c r="F873">
        <v>189.42265800000001</v>
      </c>
      <c r="G873">
        <v>509183.22</v>
      </c>
      <c r="H873" t="str">
        <f>TEXT(Ventas[[#This Row],[Fecha_venta]],"dd")</f>
        <v>04</v>
      </c>
      <c r="I873" t="str">
        <f>TEXT(Ventas[[#This Row],[Fecha_venta]],"m")</f>
        <v>6</v>
      </c>
      <c r="J873" t="str">
        <f>TEXT(Ventas[[#This Row],[Fecha_venta]],"yyyy")</f>
        <v>2010</v>
      </c>
    </row>
    <row r="874" spans="1:10" x14ac:dyDescent="0.25">
      <c r="A874">
        <v>7</v>
      </c>
      <c r="B874" s="1">
        <v>40340</v>
      </c>
      <c r="C874">
        <v>0</v>
      </c>
      <c r="D874">
        <v>63.59</v>
      </c>
      <c r="E874">
        <v>2.6840000000000002</v>
      </c>
      <c r="F874">
        <v>189.4000734</v>
      </c>
      <c r="G874">
        <v>498580.87</v>
      </c>
      <c r="H874" t="str">
        <f>TEXT(Ventas[[#This Row],[Fecha_venta]],"dd")</f>
        <v>11</v>
      </c>
      <c r="I874" t="str">
        <f>TEXT(Ventas[[#This Row],[Fecha_venta]],"m")</f>
        <v>6</v>
      </c>
      <c r="J874" t="str">
        <f>TEXT(Ventas[[#This Row],[Fecha_venta]],"yyyy")</f>
        <v>2010</v>
      </c>
    </row>
    <row r="875" spans="1:10" x14ac:dyDescent="0.25">
      <c r="A875">
        <v>7</v>
      </c>
      <c r="B875" s="1">
        <v>40347</v>
      </c>
      <c r="C875">
        <v>0</v>
      </c>
      <c r="D875">
        <v>52.7</v>
      </c>
      <c r="E875">
        <v>2.6739999999999999</v>
      </c>
      <c r="F875">
        <v>189.41852589999999</v>
      </c>
      <c r="G875">
        <v>481144.09</v>
      </c>
      <c r="H875" t="str">
        <f>TEXT(Ventas[[#This Row],[Fecha_venta]],"dd")</f>
        <v>18</v>
      </c>
      <c r="I875" t="str">
        <f>TEXT(Ventas[[#This Row],[Fecha_venta]],"m")</f>
        <v>6</v>
      </c>
      <c r="J875" t="str">
        <f>TEXT(Ventas[[#This Row],[Fecha_venta]],"yyyy")</f>
        <v>2010</v>
      </c>
    </row>
    <row r="876" spans="1:10" x14ac:dyDescent="0.25">
      <c r="A876">
        <v>7</v>
      </c>
      <c r="B876" s="1">
        <v>40354</v>
      </c>
      <c r="C876">
        <v>0</v>
      </c>
      <c r="D876">
        <v>59.94</v>
      </c>
      <c r="E876">
        <v>0</v>
      </c>
      <c r="F876">
        <v>189.4533931</v>
      </c>
      <c r="G876">
        <v>553714.87</v>
      </c>
      <c r="H876" t="str">
        <f>TEXT(Ventas[[#This Row],[Fecha_venta]],"dd")</f>
        <v>25</v>
      </c>
      <c r="I876" t="str">
        <f>TEXT(Ventas[[#This Row],[Fecha_venta]],"m")</f>
        <v>6</v>
      </c>
      <c r="J876" t="str">
        <f>TEXT(Ventas[[#This Row],[Fecha_venta]],"yyyy")</f>
        <v>2010</v>
      </c>
    </row>
    <row r="877" spans="1:10" x14ac:dyDescent="0.25">
      <c r="A877">
        <v>7</v>
      </c>
      <c r="B877" s="1">
        <v>40361</v>
      </c>
      <c r="C877">
        <v>0</v>
      </c>
      <c r="D877">
        <v>61.31</v>
      </c>
      <c r="E877">
        <v>2.7280000000000002</v>
      </c>
      <c r="F877">
        <v>189.48826030000001</v>
      </c>
      <c r="G877">
        <v>575570.77</v>
      </c>
      <c r="H877" t="str">
        <f>TEXT(Ventas[[#This Row],[Fecha_venta]],"dd")</f>
        <v>02</v>
      </c>
      <c r="I877" t="str">
        <f>TEXT(Ventas[[#This Row],[Fecha_venta]],"m")</f>
        <v>7</v>
      </c>
      <c r="J877" t="str">
        <f>TEXT(Ventas[[#This Row],[Fecha_venta]],"yyyy")</f>
        <v>2010</v>
      </c>
    </row>
    <row r="878" spans="1:10" x14ac:dyDescent="0.25">
      <c r="A878">
        <v>7</v>
      </c>
      <c r="B878" s="1">
        <v>40368</v>
      </c>
      <c r="C878">
        <v>0</v>
      </c>
      <c r="D878">
        <v>58</v>
      </c>
      <c r="E878">
        <v>2.7109999999999999</v>
      </c>
      <c r="F878">
        <v>189.52312760000001</v>
      </c>
      <c r="G878">
        <v>593462.34</v>
      </c>
      <c r="H878" t="str">
        <f>TEXT(Ventas[[#This Row],[Fecha_venta]],"dd")</f>
        <v>09</v>
      </c>
      <c r="I878" t="str">
        <f>TEXT(Ventas[[#This Row],[Fecha_venta]],"m")</f>
        <v>7</v>
      </c>
      <c r="J878" t="str">
        <f>TEXT(Ventas[[#This Row],[Fecha_venta]],"yyyy")</f>
        <v>2010</v>
      </c>
    </row>
    <row r="879" spans="1:10" x14ac:dyDescent="0.25">
      <c r="A879">
        <v>7</v>
      </c>
      <c r="B879" s="1">
        <v>40375</v>
      </c>
      <c r="C879">
        <v>0</v>
      </c>
      <c r="D879">
        <v>62.19</v>
      </c>
      <c r="E879">
        <v>2.6989999999999998</v>
      </c>
      <c r="F879">
        <v>189.6125456</v>
      </c>
      <c r="G879">
        <v>557166.35</v>
      </c>
      <c r="H879" t="str">
        <f>TEXT(Ventas[[#This Row],[Fecha_venta]],"dd")</f>
        <v>16</v>
      </c>
      <c r="I879" t="str">
        <f>TEXT(Ventas[[#This Row],[Fecha_venta]],"m")</f>
        <v>7</v>
      </c>
      <c r="J879" t="str">
        <f>TEXT(Ventas[[#This Row],[Fecha_venta]],"yyyy")</f>
        <v>2010</v>
      </c>
    </row>
    <row r="880" spans="1:10" x14ac:dyDescent="0.25">
      <c r="A880">
        <v>7</v>
      </c>
      <c r="B880" s="1">
        <v>40382</v>
      </c>
      <c r="C880">
        <v>0</v>
      </c>
      <c r="D880">
        <v>64.64</v>
      </c>
      <c r="E880">
        <v>2.6909999999999998</v>
      </c>
      <c r="F880">
        <v>189.774698</v>
      </c>
      <c r="G880">
        <v>570231.21</v>
      </c>
      <c r="H880" t="str">
        <f>TEXT(Ventas[[#This Row],[Fecha_venta]],"dd")</f>
        <v>23</v>
      </c>
      <c r="I880" t="str">
        <f>TEXT(Ventas[[#This Row],[Fecha_venta]],"m")</f>
        <v>7</v>
      </c>
      <c r="J880" t="str">
        <f>TEXT(Ventas[[#This Row],[Fecha_venta]],"yyyy")</f>
        <v>2010</v>
      </c>
    </row>
    <row r="881" spans="1:10" x14ac:dyDescent="0.25">
      <c r="A881">
        <v>7</v>
      </c>
      <c r="B881" s="1">
        <v>40389</v>
      </c>
      <c r="C881">
        <v>0</v>
      </c>
      <c r="D881">
        <v>66.069999999999993</v>
      </c>
      <c r="E881">
        <v>2.69</v>
      </c>
      <c r="F881">
        <v>189.9368504</v>
      </c>
      <c r="G881">
        <v>603547.16</v>
      </c>
      <c r="H881" t="str">
        <f>TEXT(Ventas[[#This Row],[Fecha_venta]],"dd")</f>
        <v>30</v>
      </c>
      <c r="I881" t="str">
        <f>TEXT(Ventas[[#This Row],[Fecha_venta]],"m")</f>
        <v>7</v>
      </c>
      <c r="J881" t="str">
        <f>TEXT(Ventas[[#This Row],[Fecha_venta]],"yyyy")</f>
        <v>2010</v>
      </c>
    </row>
    <row r="882" spans="1:10" x14ac:dyDescent="0.25">
      <c r="A882">
        <v>7</v>
      </c>
      <c r="B882" s="1">
        <v>40396</v>
      </c>
      <c r="C882">
        <v>0</v>
      </c>
      <c r="D882">
        <v>61.7</v>
      </c>
      <c r="E882">
        <v>2.69</v>
      </c>
      <c r="F882">
        <v>190.09900279999999</v>
      </c>
      <c r="G882">
        <v>643854.17000000004</v>
      </c>
      <c r="H882" t="str">
        <f>TEXT(Ventas[[#This Row],[Fecha_venta]],"dd")</f>
        <v>06</v>
      </c>
      <c r="I882" t="str">
        <f>TEXT(Ventas[[#This Row],[Fecha_venta]],"m")</f>
        <v>8</v>
      </c>
      <c r="J882" t="str">
        <f>TEXT(Ventas[[#This Row],[Fecha_venta]],"yyyy")</f>
        <v>2010</v>
      </c>
    </row>
    <row r="883" spans="1:10" x14ac:dyDescent="0.25">
      <c r="A883">
        <v>7</v>
      </c>
      <c r="B883" s="1">
        <v>40403</v>
      </c>
      <c r="C883">
        <v>0</v>
      </c>
      <c r="D883">
        <v>60.13</v>
      </c>
      <c r="E883">
        <v>2.7229999999999999</v>
      </c>
      <c r="F883">
        <v>190.26115519999999</v>
      </c>
      <c r="G883">
        <v>598185.4</v>
      </c>
      <c r="H883" t="str">
        <f>TEXT(Ventas[[#This Row],[Fecha_venta]],"dd")</f>
        <v>13</v>
      </c>
      <c r="I883" t="str">
        <f>TEXT(Ventas[[#This Row],[Fecha_venta]],"m")</f>
        <v>8</v>
      </c>
      <c r="J883" t="str">
        <f>TEXT(Ventas[[#This Row],[Fecha_venta]],"yyyy")</f>
        <v>2010</v>
      </c>
    </row>
    <row r="884" spans="1:10" x14ac:dyDescent="0.25">
      <c r="A884">
        <v>7</v>
      </c>
      <c r="B884" s="1">
        <v>40410</v>
      </c>
      <c r="C884">
        <v>0</v>
      </c>
      <c r="D884">
        <v>59.59</v>
      </c>
      <c r="E884">
        <v>2.7320000000000002</v>
      </c>
      <c r="F884">
        <v>190.29482369999999</v>
      </c>
      <c r="G884">
        <v>582353.17000000004</v>
      </c>
      <c r="H884" t="str">
        <f>TEXT(Ventas[[#This Row],[Fecha_venta]],"dd")</f>
        <v>20</v>
      </c>
      <c r="I884" t="str">
        <f>TEXT(Ventas[[#This Row],[Fecha_venta]],"m")</f>
        <v>8</v>
      </c>
      <c r="J884" t="str">
        <f>TEXT(Ventas[[#This Row],[Fecha_venta]],"yyyy")</f>
        <v>2010</v>
      </c>
    </row>
    <row r="885" spans="1:10" x14ac:dyDescent="0.25">
      <c r="A885">
        <v>7</v>
      </c>
      <c r="B885" s="1">
        <v>40417</v>
      </c>
      <c r="C885">
        <v>0</v>
      </c>
      <c r="D885">
        <v>57.57</v>
      </c>
      <c r="E885">
        <v>2.7309999999999999</v>
      </c>
      <c r="F885">
        <v>190.3284922</v>
      </c>
      <c r="G885">
        <v>554309.24</v>
      </c>
      <c r="H885" t="str">
        <f>TEXT(Ventas[[#This Row],[Fecha_venta]],"dd")</f>
        <v>27</v>
      </c>
      <c r="I885" t="str">
        <f>TEXT(Ventas[[#This Row],[Fecha_venta]],"m")</f>
        <v>8</v>
      </c>
      <c r="J885" t="str">
        <f>TEXT(Ventas[[#This Row],[Fecha_venta]],"yyyy")</f>
        <v>2010</v>
      </c>
    </row>
    <row r="886" spans="1:10" x14ac:dyDescent="0.25">
      <c r="A886">
        <v>7</v>
      </c>
      <c r="B886" s="1">
        <v>40424</v>
      </c>
      <c r="C886">
        <v>0</v>
      </c>
      <c r="D886">
        <v>49.84</v>
      </c>
      <c r="E886">
        <v>2.7730000000000001</v>
      </c>
      <c r="F886">
        <v>190.3621607</v>
      </c>
      <c r="G886">
        <v>532765.05000000005</v>
      </c>
      <c r="H886" t="str">
        <f>TEXT(Ventas[[#This Row],[Fecha_venta]],"dd")</f>
        <v>03</v>
      </c>
      <c r="I886" t="str">
        <f>TEXT(Ventas[[#This Row],[Fecha_venta]],"m")</f>
        <v>9</v>
      </c>
      <c r="J886" t="str">
        <f>TEXT(Ventas[[#This Row],[Fecha_venta]],"yyyy")</f>
        <v>2010</v>
      </c>
    </row>
    <row r="887" spans="1:10" x14ac:dyDescent="0.25">
      <c r="A887">
        <v>7</v>
      </c>
      <c r="B887" s="1">
        <v>40431</v>
      </c>
      <c r="C887">
        <v>1</v>
      </c>
      <c r="D887">
        <v>48.5</v>
      </c>
      <c r="E887">
        <v>2.78</v>
      </c>
      <c r="F887">
        <v>190.3958293</v>
      </c>
      <c r="G887">
        <v>535769.31999999995</v>
      </c>
      <c r="H887" t="str">
        <f>TEXT(Ventas[[#This Row],[Fecha_venta]],"dd")</f>
        <v>10</v>
      </c>
      <c r="I887" t="str">
        <f>TEXT(Ventas[[#This Row],[Fecha_venta]],"m")</f>
        <v>9</v>
      </c>
      <c r="J887" t="str">
        <f>TEXT(Ventas[[#This Row],[Fecha_venta]],"yyyy")</f>
        <v>2010</v>
      </c>
    </row>
    <row r="888" spans="1:10" x14ac:dyDescent="0.25">
      <c r="A888">
        <v>7</v>
      </c>
      <c r="B888" s="1">
        <v>40438</v>
      </c>
      <c r="C888">
        <v>0</v>
      </c>
      <c r="D888">
        <v>48.56</v>
      </c>
      <c r="E888">
        <v>2.8</v>
      </c>
      <c r="F888">
        <v>190.46882869999999</v>
      </c>
      <c r="G888">
        <v>489408.53</v>
      </c>
      <c r="H888" t="str">
        <f>TEXT(Ventas[[#This Row],[Fecha_venta]],"dd")</f>
        <v>17</v>
      </c>
      <c r="I888" t="str">
        <f>TEXT(Ventas[[#This Row],[Fecha_venta]],"m")</f>
        <v>9</v>
      </c>
      <c r="J888" t="str">
        <f>TEXT(Ventas[[#This Row],[Fecha_venta]],"yyyy")</f>
        <v>2010</v>
      </c>
    </row>
    <row r="889" spans="1:10" x14ac:dyDescent="0.25">
      <c r="A889">
        <v>7</v>
      </c>
      <c r="B889" s="1">
        <v>40445</v>
      </c>
      <c r="C889">
        <v>0</v>
      </c>
      <c r="D889">
        <v>47.55</v>
      </c>
      <c r="E889">
        <v>2.7930000000000001</v>
      </c>
      <c r="F889">
        <v>190.5713264</v>
      </c>
      <c r="G889">
        <v>488008.83</v>
      </c>
      <c r="H889" t="str">
        <f>TEXT(Ventas[[#This Row],[Fecha_venta]],"dd")</f>
        <v>24</v>
      </c>
      <c r="I889" t="str">
        <f>TEXT(Ventas[[#This Row],[Fecha_venta]],"m")</f>
        <v>9</v>
      </c>
      <c r="J889" t="str">
        <f>TEXT(Ventas[[#This Row],[Fecha_venta]],"yyyy")</f>
        <v>2010</v>
      </c>
    </row>
    <row r="890" spans="1:10" x14ac:dyDescent="0.25">
      <c r="A890">
        <v>7</v>
      </c>
      <c r="B890" s="1">
        <v>40452</v>
      </c>
      <c r="C890">
        <v>0</v>
      </c>
      <c r="D890">
        <v>49.99</v>
      </c>
      <c r="E890">
        <v>2.7589999999999999</v>
      </c>
      <c r="F890">
        <v>190.67382409999999</v>
      </c>
      <c r="G890">
        <v>448998.73</v>
      </c>
      <c r="H890" t="str">
        <f>TEXT(Ventas[[#This Row],[Fecha_venta]],"dd")</f>
        <v>01</v>
      </c>
      <c r="I890" t="str">
        <f>TEXT(Ventas[[#This Row],[Fecha_venta]],"m")</f>
        <v>10</v>
      </c>
      <c r="J890" t="str">
        <f>TEXT(Ventas[[#This Row],[Fecha_venta]],"yyyy")</f>
        <v>2010</v>
      </c>
    </row>
    <row r="891" spans="1:10" x14ac:dyDescent="0.25">
      <c r="A891">
        <v>7</v>
      </c>
      <c r="B891" s="1">
        <v>40459</v>
      </c>
      <c r="C891">
        <v>0</v>
      </c>
      <c r="D891">
        <v>44.13</v>
      </c>
      <c r="E891">
        <v>2.7450000000000001</v>
      </c>
      <c r="F891">
        <v>190.77632180000001</v>
      </c>
      <c r="G891">
        <v>480239.88</v>
      </c>
      <c r="H891" t="str">
        <f>TEXT(Ventas[[#This Row],[Fecha_venta]],"dd")</f>
        <v>08</v>
      </c>
      <c r="I891" t="str">
        <f>TEXT(Ventas[[#This Row],[Fecha_venta]],"m")</f>
        <v>10</v>
      </c>
      <c r="J891" t="str">
        <f>TEXT(Ventas[[#This Row],[Fecha_venta]],"yyyy")</f>
        <v>2010</v>
      </c>
    </row>
    <row r="892" spans="1:10" x14ac:dyDescent="0.25">
      <c r="A892">
        <v>7</v>
      </c>
      <c r="B892" s="1">
        <v>40466</v>
      </c>
      <c r="C892">
        <v>0</v>
      </c>
      <c r="D892">
        <v>35.86</v>
      </c>
      <c r="E892">
        <v>2.762</v>
      </c>
      <c r="F892">
        <v>190.8623087</v>
      </c>
      <c r="G892">
        <v>463370.48</v>
      </c>
      <c r="H892" t="str">
        <f>TEXT(Ventas[[#This Row],[Fecha_venta]],"dd")</f>
        <v>15</v>
      </c>
      <c r="I892" t="str">
        <f>TEXT(Ventas[[#This Row],[Fecha_venta]],"m")</f>
        <v>10</v>
      </c>
      <c r="J892" t="str">
        <f>TEXT(Ventas[[#This Row],[Fecha_venta]],"yyyy")</f>
        <v>2010</v>
      </c>
    </row>
    <row r="893" spans="1:10" x14ac:dyDescent="0.25">
      <c r="A893">
        <v>7</v>
      </c>
      <c r="B893" s="1">
        <v>40473</v>
      </c>
      <c r="C893">
        <v>0</v>
      </c>
      <c r="D893">
        <v>36.840000000000003</v>
      </c>
      <c r="E893">
        <v>2.762</v>
      </c>
      <c r="F893">
        <v>190.9070184</v>
      </c>
      <c r="G893">
        <v>472450.81</v>
      </c>
      <c r="H893" t="str">
        <f>TEXT(Ventas[[#This Row],[Fecha_venta]],"dd")</f>
        <v>22</v>
      </c>
      <c r="I893" t="str">
        <f>TEXT(Ventas[[#This Row],[Fecha_venta]],"m")</f>
        <v>10</v>
      </c>
      <c r="J893" t="str">
        <f>TEXT(Ventas[[#This Row],[Fecha_venta]],"yyyy")</f>
        <v>2010</v>
      </c>
    </row>
    <row r="894" spans="1:10" x14ac:dyDescent="0.25">
      <c r="A894">
        <v>7</v>
      </c>
      <c r="B894" s="1">
        <v>40480</v>
      </c>
      <c r="C894">
        <v>0</v>
      </c>
      <c r="D894">
        <v>34.78</v>
      </c>
      <c r="E894">
        <v>2.7480000000000002</v>
      </c>
      <c r="F894">
        <v>190.951728</v>
      </c>
      <c r="G894">
        <v>465493.15</v>
      </c>
      <c r="H894" t="str">
        <f>TEXT(Ventas[[#This Row],[Fecha_venta]],"dd")</f>
        <v>29</v>
      </c>
      <c r="I894" t="str">
        <f>TEXT(Ventas[[#This Row],[Fecha_venta]],"m")</f>
        <v>10</v>
      </c>
      <c r="J894" t="str">
        <f>TEXT(Ventas[[#This Row],[Fecha_venta]],"yyyy")</f>
        <v>2010</v>
      </c>
    </row>
    <row r="895" spans="1:10" x14ac:dyDescent="0.25">
      <c r="A895">
        <v>7</v>
      </c>
      <c r="B895" s="1">
        <v>40487</v>
      </c>
      <c r="C895">
        <v>0</v>
      </c>
      <c r="D895">
        <v>49.44</v>
      </c>
      <c r="E895">
        <v>2.7290000000000001</v>
      </c>
      <c r="F895">
        <v>190.9964377</v>
      </c>
      <c r="G895">
        <v>480512.44</v>
      </c>
      <c r="H895" t="str">
        <f>TEXT(Ventas[[#This Row],[Fecha_venta]],"dd")</f>
        <v>05</v>
      </c>
      <c r="I895" t="str">
        <f>TEXT(Ventas[[#This Row],[Fecha_venta]],"m")</f>
        <v>11</v>
      </c>
      <c r="J895" t="str">
        <f>TEXT(Ventas[[#This Row],[Fecha_venta]],"yyyy")</f>
        <v>2010</v>
      </c>
    </row>
    <row r="896" spans="1:10" x14ac:dyDescent="0.25">
      <c r="A896">
        <v>7</v>
      </c>
      <c r="B896" s="1">
        <v>40494</v>
      </c>
      <c r="C896">
        <v>0</v>
      </c>
      <c r="D896">
        <v>22.12</v>
      </c>
      <c r="E896">
        <v>2.7370000000000001</v>
      </c>
      <c r="F896">
        <v>191.0411474</v>
      </c>
      <c r="G896">
        <v>507584.29</v>
      </c>
      <c r="H896" t="str">
        <f>TEXT(Ventas[[#This Row],[Fecha_venta]],"dd")</f>
        <v>12</v>
      </c>
      <c r="I896" t="str">
        <f>TEXT(Ventas[[#This Row],[Fecha_venta]],"m")</f>
        <v>11</v>
      </c>
      <c r="J896" t="str">
        <f>TEXT(Ventas[[#This Row],[Fecha_venta]],"yyyy")</f>
        <v>2010</v>
      </c>
    </row>
    <row r="897" spans="1:10" x14ac:dyDescent="0.25">
      <c r="A897">
        <v>7</v>
      </c>
      <c r="B897" s="1">
        <v>40501</v>
      </c>
      <c r="C897">
        <v>0</v>
      </c>
      <c r="D897">
        <v>25.56</v>
      </c>
      <c r="E897">
        <v>2.758</v>
      </c>
      <c r="F897">
        <v>191.03121719999999</v>
      </c>
      <c r="G897">
        <v>482528.36</v>
      </c>
      <c r="H897" t="str">
        <f>TEXT(Ventas[[#This Row],[Fecha_venta]],"dd")</f>
        <v>19</v>
      </c>
      <c r="I897" t="str">
        <f>TEXT(Ventas[[#This Row],[Fecha_venta]],"m")</f>
        <v>11</v>
      </c>
      <c r="J897" t="str">
        <f>TEXT(Ventas[[#This Row],[Fecha_venta]],"yyyy")</f>
        <v>2010</v>
      </c>
    </row>
    <row r="898" spans="1:10" x14ac:dyDescent="0.25">
      <c r="A898">
        <v>7</v>
      </c>
      <c r="B898" s="1">
        <v>40508</v>
      </c>
      <c r="C898">
        <v>1</v>
      </c>
      <c r="D898">
        <v>17.95</v>
      </c>
      <c r="E898">
        <v>2.742</v>
      </c>
      <c r="F898">
        <v>191.0121805</v>
      </c>
      <c r="G898">
        <v>835189.26</v>
      </c>
      <c r="H898" t="str">
        <f>TEXT(Ventas[[#This Row],[Fecha_venta]],"dd")</f>
        <v>26</v>
      </c>
      <c r="I898" t="str">
        <f>TEXT(Ventas[[#This Row],[Fecha_venta]],"m")</f>
        <v>11</v>
      </c>
      <c r="J898" t="str">
        <f>TEXT(Ventas[[#This Row],[Fecha_venta]],"yyyy")</f>
        <v>2010</v>
      </c>
    </row>
    <row r="899" spans="1:10" x14ac:dyDescent="0.25">
      <c r="A899">
        <v>7</v>
      </c>
      <c r="B899" s="1">
        <v>40515</v>
      </c>
      <c r="C899">
        <v>0</v>
      </c>
      <c r="D899">
        <v>21.88</v>
      </c>
      <c r="E899">
        <v>2.7120000000000002</v>
      </c>
      <c r="F899">
        <v>190.99314369999999</v>
      </c>
      <c r="G899">
        <v>552811.62</v>
      </c>
      <c r="H899" t="str">
        <f>TEXT(Ventas[[#This Row],[Fecha_venta]],"dd")</f>
        <v>03</v>
      </c>
      <c r="I899" t="str">
        <f>TEXT(Ventas[[#This Row],[Fecha_venta]],"m")</f>
        <v>12</v>
      </c>
      <c r="J899" t="str">
        <f>TEXT(Ventas[[#This Row],[Fecha_venta]],"yyyy")</f>
        <v>2010</v>
      </c>
    </row>
    <row r="900" spans="1:10" x14ac:dyDescent="0.25">
      <c r="A900">
        <v>7</v>
      </c>
      <c r="B900" s="1">
        <v>40522</v>
      </c>
      <c r="C900">
        <v>0</v>
      </c>
      <c r="D900">
        <v>24.24</v>
      </c>
      <c r="E900">
        <v>2.7280000000000002</v>
      </c>
      <c r="F900">
        <v>190.97410690000001</v>
      </c>
      <c r="G900">
        <v>599730.06999999995</v>
      </c>
      <c r="H900" t="str">
        <f>TEXT(Ventas[[#This Row],[Fecha_venta]],"dd")</f>
        <v>10</v>
      </c>
      <c r="I900" t="str">
        <f>TEXT(Ventas[[#This Row],[Fecha_venta]],"m")</f>
        <v>12</v>
      </c>
      <c r="J900" t="str">
        <f>TEXT(Ventas[[#This Row],[Fecha_venta]],"yyyy")</f>
        <v>2010</v>
      </c>
    </row>
    <row r="901" spans="1:10" x14ac:dyDescent="0.25">
      <c r="A901">
        <v>7</v>
      </c>
      <c r="B901" s="1">
        <v>40529</v>
      </c>
      <c r="C901">
        <v>0</v>
      </c>
      <c r="D901">
        <v>20.74</v>
      </c>
      <c r="E901">
        <v>2.778</v>
      </c>
      <c r="F901">
        <v>191.0303376</v>
      </c>
      <c r="G901">
        <v>716388.81</v>
      </c>
      <c r="H901" t="str">
        <f>TEXT(Ventas[[#This Row],[Fecha_venta]],"dd")</f>
        <v>17</v>
      </c>
      <c r="I901" t="str">
        <f>TEXT(Ventas[[#This Row],[Fecha_venta]],"m")</f>
        <v>12</v>
      </c>
      <c r="J901" t="str">
        <f>TEXT(Ventas[[#This Row],[Fecha_venta]],"yyyy")</f>
        <v>2010</v>
      </c>
    </row>
    <row r="902" spans="1:10" x14ac:dyDescent="0.25">
      <c r="A902">
        <v>7</v>
      </c>
      <c r="B902" s="1">
        <v>40536</v>
      </c>
      <c r="C902">
        <v>0</v>
      </c>
      <c r="D902">
        <v>26.04</v>
      </c>
      <c r="E902">
        <v>2.7810000000000001</v>
      </c>
      <c r="F902">
        <v>191.14301889999999</v>
      </c>
      <c r="G902">
        <v>1045124.88</v>
      </c>
      <c r="H902" t="str">
        <f>TEXT(Ventas[[#This Row],[Fecha_venta]],"dd")</f>
        <v>24</v>
      </c>
      <c r="I902" t="str">
        <f>TEXT(Ventas[[#This Row],[Fecha_venta]],"m")</f>
        <v>12</v>
      </c>
      <c r="J902" t="str">
        <f>TEXT(Ventas[[#This Row],[Fecha_venta]],"yyyy")</f>
        <v>2010</v>
      </c>
    </row>
    <row r="903" spans="1:10" x14ac:dyDescent="0.25">
      <c r="A903">
        <v>7</v>
      </c>
      <c r="B903" s="1">
        <v>40543</v>
      </c>
      <c r="C903">
        <v>1</v>
      </c>
      <c r="D903">
        <v>13.76</v>
      </c>
      <c r="E903">
        <v>2.8290000000000002</v>
      </c>
      <c r="F903">
        <v>191.25570020000001</v>
      </c>
      <c r="G903">
        <v>729572.08</v>
      </c>
      <c r="H903" t="str">
        <f>TEXT(Ventas[[#This Row],[Fecha_venta]],"dd")</f>
        <v>31</v>
      </c>
      <c r="I903" t="str">
        <f>TEXT(Ventas[[#This Row],[Fecha_venta]],"m")</f>
        <v>12</v>
      </c>
      <c r="J903" t="str">
        <f>TEXT(Ventas[[#This Row],[Fecha_venta]],"yyyy")</f>
        <v>2010</v>
      </c>
    </row>
    <row r="904" spans="1:10" x14ac:dyDescent="0.25">
      <c r="A904">
        <v>7</v>
      </c>
      <c r="B904" s="1">
        <v>40550</v>
      </c>
      <c r="C904">
        <v>0</v>
      </c>
      <c r="D904">
        <v>10.09</v>
      </c>
      <c r="E904">
        <v>2.8820000000000001</v>
      </c>
      <c r="F904">
        <v>191.3683815</v>
      </c>
      <c r="G904">
        <v>661163.93999999994</v>
      </c>
      <c r="H904" t="str">
        <f>TEXT(Ventas[[#This Row],[Fecha_venta]],"dd")</f>
        <v>07</v>
      </c>
      <c r="I904" t="str">
        <f>TEXT(Ventas[[#This Row],[Fecha_venta]],"m")</f>
        <v>1</v>
      </c>
      <c r="J904" t="str">
        <f>TEXT(Ventas[[#This Row],[Fecha_venta]],"yyyy")</f>
        <v>2011</v>
      </c>
    </row>
    <row r="905" spans="1:10" x14ac:dyDescent="0.25">
      <c r="A905">
        <v>7</v>
      </c>
      <c r="B905" s="1">
        <v>40557</v>
      </c>
      <c r="C905">
        <v>0</v>
      </c>
      <c r="D905">
        <v>11.32</v>
      </c>
      <c r="E905">
        <v>2.911</v>
      </c>
      <c r="F905">
        <v>191.47849389999999</v>
      </c>
      <c r="G905">
        <v>547384.9</v>
      </c>
      <c r="H905" t="str">
        <f>TEXT(Ventas[[#This Row],[Fecha_venta]],"dd")</f>
        <v>14</v>
      </c>
      <c r="I905" t="str">
        <f>TEXT(Ventas[[#This Row],[Fecha_venta]],"m")</f>
        <v>1</v>
      </c>
      <c r="J905" t="str">
        <f>TEXT(Ventas[[#This Row],[Fecha_venta]],"yyyy")</f>
        <v>2011</v>
      </c>
    </row>
    <row r="906" spans="1:10" x14ac:dyDescent="0.25">
      <c r="A906">
        <v>7</v>
      </c>
      <c r="B906" s="1">
        <v>40564</v>
      </c>
      <c r="C906">
        <v>0</v>
      </c>
      <c r="D906">
        <v>25.4</v>
      </c>
      <c r="E906">
        <v>2.9729999999999999</v>
      </c>
      <c r="F906">
        <v>191.57319240000001</v>
      </c>
      <c r="G906">
        <v>521539.46</v>
      </c>
      <c r="H906" t="str">
        <f>TEXT(Ventas[[#This Row],[Fecha_venta]],"dd")</f>
        <v>21</v>
      </c>
      <c r="I906" t="str">
        <f>TEXT(Ventas[[#This Row],[Fecha_venta]],"m")</f>
        <v>1</v>
      </c>
      <c r="J906" t="str">
        <f>TEXT(Ventas[[#This Row],[Fecha_venta]],"yyyy")</f>
        <v>2011</v>
      </c>
    </row>
    <row r="907" spans="1:10" x14ac:dyDescent="0.25">
      <c r="A907">
        <v>7</v>
      </c>
      <c r="B907" s="1">
        <v>40571</v>
      </c>
      <c r="C907">
        <v>0</v>
      </c>
      <c r="D907">
        <v>10.11</v>
      </c>
      <c r="E907">
        <v>3.008</v>
      </c>
      <c r="F907">
        <v>191.667891</v>
      </c>
      <c r="G907">
        <v>513372.17</v>
      </c>
      <c r="H907" t="str">
        <f>TEXT(Ventas[[#This Row],[Fecha_venta]],"dd")</f>
        <v>28</v>
      </c>
      <c r="I907" t="str">
        <f>TEXT(Ventas[[#This Row],[Fecha_venta]],"m")</f>
        <v>1</v>
      </c>
      <c r="J907" t="str">
        <f>TEXT(Ventas[[#This Row],[Fecha_venta]],"yyyy")</f>
        <v>2011</v>
      </c>
    </row>
    <row r="908" spans="1:10" x14ac:dyDescent="0.25">
      <c r="A908">
        <v>7</v>
      </c>
      <c r="B908" s="1">
        <v>40578</v>
      </c>
      <c r="C908">
        <v>0</v>
      </c>
      <c r="D908">
        <v>-2.06</v>
      </c>
      <c r="E908">
        <v>3.0110000000000001</v>
      </c>
      <c r="F908">
        <v>191.76258949999999</v>
      </c>
      <c r="G908">
        <v>558027.77</v>
      </c>
      <c r="H908" t="str">
        <f>TEXT(Ventas[[#This Row],[Fecha_venta]],"dd")</f>
        <v>04</v>
      </c>
      <c r="I908" t="str">
        <f>TEXT(Ventas[[#This Row],[Fecha_venta]],"m")</f>
        <v>2</v>
      </c>
      <c r="J908" t="str">
        <f>TEXT(Ventas[[#This Row],[Fecha_venta]],"yyyy")</f>
        <v>2011</v>
      </c>
    </row>
    <row r="909" spans="1:10" x14ac:dyDescent="0.25">
      <c r="A909">
        <v>7</v>
      </c>
      <c r="B909" s="1">
        <v>40585</v>
      </c>
      <c r="C909">
        <v>1</v>
      </c>
      <c r="D909">
        <v>10.24</v>
      </c>
      <c r="E909">
        <v>3.0369999999999999</v>
      </c>
      <c r="F909">
        <v>191.85728810000001</v>
      </c>
      <c r="G909">
        <v>559903.13</v>
      </c>
      <c r="H909" t="str">
        <f>TEXT(Ventas[[#This Row],[Fecha_venta]],"dd")</f>
        <v>11</v>
      </c>
      <c r="I909" t="str">
        <f>TEXT(Ventas[[#This Row],[Fecha_venta]],"m")</f>
        <v>2</v>
      </c>
      <c r="J909" t="str">
        <f>TEXT(Ventas[[#This Row],[Fecha_venta]],"yyyy")</f>
        <v>2011</v>
      </c>
    </row>
    <row r="910" spans="1:10" x14ac:dyDescent="0.25">
      <c r="A910">
        <v>7</v>
      </c>
      <c r="B910" s="1">
        <v>40592</v>
      </c>
      <c r="C910">
        <v>0</v>
      </c>
      <c r="D910">
        <v>17.3</v>
      </c>
      <c r="E910">
        <v>3.0510000000000002</v>
      </c>
      <c r="F910">
        <v>191.9178331</v>
      </c>
      <c r="G910">
        <v>572387.47</v>
      </c>
      <c r="H910" t="str">
        <f>TEXT(Ventas[[#This Row],[Fecha_venta]],"dd")</f>
        <v>18</v>
      </c>
      <c r="I910" t="str">
        <f>TEXT(Ventas[[#This Row],[Fecha_venta]],"m")</f>
        <v>2</v>
      </c>
      <c r="J910" t="str">
        <f>TEXT(Ventas[[#This Row],[Fecha_venta]],"yyyy")</f>
        <v>2011</v>
      </c>
    </row>
    <row r="911" spans="1:10" x14ac:dyDescent="0.25">
      <c r="A911">
        <v>7</v>
      </c>
      <c r="B911" s="1">
        <v>40599</v>
      </c>
      <c r="C911">
        <v>0</v>
      </c>
      <c r="D911">
        <v>17.46</v>
      </c>
      <c r="E911">
        <v>3.101</v>
      </c>
      <c r="F911">
        <v>191.9647167</v>
      </c>
      <c r="G911">
        <v>546690.84</v>
      </c>
      <c r="H911" t="str">
        <f>TEXT(Ventas[[#This Row],[Fecha_venta]],"dd")</f>
        <v>25</v>
      </c>
      <c r="I911" t="str">
        <f>TEXT(Ventas[[#This Row],[Fecha_venta]],"m")</f>
        <v>2</v>
      </c>
      <c r="J911" t="str">
        <f>TEXT(Ventas[[#This Row],[Fecha_venta]],"yyyy")</f>
        <v>2011</v>
      </c>
    </row>
    <row r="912" spans="1:10" x14ac:dyDescent="0.25">
      <c r="A912">
        <v>7</v>
      </c>
      <c r="B912" s="1">
        <v>40606</v>
      </c>
      <c r="C912">
        <v>0</v>
      </c>
      <c r="D912">
        <v>21.84</v>
      </c>
      <c r="E912">
        <v>3.2320000000000002</v>
      </c>
      <c r="F912">
        <v>192.01160039999999</v>
      </c>
      <c r="G912">
        <v>551378.39</v>
      </c>
      <c r="H912" t="str">
        <f>TEXT(Ventas[[#This Row],[Fecha_venta]],"dd")</f>
        <v>04</v>
      </c>
      <c r="I912" t="str">
        <f>TEXT(Ventas[[#This Row],[Fecha_venta]],"m")</f>
        <v>3</v>
      </c>
      <c r="J912" t="str">
        <f>TEXT(Ventas[[#This Row],[Fecha_venta]],"yyyy")</f>
        <v>2011</v>
      </c>
    </row>
    <row r="913" spans="1:10" x14ac:dyDescent="0.25">
      <c r="A913">
        <v>7</v>
      </c>
      <c r="B913" s="1">
        <v>40613</v>
      </c>
      <c r="C913">
        <v>0</v>
      </c>
      <c r="D913">
        <v>20.7</v>
      </c>
      <c r="E913">
        <v>3.3719999999999999</v>
      </c>
      <c r="F913">
        <v>192.05848399999999</v>
      </c>
      <c r="G913">
        <v>558963.82999999996</v>
      </c>
      <c r="H913" t="str">
        <f>TEXT(Ventas[[#This Row],[Fecha_venta]],"dd")</f>
        <v>11</v>
      </c>
      <c r="I913" t="str">
        <f>TEXT(Ventas[[#This Row],[Fecha_venta]],"m")</f>
        <v>3</v>
      </c>
      <c r="J913" t="str">
        <f>TEXT(Ventas[[#This Row],[Fecha_venta]],"yyyy")</f>
        <v>2011</v>
      </c>
    </row>
    <row r="914" spans="1:10" x14ac:dyDescent="0.25">
      <c r="A914">
        <v>7</v>
      </c>
      <c r="B914" s="1">
        <v>40620</v>
      </c>
      <c r="C914">
        <v>0</v>
      </c>
      <c r="D914">
        <v>27.69</v>
      </c>
      <c r="E914">
        <v>3.4060000000000001</v>
      </c>
      <c r="F914">
        <v>192.12379809999999</v>
      </c>
      <c r="G914">
        <v>635014.68999999994</v>
      </c>
      <c r="H914" t="str">
        <f>TEXT(Ventas[[#This Row],[Fecha_venta]],"dd")</f>
        <v>18</v>
      </c>
      <c r="I914" t="str">
        <f>TEXT(Ventas[[#This Row],[Fecha_venta]],"m")</f>
        <v>3</v>
      </c>
      <c r="J914" t="str">
        <f>TEXT(Ventas[[#This Row],[Fecha_venta]],"yyyy")</f>
        <v>2011</v>
      </c>
    </row>
    <row r="915" spans="1:10" x14ac:dyDescent="0.25">
      <c r="A915">
        <v>7</v>
      </c>
      <c r="B915" s="1">
        <v>40627</v>
      </c>
      <c r="C915">
        <v>0</v>
      </c>
      <c r="D915">
        <v>25.69</v>
      </c>
      <c r="E915">
        <v>3.4140000000000001</v>
      </c>
      <c r="F915">
        <v>192.1964844</v>
      </c>
      <c r="G915">
        <v>559061.57999999996</v>
      </c>
      <c r="H915" t="str">
        <f>TEXT(Ventas[[#This Row],[Fecha_venta]],"dd")</f>
        <v>25</v>
      </c>
      <c r="I915" t="str">
        <f>TEXT(Ventas[[#This Row],[Fecha_venta]],"m")</f>
        <v>3</v>
      </c>
      <c r="J915" t="str">
        <f>TEXT(Ventas[[#This Row],[Fecha_venta]],"yyyy")</f>
        <v>2011</v>
      </c>
    </row>
    <row r="916" spans="1:10" x14ac:dyDescent="0.25">
      <c r="A916">
        <v>7</v>
      </c>
      <c r="B916" s="1">
        <v>40634</v>
      </c>
      <c r="C916">
        <v>0</v>
      </c>
      <c r="D916">
        <v>24.83</v>
      </c>
      <c r="E916">
        <v>3.4609999999999999</v>
      </c>
      <c r="F916">
        <v>192.26917069999999</v>
      </c>
      <c r="G916">
        <v>513409.67</v>
      </c>
      <c r="H916" t="str">
        <f>TEXT(Ventas[[#This Row],[Fecha_venta]],"dd")</f>
        <v>01</v>
      </c>
      <c r="I916" t="str">
        <f>TEXT(Ventas[[#This Row],[Fecha_venta]],"m")</f>
        <v>4</v>
      </c>
      <c r="J916" t="str">
        <f>TEXT(Ventas[[#This Row],[Fecha_venta]],"yyyy")</f>
        <v>2011</v>
      </c>
    </row>
    <row r="917" spans="1:10" x14ac:dyDescent="0.25">
      <c r="A917">
        <v>7</v>
      </c>
      <c r="B917" s="1">
        <v>40641</v>
      </c>
      <c r="C917">
        <v>0</v>
      </c>
      <c r="D917">
        <v>30.64</v>
      </c>
      <c r="E917">
        <v>3.532</v>
      </c>
      <c r="F917">
        <v>192.3418571</v>
      </c>
      <c r="G917">
        <v>500552.16</v>
      </c>
      <c r="H917" t="str">
        <f>TEXT(Ventas[[#This Row],[Fecha_venta]],"dd")</f>
        <v>08</v>
      </c>
      <c r="I917" t="str">
        <f>TEXT(Ventas[[#This Row],[Fecha_venta]],"m")</f>
        <v>4</v>
      </c>
      <c r="J917" t="str">
        <f>TEXT(Ventas[[#This Row],[Fecha_venta]],"yyyy")</f>
        <v>2011</v>
      </c>
    </row>
    <row r="918" spans="1:10" x14ac:dyDescent="0.25">
      <c r="A918">
        <v>7</v>
      </c>
      <c r="B918" s="1">
        <v>40648</v>
      </c>
      <c r="C918">
        <v>0</v>
      </c>
      <c r="D918">
        <v>27.79</v>
      </c>
      <c r="E918">
        <v>3.6110000000000002</v>
      </c>
      <c r="F918">
        <v>192.42259540000001</v>
      </c>
      <c r="G918">
        <v>423380.14</v>
      </c>
      <c r="H918" t="str">
        <f>TEXT(Ventas[[#This Row],[Fecha_venta]],"dd")</f>
        <v>15</v>
      </c>
      <c r="I918" t="str">
        <f>TEXT(Ventas[[#This Row],[Fecha_venta]],"m")</f>
        <v>4</v>
      </c>
      <c r="J918" t="str">
        <f>TEXT(Ventas[[#This Row],[Fecha_venta]],"yyyy")</f>
        <v>2011</v>
      </c>
    </row>
    <row r="919" spans="1:10" x14ac:dyDescent="0.25">
      <c r="A919">
        <v>7</v>
      </c>
      <c r="B919" s="1">
        <v>40655</v>
      </c>
      <c r="C919">
        <v>0</v>
      </c>
      <c r="D919">
        <v>31.84</v>
      </c>
      <c r="E919">
        <v>3.6360000000000001</v>
      </c>
      <c r="F919">
        <v>192.5234638</v>
      </c>
      <c r="G919">
        <v>466594.89</v>
      </c>
      <c r="H919" t="str">
        <f>TEXT(Ventas[[#This Row],[Fecha_venta]],"dd")</f>
        <v>22</v>
      </c>
      <c r="I919" t="str">
        <f>TEXT(Ventas[[#This Row],[Fecha_venta]],"m")</f>
        <v>4</v>
      </c>
      <c r="J919" t="str">
        <f>TEXT(Ventas[[#This Row],[Fecha_venta]],"yyyy")</f>
        <v>2011</v>
      </c>
    </row>
    <row r="920" spans="1:10" x14ac:dyDescent="0.25">
      <c r="A920">
        <v>7</v>
      </c>
      <c r="B920" s="1">
        <v>40662</v>
      </c>
      <c r="C920">
        <v>0</v>
      </c>
      <c r="D920">
        <v>26.79</v>
      </c>
      <c r="E920">
        <v>3.6629999999999998</v>
      </c>
      <c r="F920">
        <v>192.6243322</v>
      </c>
      <c r="G920">
        <v>410429.73</v>
      </c>
      <c r="H920" t="str">
        <f>TEXT(Ventas[[#This Row],[Fecha_venta]],"dd")</f>
        <v>29</v>
      </c>
      <c r="I920" t="str">
        <f>TEXT(Ventas[[#This Row],[Fecha_venta]],"m")</f>
        <v>4</v>
      </c>
      <c r="J920" t="str">
        <f>TEXT(Ventas[[#This Row],[Fecha_venta]],"yyyy")</f>
        <v>2011</v>
      </c>
    </row>
    <row r="921" spans="1:10" x14ac:dyDescent="0.25">
      <c r="A921">
        <v>7</v>
      </c>
      <c r="B921" s="1">
        <v>40669</v>
      </c>
      <c r="C921">
        <v>0</v>
      </c>
      <c r="D921">
        <v>26.54</v>
      </c>
      <c r="E921">
        <v>3.7349999999999999</v>
      </c>
      <c r="F921">
        <v>192.72520059999999</v>
      </c>
      <c r="G921">
        <v>407012.47</v>
      </c>
      <c r="H921" t="str">
        <f>TEXT(Ventas[[#This Row],[Fecha_venta]],"dd")</f>
        <v>06</v>
      </c>
      <c r="I921" t="str">
        <f>TEXT(Ventas[[#This Row],[Fecha_venta]],"m")</f>
        <v>5</v>
      </c>
      <c r="J921" t="str">
        <f>TEXT(Ventas[[#This Row],[Fecha_venta]],"yyyy")</f>
        <v>2011</v>
      </c>
    </row>
    <row r="922" spans="1:10" x14ac:dyDescent="0.25">
      <c r="A922">
        <v>7</v>
      </c>
      <c r="B922" s="1">
        <v>40676</v>
      </c>
      <c r="C922">
        <v>0</v>
      </c>
      <c r="D922">
        <v>36.61</v>
      </c>
      <c r="E922">
        <v>3.7669999999999999</v>
      </c>
      <c r="F922">
        <v>192.82606899999999</v>
      </c>
      <c r="G922">
        <v>414094.05</v>
      </c>
      <c r="H922" t="str">
        <f>TEXT(Ventas[[#This Row],[Fecha_venta]],"dd")</f>
        <v>13</v>
      </c>
      <c r="I922" t="str">
        <f>TEXT(Ventas[[#This Row],[Fecha_venta]],"m")</f>
        <v>5</v>
      </c>
      <c r="J922" t="str">
        <f>TEXT(Ventas[[#This Row],[Fecha_venta]],"yyyy")</f>
        <v>2011</v>
      </c>
    </row>
    <row r="923" spans="1:10" x14ac:dyDescent="0.25">
      <c r="A923">
        <v>7</v>
      </c>
      <c r="B923" s="1">
        <v>40683</v>
      </c>
      <c r="C923">
        <v>0</v>
      </c>
      <c r="D923">
        <v>36.159999999999997</v>
      </c>
      <c r="E923">
        <v>3.8279999999999998</v>
      </c>
      <c r="F923">
        <v>192.83131700000001</v>
      </c>
      <c r="G923">
        <v>424670.98</v>
      </c>
      <c r="H923" t="str">
        <f>TEXT(Ventas[[#This Row],[Fecha_venta]],"dd")</f>
        <v>20</v>
      </c>
      <c r="I923" t="str">
        <f>TEXT(Ventas[[#This Row],[Fecha_venta]],"m")</f>
        <v>5</v>
      </c>
      <c r="J923" t="str">
        <f>TEXT(Ventas[[#This Row],[Fecha_venta]],"yyyy")</f>
        <v>2011</v>
      </c>
    </row>
    <row r="924" spans="1:10" x14ac:dyDescent="0.25">
      <c r="A924">
        <v>7</v>
      </c>
      <c r="B924" s="1">
        <v>40690</v>
      </c>
      <c r="C924">
        <v>0</v>
      </c>
      <c r="D924">
        <v>37.51</v>
      </c>
      <c r="E924">
        <v>3.7949999999999999</v>
      </c>
      <c r="F924">
        <v>192.8365651</v>
      </c>
      <c r="G924">
        <v>457216.87</v>
      </c>
      <c r="H924" t="str">
        <f>TEXT(Ventas[[#This Row],[Fecha_venta]],"dd")</f>
        <v>27</v>
      </c>
      <c r="I924" t="str">
        <f>TEXT(Ventas[[#This Row],[Fecha_venta]],"m")</f>
        <v>5</v>
      </c>
      <c r="J924" t="str">
        <f>TEXT(Ventas[[#This Row],[Fecha_venta]],"yyyy")</f>
        <v>2011</v>
      </c>
    </row>
    <row r="925" spans="1:10" x14ac:dyDescent="0.25">
      <c r="A925">
        <v>7</v>
      </c>
      <c r="B925" s="1">
        <v>40697</v>
      </c>
      <c r="C925">
        <v>0</v>
      </c>
      <c r="D925">
        <v>45.77</v>
      </c>
      <c r="E925">
        <v>3.7629999999999999</v>
      </c>
      <c r="F925">
        <v>192.8418131</v>
      </c>
      <c r="G925">
        <v>542295.37</v>
      </c>
      <c r="H925" t="str">
        <f>TEXT(Ventas[[#This Row],[Fecha_venta]],"dd")</f>
        <v>03</v>
      </c>
      <c r="I925" t="str">
        <f>TEXT(Ventas[[#This Row],[Fecha_venta]],"m")</f>
        <v>6</v>
      </c>
      <c r="J925" t="str">
        <f>TEXT(Ventas[[#This Row],[Fecha_venta]],"yyyy")</f>
        <v>2011</v>
      </c>
    </row>
    <row r="926" spans="1:10" x14ac:dyDescent="0.25">
      <c r="A926">
        <v>7</v>
      </c>
      <c r="B926" s="1">
        <v>40704</v>
      </c>
      <c r="C926">
        <v>0</v>
      </c>
      <c r="D926">
        <v>53.3</v>
      </c>
      <c r="E926">
        <v>3.7349999999999999</v>
      </c>
      <c r="F926">
        <v>192.84706120000001</v>
      </c>
      <c r="G926">
        <v>621099.94999999995</v>
      </c>
      <c r="H926" t="str">
        <f>TEXT(Ventas[[#This Row],[Fecha_venta]],"dd")</f>
        <v>10</v>
      </c>
      <c r="I926" t="str">
        <f>TEXT(Ventas[[#This Row],[Fecha_venta]],"m")</f>
        <v>6</v>
      </c>
      <c r="J926" t="str">
        <f>TEXT(Ventas[[#This Row],[Fecha_venta]],"yyyy")</f>
        <v>2011</v>
      </c>
    </row>
    <row r="927" spans="1:10" x14ac:dyDescent="0.25">
      <c r="A927">
        <v>7</v>
      </c>
      <c r="B927" s="1">
        <v>40711</v>
      </c>
      <c r="C927">
        <v>0</v>
      </c>
      <c r="D927">
        <v>48.79</v>
      </c>
      <c r="E927">
        <v>3.6970000000000001</v>
      </c>
      <c r="F927">
        <v>192.90347589999999</v>
      </c>
      <c r="G927">
        <v>610991.35</v>
      </c>
      <c r="H927" t="str">
        <f>TEXT(Ventas[[#This Row],[Fecha_venta]],"dd")</f>
        <v>17</v>
      </c>
      <c r="I927" t="str">
        <f>TEXT(Ventas[[#This Row],[Fecha_venta]],"m")</f>
        <v>6</v>
      </c>
      <c r="J927" t="str">
        <f>TEXT(Ventas[[#This Row],[Fecha_venta]],"yyyy")</f>
        <v>2011</v>
      </c>
    </row>
    <row r="928" spans="1:10" x14ac:dyDescent="0.25">
      <c r="A928">
        <v>7</v>
      </c>
      <c r="B928" s="1">
        <v>40718</v>
      </c>
      <c r="C928">
        <v>0</v>
      </c>
      <c r="D928">
        <v>46.85</v>
      </c>
      <c r="E928">
        <v>3.661</v>
      </c>
      <c r="F928">
        <v>192.9982655</v>
      </c>
      <c r="G928">
        <v>640043.97</v>
      </c>
      <c r="H928" t="str">
        <f>TEXT(Ventas[[#This Row],[Fecha_venta]],"dd")</f>
        <v>24</v>
      </c>
      <c r="I928" t="str">
        <f>TEXT(Ventas[[#This Row],[Fecha_venta]],"m")</f>
        <v>6</v>
      </c>
      <c r="J928" t="str">
        <f>TEXT(Ventas[[#This Row],[Fecha_venta]],"yyyy")</f>
        <v>2011</v>
      </c>
    </row>
    <row r="929" spans="1:10" x14ac:dyDescent="0.25">
      <c r="A929">
        <v>7</v>
      </c>
      <c r="B929" s="1">
        <v>40725</v>
      </c>
      <c r="C929">
        <v>0</v>
      </c>
      <c r="D929">
        <v>58.54</v>
      </c>
      <c r="E929">
        <v>3.597</v>
      </c>
      <c r="F929">
        <v>193.09305520000001</v>
      </c>
      <c r="G929">
        <v>704344.21</v>
      </c>
      <c r="H929" t="str">
        <f>TEXT(Ventas[[#This Row],[Fecha_venta]],"dd")</f>
        <v>01</v>
      </c>
      <c r="I929" t="str">
        <f>TEXT(Ventas[[#This Row],[Fecha_venta]],"m")</f>
        <v>7</v>
      </c>
      <c r="J929" t="str">
        <f>TEXT(Ventas[[#This Row],[Fecha_venta]],"yyyy")</f>
        <v>2011</v>
      </c>
    </row>
    <row r="930" spans="1:10" x14ac:dyDescent="0.25">
      <c r="A930">
        <v>7</v>
      </c>
      <c r="B930" s="1">
        <v>40732</v>
      </c>
      <c r="C930">
        <v>0</v>
      </c>
      <c r="D930">
        <v>59.08</v>
      </c>
      <c r="E930">
        <v>3.54</v>
      </c>
      <c r="F930">
        <v>193.18784479999999</v>
      </c>
      <c r="G930">
        <v>761793.94</v>
      </c>
      <c r="H930" t="str">
        <f>TEXT(Ventas[[#This Row],[Fecha_venta]],"dd")</f>
        <v>08</v>
      </c>
      <c r="I930" t="str">
        <f>TEXT(Ventas[[#This Row],[Fecha_venta]],"m")</f>
        <v>7</v>
      </c>
      <c r="J930" t="str">
        <f>TEXT(Ventas[[#This Row],[Fecha_venta]],"yyyy")</f>
        <v>2011</v>
      </c>
    </row>
    <row r="931" spans="1:10" x14ac:dyDescent="0.25">
      <c r="A931">
        <v>7</v>
      </c>
      <c r="B931" s="1">
        <v>40739</v>
      </c>
      <c r="C931">
        <v>0</v>
      </c>
      <c r="D931">
        <v>54.37</v>
      </c>
      <c r="E931">
        <v>3.532</v>
      </c>
      <c r="F931">
        <v>193.3125484</v>
      </c>
      <c r="G931">
        <v>642748.21</v>
      </c>
      <c r="H931" t="str">
        <f>TEXT(Ventas[[#This Row],[Fecha_venta]],"dd")</f>
        <v>15</v>
      </c>
      <c r="I931" t="str">
        <f>TEXT(Ventas[[#This Row],[Fecha_venta]],"m")</f>
        <v>7</v>
      </c>
      <c r="J931" t="str">
        <f>TEXT(Ventas[[#This Row],[Fecha_venta]],"yyyy")</f>
        <v>2011</v>
      </c>
    </row>
    <row r="932" spans="1:10" x14ac:dyDescent="0.25">
      <c r="A932">
        <v>7</v>
      </c>
      <c r="B932" s="1">
        <v>40746</v>
      </c>
      <c r="C932">
        <v>0</v>
      </c>
      <c r="D932">
        <v>56.22</v>
      </c>
      <c r="E932">
        <v>3.5449999999999999</v>
      </c>
      <c r="F932">
        <v>193.51203670000001</v>
      </c>
      <c r="G932">
        <v>688043.96</v>
      </c>
      <c r="H932" t="str">
        <f>TEXT(Ventas[[#This Row],[Fecha_venta]],"dd")</f>
        <v>22</v>
      </c>
      <c r="I932" t="str">
        <f>TEXT(Ventas[[#This Row],[Fecha_venta]],"m")</f>
        <v>7</v>
      </c>
      <c r="J932" t="str">
        <f>TEXT(Ventas[[#This Row],[Fecha_venta]],"yyyy")</f>
        <v>2011</v>
      </c>
    </row>
    <row r="933" spans="1:10" x14ac:dyDescent="0.25">
      <c r="A933">
        <v>7</v>
      </c>
      <c r="B933" s="1">
        <v>40753</v>
      </c>
      <c r="C933">
        <v>0</v>
      </c>
      <c r="D933">
        <v>56.66</v>
      </c>
      <c r="E933">
        <v>3.5470000000000002</v>
      </c>
      <c r="F933">
        <v>193.71152499999999</v>
      </c>
      <c r="G933">
        <v>653382.62</v>
      </c>
      <c r="H933" t="str">
        <f>TEXT(Ventas[[#This Row],[Fecha_venta]],"dd")</f>
        <v>29</v>
      </c>
      <c r="I933" t="str">
        <f>TEXT(Ventas[[#This Row],[Fecha_venta]],"m")</f>
        <v>7</v>
      </c>
      <c r="J933" t="str">
        <f>TEXT(Ventas[[#This Row],[Fecha_venta]],"yyyy")</f>
        <v>2011</v>
      </c>
    </row>
    <row r="934" spans="1:10" x14ac:dyDescent="0.25">
      <c r="A934">
        <v>7</v>
      </c>
      <c r="B934" s="1">
        <v>40760</v>
      </c>
      <c r="C934">
        <v>0</v>
      </c>
      <c r="D934">
        <v>55.91</v>
      </c>
      <c r="E934">
        <v>3.5539999999999998</v>
      </c>
      <c r="F934">
        <v>193.91101330000001</v>
      </c>
      <c r="G934">
        <v>695392.84</v>
      </c>
      <c r="H934" t="str">
        <f>TEXT(Ventas[[#This Row],[Fecha_venta]],"dd")</f>
        <v>05</v>
      </c>
      <c r="I934" t="str">
        <f>TEXT(Ventas[[#This Row],[Fecha_venta]],"m")</f>
        <v>8</v>
      </c>
      <c r="J934" t="str">
        <f>TEXT(Ventas[[#This Row],[Fecha_venta]],"yyyy")</f>
        <v>2011</v>
      </c>
    </row>
    <row r="935" spans="1:10" x14ac:dyDescent="0.25">
      <c r="A935">
        <v>7</v>
      </c>
      <c r="B935" s="1">
        <v>40767</v>
      </c>
      <c r="C935">
        <v>0</v>
      </c>
      <c r="D935">
        <v>54.56</v>
      </c>
      <c r="E935">
        <v>3.5419999999999998</v>
      </c>
      <c r="F935">
        <v>194.11050169999999</v>
      </c>
      <c r="G935">
        <v>670670.46</v>
      </c>
      <c r="H935" t="str">
        <f>TEXT(Ventas[[#This Row],[Fecha_venta]],"dd")</f>
        <v>12</v>
      </c>
      <c r="I935" t="str">
        <f>TEXT(Ventas[[#This Row],[Fecha_venta]],"m")</f>
        <v>8</v>
      </c>
      <c r="J935" t="str">
        <f>TEXT(Ventas[[#This Row],[Fecha_venta]],"yyyy")</f>
        <v>2011</v>
      </c>
    </row>
    <row r="936" spans="1:10" x14ac:dyDescent="0.25">
      <c r="A936">
        <v>7</v>
      </c>
      <c r="B936" s="1">
        <v>40774</v>
      </c>
      <c r="C936">
        <v>0</v>
      </c>
      <c r="D936">
        <v>56.06</v>
      </c>
      <c r="E936">
        <v>3.4990000000000001</v>
      </c>
      <c r="F936">
        <v>194.25006339999999</v>
      </c>
      <c r="G936">
        <v>645156.21</v>
      </c>
      <c r="H936" t="str">
        <f>TEXT(Ventas[[#This Row],[Fecha_venta]],"dd")</f>
        <v>19</v>
      </c>
      <c r="I936" t="str">
        <f>TEXT(Ventas[[#This Row],[Fecha_venta]],"m")</f>
        <v>8</v>
      </c>
      <c r="J936" t="str">
        <f>TEXT(Ventas[[#This Row],[Fecha_venta]],"yyyy")</f>
        <v>2011</v>
      </c>
    </row>
    <row r="937" spans="1:10" x14ac:dyDescent="0.25">
      <c r="A937">
        <v>7</v>
      </c>
      <c r="B937" s="1">
        <v>40781</v>
      </c>
      <c r="C937">
        <v>0</v>
      </c>
      <c r="D937">
        <v>57.6</v>
      </c>
      <c r="E937">
        <v>3.4849999999999999</v>
      </c>
      <c r="F937">
        <v>194.37963740000001</v>
      </c>
      <c r="G937">
        <v>629994.47</v>
      </c>
      <c r="H937" t="str">
        <f>TEXT(Ventas[[#This Row],[Fecha_venta]],"dd")</f>
        <v>26</v>
      </c>
      <c r="I937" t="str">
        <f>TEXT(Ventas[[#This Row],[Fecha_venta]],"m")</f>
        <v>8</v>
      </c>
      <c r="J937" t="str">
        <f>TEXT(Ventas[[#This Row],[Fecha_venta]],"yyyy")</f>
        <v>2011</v>
      </c>
    </row>
    <row r="938" spans="1:10" x14ac:dyDescent="0.25">
      <c r="A938">
        <v>7</v>
      </c>
      <c r="B938" s="1">
        <v>40788</v>
      </c>
      <c r="C938">
        <v>0</v>
      </c>
      <c r="D938">
        <v>53.4</v>
      </c>
      <c r="E938">
        <v>3.5110000000000001</v>
      </c>
      <c r="F938">
        <v>194.5092113</v>
      </c>
      <c r="G938">
        <v>592355.24</v>
      </c>
      <c r="H938" t="str">
        <f>TEXT(Ventas[[#This Row],[Fecha_venta]],"dd")</f>
        <v>02</v>
      </c>
      <c r="I938" t="str">
        <f>TEXT(Ventas[[#This Row],[Fecha_venta]],"m")</f>
        <v>9</v>
      </c>
      <c r="J938" t="str">
        <f>TEXT(Ventas[[#This Row],[Fecha_venta]],"yyyy")</f>
        <v>2011</v>
      </c>
    </row>
    <row r="939" spans="1:10" x14ac:dyDescent="0.25">
      <c r="A939">
        <v>7</v>
      </c>
      <c r="B939" s="1">
        <v>40795</v>
      </c>
      <c r="C939">
        <v>1</v>
      </c>
      <c r="D939">
        <v>45.61</v>
      </c>
      <c r="E939">
        <v>3.5659999999999998</v>
      </c>
      <c r="F939">
        <v>194.6387853</v>
      </c>
      <c r="G939">
        <v>613135.23</v>
      </c>
      <c r="H939" t="str">
        <f>TEXT(Ventas[[#This Row],[Fecha_venta]],"dd")</f>
        <v>09</v>
      </c>
      <c r="I939" t="str">
        <f>TEXT(Ventas[[#This Row],[Fecha_venta]],"m")</f>
        <v>9</v>
      </c>
      <c r="J939" t="str">
        <f>TEXT(Ventas[[#This Row],[Fecha_venta]],"yyyy")</f>
        <v>2011</v>
      </c>
    </row>
    <row r="940" spans="1:10" x14ac:dyDescent="0.25">
      <c r="A940">
        <v>7</v>
      </c>
      <c r="B940" s="1">
        <v>40802</v>
      </c>
      <c r="C940">
        <v>0</v>
      </c>
      <c r="D940">
        <v>43.67</v>
      </c>
      <c r="E940">
        <v>3.5960000000000001</v>
      </c>
      <c r="F940">
        <v>194.7419707</v>
      </c>
      <c r="G940">
        <v>558981.44999999995</v>
      </c>
      <c r="H940" t="str">
        <f>TEXT(Ventas[[#This Row],[Fecha_venta]],"dd")</f>
        <v>16</v>
      </c>
      <c r="I940" t="str">
        <f>TEXT(Ventas[[#This Row],[Fecha_venta]],"m")</f>
        <v>9</v>
      </c>
      <c r="J940" t="str">
        <f>TEXT(Ventas[[#This Row],[Fecha_venta]],"yyyy")</f>
        <v>2011</v>
      </c>
    </row>
    <row r="941" spans="1:10" x14ac:dyDescent="0.25">
      <c r="A941">
        <v>7</v>
      </c>
      <c r="B941" s="1">
        <v>40809</v>
      </c>
      <c r="C941">
        <v>0</v>
      </c>
      <c r="D941">
        <v>43.67</v>
      </c>
      <c r="E941">
        <v>3.581</v>
      </c>
      <c r="F941">
        <v>194.8099713</v>
      </c>
      <c r="G941">
        <v>536144.81000000006</v>
      </c>
      <c r="H941" t="str">
        <f>TEXT(Ventas[[#This Row],[Fecha_venta]],"dd")</f>
        <v>23</v>
      </c>
      <c r="I941" t="str">
        <f>TEXT(Ventas[[#This Row],[Fecha_venta]],"m")</f>
        <v>9</v>
      </c>
      <c r="J941" t="str">
        <f>TEXT(Ventas[[#This Row],[Fecha_venta]],"yyyy")</f>
        <v>2011</v>
      </c>
    </row>
    <row r="942" spans="1:10" x14ac:dyDescent="0.25">
      <c r="A942">
        <v>7</v>
      </c>
      <c r="B942" s="1">
        <v>40816</v>
      </c>
      <c r="C942">
        <v>0</v>
      </c>
      <c r="D942">
        <v>47.34</v>
      </c>
      <c r="E942">
        <v>3.5379999999999998</v>
      </c>
      <c r="F942">
        <v>194.87797180000001</v>
      </c>
      <c r="G942">
        <v>488880.26</v>
      </c>
      <c r="H942" t="str">
        <f>TEXT(Ventas[[#This Row],[Fecha_venta]],"dd")</f>
        <v>30</v>
      </c>
      <c r="I942" t="str">
        <f>TEXT(Ventas[[#This Row],[Fecha_venta]],"m")</f>
        <v>9</v>
      </c>
      <c r="J942" t="str">
        <f>TEXT(Ventas[[#This Row],[Fecha_venta]],"yyyy")</f>
        <v>2011</v>
      </c>
    </row>
    <row r="943" spans="1:10" x14ac:dyDescent="0.25">
      <c r="A943">
        <v>7</v>
      </c>
      <c r="B943" s="1">
        <v>40823</v>
      </c>
      <c r="C943">
        <v>0</v>
      </c>
      <c r="D943">
        <v>40.65</v>
      </c>
      <c r="E943">
        <v>3.4980000000000002</v>
      </c>
      <c r="F943">
        <v>194.94597239999999</v>
      </c>
      <c r="G943">
        <v>525866.36</v>
      </c>
      <c r="H943" t="str">
        <f>TEXT(Ventas[[#This Row],[Fecha_venta]],"dd")</f>
        <v>07</v>
      </c>
      <c r="I943" t="str">
        <f>TEXT(Ventas[[#This Row],[Fecha_venta]],"m")</f>
        <v>10</v>
      </c>
      <c r="J943" t="str">
        <f>TEXT(Ventas[[#This Row],[Fecha_venta]],"yyyy")</f>
        <v>2011</v>
      </c>
    </row>
    <row r="944" spans="1:10" x14ac:dyDescent="0.25">
      <c r="A944">
        <v>7</v>
      </c>
      <c r="B944" s="1">
        <v>40830</v>
      </c>
      <c r="C944">
        <v>0</v>
      </c>
      <c r="D944">
        <v>32.65</v>
      </c>
      <c r="E944">
        <v>3.4910000000000001</v>
      </c>
      <c r="F944">
        <v>195.0261012</v>
      </c>
      <c r="G944">
        <v>501959.19</v>
      </c>
      <c r="H944" t="str">
        <f>TEXT(Ventas[[#This Row],[Fecha_venta]],"dd")</f>
        <v>14</v>
      </c>
      <c r="I944" t="str">
        <f>TEXT(Ventas[[#This Row],[Fecha_venta]],"m")</f>
        <v>10</v>
      </c>
      <c r="J944" t="str">
        <f>TEXT(Ventas[[#This Row],[Fecha_venta]],"yyyy")</f>
        <v>2011</v>
      </c>
    </row>
    <row r="945" spans="1:10" x14ac:dyDescent="0.25">
      <c r="A945">
        <v>7</v>
      </c>
      <c r="B945" s="1">
        <v>40837</v>
      </c>
      <c r="C945">
        <v>0</v>
      </c>
      <c r="D945">
        <v>37.49</v>
      </c>
      <c r="E945">
        <v>3.548</v>
      </c>
      <c r="F945">
        <v>195.17899940000001</v>
      </c>
      <c r="G945">
        <v>558691.43000000005</v>
      </c>
      <c r="H945" t="str">
        <f>TEXT(Ventas[[#This Row],[Fecha_venta]],"dd")</f>
        <v>21</v>
      </c>
      <c r="I945" t="str">
        <f>TEXT(Ventas[[#This Row],[Fecha_venta]],"m")</f>
        <v>10</v>
      </c>
      <c r="J945" t="str">
        <f>TEXT(Ventas[[#This Row],[Fecha_venta]],"yyyy")</f>
        <v>2011</v>
      </c>
    </row>
    <row r="946" spans="1:10" x14ac:dyDescent="0.25">
      <c r="A946">
        <v>7</v>
      </c>
      <c r="B946" s="1">
        <v>40844</v>
      </c>
      <c r="C946">
        <v>0</v>
      </c>
      <c r="D946">
        <v>28.82</v>
      </c>
      <c r="E946">
        <v>3.55</v>
      </c>
      <c r="F946">
        <v>195.33189770000001</v>
      </c>
      <c r="G946">
        <v>527339.52000000002</v>
      </c>
      <c r="H946" t="str">
        <f>TEXT(Ventas[[#This Row],[Fecha_venta]],"dd")</f>
        <v>28</v>
      </c>
      <c r="I946" t="str">
        <f>TEXT(Ventas[[#This Row],[Fecha_venta]],"m")</f>
        <v>10</v>
      </c>
      <c r="J946" t="str">
        <f>TEXT(Ventas[[#This Row],[Fecha_venta]],"yyyy")</f>
        <v>2011</v>
      </c>
    </row>
    <row r="947" spans="1:10" x14ac:dyDescent="0.25">
      <c r="A947">
        <v>7</v>
      </c>
      <c r="B947" s="1">
        <v>40851</v>
      </c>
      <c r="C947">
        <v>0</v>
      </c>
      <c r="D947">
        <v>23.41</v>
      </c>
      <c r="E947">
        <v>3.5270000000000001</v>
      </c>
      <c r="F947">
        <v>195.48479589999999</v>
      </c>
      <c r="G947">
        <v>564536.01</v>
      </c>
      <c r="H947" t="str">
        <f>TEXT(Ventas[[#This Row],[Fecha_venta]],"dd")</f>
        <v>04</v>
      </c>
      <c r="I947" t="str">
        <f>TEXT(Ventas[[#This Row],[Fecha_venta]],"m")</f>
        <v>11</v>
      </c>
      <c r="J947" t="str">
        <f>TEXT(Ventas[[#This Row],[Fecha_venta]],"yyyy")</f>
        <v>2011</v>
      </c>
    </row>
    <row r="948" spans="1:10" x14ac:dyDescent="0.25">
      <c r="A948">
        <v>7</v>
      </c>
      <c r="B948" s="1">
        <v>40858</v>
      </c>
      <c r="C948">
        <v>0</v>
      </c>
      <c r="D948">
        <v>19.53</v>
      </c>
      <c r="E948">
        <v>3.5049999999999999</v>
      </c>
      <c r="F948">
        <v>195.6376941</v>
      </c>
      <c r="G948">
        <v>556015.59</v>
      </c>
      <c r="H948" t="str">
        <f>TEXT(Ventas[[#This Row],[Fecha_venta]],"dd")</f>
        <v>11</v>
      </c>
      <c r="I948" t="str">
        <f>TEXT(Ventas[[#This Row],[Fecha_venta]],"m")</f>
        <v>11</v>
      </c>
      <c r="J948" t="str">
        <f>TEXT(Ventas[[#This Row],[Fecha_venta]],"yyyy")</f>
        <v>2011</v>
      </c>
    </row>
    <row r="949" spans="1:10" x14ac:dyDescent="0.25">
      <c r="A949">
        <v>7</v>
      </c>
      <c r="B949" s="1">
        <v>40865</v>
      </c>
      <c r="C949">
        <v>0</v>
      </c>
      <c r="D949">
        <v>29.53</v>
      </c>
      <c r="E949">
        <v>3.4790000000000001</v>
      </c>
      <c r="F949">
        <v>195.7184713</v>
      </c>
      <c r="G949">
        <v>539826.56000000006</v>
      </c>
      <c r="H949" t="str">
        <f>TEXT(Ventas[[#This Row],[Fecha_venta]],"dd")</f>
        <v>18</v>
      </c>
      <c r="I949" t="str">
        <f>TEXT(Ventas[[#This Row],[Fecha_venta]],"m")</f>
        <v>11</v>
      </c>
      <c r="J949" t="str">
        <f>TEXT(Ventas[[#This Row],[Fecha_venta]],"yyyy")</f>
        <v>2011</v>
      </c>
    </row>
    <row r="950" spans="1:10" x14ac:dyDescent="0.25">
      <c r="A950">
        <v>7</v>
      </c>
      <c r="B950" s="1">
        <v>40872</v>
      </c>
      <c r="C950">
        <v>1</v>
      </c>
      <c r="D950">
        <v>27.6</v>
      </c>
      <c r="E950">
        <v>3.4239999999999999</v>
      </c>
      <c r="F950">
        <v>195.7704</v>
      </c>
      <c r="G950">
        <v>949075.87</v>
      </c>
      <c r="H950" t="str">
        <f>TEXT(Ventas[[#This Row],[Fecha_venta]],"dd")</f>
        <v>25</v>
      </c>
      <c r="I950" t="str">
        <f>TEXT(Ventas[[#This Row],[Fecha_venta]],"m")</f>
        <v>11</v>
      </c>
      <c r="J950" t="str">
        <f>TEXT(Ventas[[#This Row],[Fecha_venta]],"yyyy")</f>
        <v>2011</v>
      </c>
    </row>
    <row r="951" spans="1:10" x14ac:dyDescent="0.25">
      <c r="A951">
        <v>7</v>
      </c>
      <c r="B951" s="1">
        <v>40879</v>
      </c>
      <c r="C951">
        <v>0</v>
      </c>
      <c r="D951">
        <v>20.38</v>
      </c>
      <c r="E951">
        <v>3.3780000000000001</v>
      </c>
      <c r="F951">
        <v>195.82232870000001</v>
      </c>
      <c r="G951">
        <v>591907.88</v>
      </c>
      <c r="H951" t="str">
        <f>TEXT(Ventas[[#This Row],[Fecha_venta]],"dd")</f>
        <v>02</v>
      </c>
      <c r="I951" t="str">
        <f>TEXT(Ventas[[#This Row],[Fecha_venta]],"m")</f>
        <v>12</v>
      </c>
      <c r="J951" t="str">
        <f>TEXT(Ventas[[#This Row],[Fecha_venta]],"yyyy")</f>
        <v>2011</v>
      </c>
    </row>
    <row r="952" spans="1:10" x14ac:dyDescent="0.25">
      <c r="A952">
        <v>7</v>
      </c>
      <c r="B952" s="1">
        <v>40886</v>
      </c>
      <c r="C952">
        <v>0</v>
      </c>
      <c r="D952">
        <v>11.17</v>
      </c>
      <c r="E952">
        <v>3.331</v>
      </c>
      <c r="F952">
        <v>195.8742575</v>
      </c>
      <c r="G952">
        <v>653845.44999999995</v>
      </c>
      <c r="H952" t="str">
        <f>TEXT(Ventas[[#This Row],[Fecha_venta]],"dd")</f>
        <v>09</v>
      </c>
      <c r="I952" t="str">
        <f>TEXT(Ventas[[#This Row],[Fecha_venta]],"m")</f>
        <v>12</v>
      </c>
      <c r="J952" t="str">
        <f>TEXT(Ventas[[#This Row],[Fecha_venta]],"yyyy")</f>
        <v>2011</v>
      </c>
    </row>
    <row r="953" spans="1:10" x14ac:dyDescent="0.25">
      <c r="A953">
        <v>7</v>
      </c>
      <c r="B953" s="1">
        <v>40893</v>
      </c>
      <c r="C953">
        <v>0</v>
      </c>
      <c r="D953">
        <v>15.2</v>
      </c>
      <c r="E953">
        <v>3.266</v>
      </c>
      <c r="F953">
        <v>195.98416850000001</v>
      </c>
      <c r="G953">
        <v>720242.19</v>
      </c>
      <c r="H953" t="str">
        <f>TEXT(Ventas[[#This Row],[Fecha_venta]],"dd")</f>
        <v>16</v>
      </c>
      <c r="I953" t="str">
        <f>TEXT(Ventas[[#This Row],[Fecha_venta]],"m")</f>
        <v>12</v>
      </c>
      <c r="J953" t="str">
        <f>TEXT(Ventas[[#This Row],[Fecha_venta]],"yyyy")</f>
        <v>2011</v>
      </c>
    </row>
    <row r="954" spans="1:10" x14ac:dyDescent="0.25">
      <c r="A954">
        <v>7</v>
      </c>
      <c r="B954" s="1">
        <v>40900</v>
      </c>
      <c r="C954">
        <v>0</v>
      </c>
      <c r="D954">
        <v>12.19</v>
      </c>
      <c r="E954">
        <v>3.173</v>
      </c>
      <c r="F954">
        <v>196.17138929999999</v>
      </c>
      <c r="G954">
        <v>1059715.27</v>
      </c>
      <c r="H954" t="str">
        <f>TEXT(Ventas[[#This Row],[Fecha_venta]],"dd")</f>
        <v>23</v>
      </c>
      <c r="I954" t="str">
        <f>TEXT(Ventas[[#This Row],[Fecha_venta]],"m")</f>
        <v>12</v>
      </c>
      <c r="J954" t="str">
        <f>TEXT(Ventas[[#This Row],[Fecha_venta]],"yyyy")</f>
        <v>2011</v>
      </c>
    </row>
    <row r="955" spans="1:10" x14ac:dyDescent="0.25">
      <c r="A955">
        <v>7</v>
      </c>
      <c r="B955" s="1">
        <v>40907</v>
      </c>
      <c r="C955">
        <v>1</v>
      </c>
      <c r="D955">
        <v>15.56</v>
      </c>
      <c r="E955">
        <v>3.1190000000000002</v>
      </c>
      <c r="F955">
        <v>196.35861009999999</v>
      </c>
      <c r="G955">
        <v>815915.52000000002</v>
      </c>
      <c r="H955" t="str">
        <f>TEXT(Ventas[[#This Row],[Fecha_venta]],"dd")</f>
        <v>30</v>
      </c>
      <c r="I955" t="str">
        <f>TEXT(Ventas[[#This Row],[Fecha_venta]],"m")</f>
        <v>12</v>
      </c>
      <c r="J955" t="str">
        <f>TEXT(Ventas[[#This Row],[Fecha_venta]],"yyyy")</f>
        <v>2011</v>
      </c>
    </row>
    <row r="956" spans="1:10" x14ac:dyDescent="0.25">
      <c r="A956">
        <v>7</v>
      </c>
      <c r="B956" s="1">
        <v>40914</v>
      </c>
      <c r="C956">
        <v>0</v>
      </c>
      <c r="D956">
        <v>18.670000000000002</v>
      </c>
      <c r="E956">
        <v>3.0950000000000002</v>
      </c>
      <c r="F956">
        <v>196.5458309</v>
      </c>
      <c r="G956">
        <v>713117.66</v>
      </c>
      <c r="H956" t="str">
        <f>TEXT(Ventas[[#This Row],[Fecha_venta]],"dd")</f>
        <v>06</v>
      </c>
      <c r="I956" t="str">
        <f>TEXT(Ventas[[#This Row],[Fecha_venta]],"m")</f>
        <v>1</v>
      </c>
      <c r="J956" t="str">
        <f>TEXT(Ventas[[#This Row],[Fecha_venta]],"yyyy")</f>
        <v>2012</v>
      </c>
    </row>
    <row r="957" spans="1:10" x14ac:dyDescent="0.25">
      <c r="A957">
        <v>7</v>
      </c>
      <c r="B957" s="1">
        <v>40921</v>
      </c>
      <c r="C957">
        <v>0</v>
      </c>
      <c r="D957">
        <v>7.46</v>
      </c>
      <c r="E957">
        <v>3.077</v>
      </c>
      <c r="F957">
        <v>196.7330517</v>
      </c>
      <c r="G957">
        <v>593875.46</v>
      </c>
      <c r="H957" t="str">
        <f>TEXT(Ventas[[#This Row],[Fecha_venta]],"dd")</f>
        <v>13</v>
      </c>
      <c r="I957" t="str">
        <f>TEXT(Ventas[[#This Row],[Fecha_venta]],"m")</f>
        <v>1</v>
      </c>
      <c r="J957" t="str">
        <f>TEXT(Ventas[[#This Row],[Fecha_venta]],"yyyy")</f>
        <v>2012</v>
      </c>
    </row>
    <row r="958" spans="1:10" x14ac:dyDescent="0.25">
      <c r="A958">
        <v>7</v>
      </c>
      <c r="B958" s="1">
        <v>40928</v>
      </c>
      <c r="C958">
        <v>0</v>
      </c>
      <c r="D958">
        <v>27.41</v>
      </c>
      <c r="E958">
        <v>3.0550000000000002</v>
      </c>
      <c r="F958">
        <v>196.77966520000001</v>
      </c>
      <c r="G958">
        <v>578002.85</v>
      </c>
      <c r="H958" t="str">
        <f>TEXT(Ventas[[#This Row],[Fecha_venta]],"dd")</f>
        <v>20</v>
      </c>
      <c r="I958" t="str">
        <f>TEXT(Ventas[[#This Row],[Fecha_venta]],"m")</f>
        <v>1</v>
      </c>
      <c r="J958" t="str">
        <f>TEXT(Ventas[[#This Row],[Fecha_venta]],"yyyy")</f>
        <v>2012</v>
      </c>
    </row>
    <row r="959" spans="1:10" x14ac:dyDescent="0.25">
      <c r="A959">
        <v>7</v>
      </c>
      <c r="B959" s="1">
        <v>40935</v>
      </c>
      <c r="C959">
        <v>0</v>
      </c>
      <c r="D959">
        <v>26.9</v>
      </c>
      <c r="E959">
        <v>3.0379999999999998</v>
      </c>
      <c r="F959">
        <v>196.82627859999999</v>
      </c>
      <c r="G959">
        <v>541037.98</v>
      </c>
      <c r="H959" t="str">
        <f>TEXT(Ventas[[#This Row],[Fecha_venta]],"dd")</f>
        <v>27</v>
      </c>
      <c r="I959" t="str">
        <f>TEXT(Ventas[[#This Row],[Fecha_venta]],"m")</f>
        <v>1</v>
      </c>
      <c r="J959" t="str">
        <f>TEXT(Ventas[[#This Row],[Fecha_venta]],"yyyy")</f>
        <v>2012</v>
      </c>
    </row>
    <row r="960" spans="1:10" x14ac:dyDescent="0.25">
      <c r="A960">
        <v>7</v>
      </c>
      <c r="B960" s="1">
        <v>40942</v>
      </c>
      <c r="C960">
        <v>0</v>
      </c>
      <c r="D960">
        <v>22.2</v>
      </c>
      <c r="E960">
        <v>3.0310000000000001</v>
      </c>
      <c r="F960">
        <v>196.8728921</v>
      </c>
      <c r="G960">
        <v>580453.31999999995</v>
      </c>
      <c r="H960" t="str">
        <f>TEXT(Ventas[[#This Row],[Fecha_venta]],"dd")</f>
        <v>03</v>
      </c>
      <c r="I960" t="str">
        <f>TEXT(Ventas[[#This Row],[Fecha_venta]],"m")</f>
        <v>2</v>
      </c>
      <c r="J960" t="str">
        <f>TEXT(Ventas[[#This Row],[Fecha_venta]],"yyyy")</f>
        <v>2012</v>
      </c>
    </row>
    <row r="961" spans="1:10" x14ac:dyDescent="0.25">
      <c r="A961">
        <v>7</v>
      </c>
      <c r="B961" s="1">
        <v>40949</v>
      </c>
      <c r="C961">
        <v>1</v>
      </c>
      <c r="D961">
        <v>18.79</v>
      </c>
      <c r="E961">
        <v>3.1030000000000002</v>
      </c>
      <c r="F961">
        <v>196.91950560000001</v>
      </c>
      <c r="G961">
        <v>563460.77</v>
      </c>
      <c r="H961" t="str">
        <f>TEXT(Ventas[[#This Row],[Fecha_venta]],"dd")</f>
        <v>10</v>
      </c>
      <c r="I961" t="str">
        <f>TEXT(Ventas[[#This Row],[Fecha_venta]],"m")</f>
        <v>2</v>
      </c>
      <c r="J961" t="str">
        <f>TEXT(Ventas[[#This Row],[Fecha_venta]],"yyyy")</f>
        <v>2012</v>
      </c>
    </row>
    <row r="962" spans="1:10" x14ac:dyDescent="0.25">
      <c r="A962">
        <v>7</v>
      </c>
      <c r="B962" s="1">
        <v>40956</v>
      </c>
      <c r="C962">
        <v>0</v>
      </c>
      <c r="D962">
        <v>27.03</v>
      </c>
      <c r="E962">
        <v>3.113</v>
      </c>
      <c r="F962">
        <v>196.9432711</v>
      </c>
      <c r="G962">
        <v>620908.18000000005</v>
      </c>
      <c r="H962" t="str">
        <f>TEXT(Ventas[[#This Row],[Fecha_venta]],"dd")</f>
        <v>17</v>
      </c>
      <c r="I962" t="str">
        <f>TEXT(Ventas[[#This Row],[Fecha_venta]],"m")</f>
        <v>2</v>
      </c>
      <c r="J962" t="str">
        <f>TEXT(Ventas[[#This Row],[Fecha_venta]],"yyyy")</f>
        <v>2012</v>
      </c>
    </row>
    <row r="963" spans="1:10" x14ac:dyDescent="0.25">
      <c r="A963">
        <v>7</v>
      </c>
      <c r="B963" s="1">
        <v>40963</v>
      </c>
      <c r="C963">
        <v>0</v>
      </c>
      <c r="D963">
        <v>24.41</v>
      </c>
      <c r="E963">
        <v>3.129</v>
      </c>
      <c r="F963">
        <v>196.9499007</v>
      </c>
      <c r="G963">
        <v>603041.14</v>
      </c>
      <c r="H963" t="str">
        <f>TEXT(Ventas[[#This Row],[Fecha_venta]],"dd")</f>
        <v>24</v>
      </c>
      <c r="I963" t="str">
        <f>TEXT(Ventas[[#This Row],[Fecha_venta]],"m")</f>
        <v>2</v>
      </c>
      <c r="J963" t="str">
        <f>TEXT(Ventas[[#This Row],[Fecha_venta]],"yyyy")</f>
        <v>2012</v>
      </c>
    </row>
    <row r="964" spans="1:10" x14ac:dyDescent="0.25">
      <c r="A964">
        <v>7</v>
      </c>
      <c r="B964" s="1">
        <v>40970</v>
      </c>
      <c r="C964">
        <v>0</v>
      </c>
      <c r="D964">
        <v>21.64</v>
      </c>
      <c r="E964">
        <v>3.1909999999999998</v>
      </c>
      <c r="F964">
        <v>196.9565303</v>
      </c>
      <c r="G964">
        <v>551058.13</v>
      </c>
      <c r="H964" t="str">
        <f>TEXT(Ventas[[#This Row],[Fecha_venta]],"dd")</f>
        <v>02</v>
      </c>
      <c r="I964" t="str">
        <f>TEXT(Ventas[[#This Row],[Fecha_venta]],"m")</f>
        <v>3</v>
      </c>
      <c r="J964" t="str">
        <f>TEXT(Ventas[[#This Row],[Fecha_venta]],"yyyy")</f>
        <v>2012</v>
      </c>
    </row>
    <row r="965" spans="1:10" x14ac:dyDescent="0.25">
      <c r="A965">
        <v>7</v>
      </c>
      <c r="B965" s="1">
        <v>40977</v>
      </c>
      <c r="C965">
        <v>0</v>
      </c>
      <c r="D965">
        <v>30.1</v>
      </c>
      <c r="E965">
        <v>3.286</v>
      </c>
      <c r="F965">
        <v>196.96315989999999</v>
      </c>
      <c r="G965">
        <v>579166.5</v>
      </c>
      <c r="H965" t="str">
        <f>TEXT(Ventas[[#This Row],[Fecha_venta]],"dd")</f>
        <v>09</v>
      </c>
      <c r="I965" t="str">
        <f>TEXT(Ventas[[#This Row],[Fecha_venta]],"m")</f>
        <v>3</v>
      </c>
      <c r="J965" t="str">
        <f>TEXT(Ventas[[#This Row],[Fecha_venta]],"yyyy")</f>
        <v>2012</v>
      </c>
    </row>
    <row r="966" spans="1:10" x14ac:dyDescent="0.25">
      <c r="A966">
        <v>7</v>
      </c>
      <c r="B966" s="1">
        <v>40984</v>
      </c>
      <c r="C966">
        <v>0</v>
      </c>
      <c r="D966">
        <v>37.29</v>
      </c>
      <c r="E966">
        <v>3.4860000000000002</v>
      </c>
      <c r="F966">
        <v>197.0457208</v>
      </c>
      <c r="G966">
        <v>669205.73</v>
      </c>
      <c r="H966" t="str">
        <f>TEXT(Ventas[[#This Row],[Fecha_venta]],"dd")</f>
        <v>16</v>
      </c>
      <c r="I966" t="str">
        <f>TEXT(Ventas[[#This Row],[Fecha_venta]],"m")</f>
        <v>3</v>
      </c>
      <c r="J966" t="str">
        <f>TEXT(Ventas[[#This Row],[Fecha_venta]],"yyyy")</f>
        <v>2012</v>
      </c>
    </row>
    <row r="967" spans="1:10" x14ac:dyDescent="0.25">
      <c r="A967">
        <v>7</v>
      </c>
      <c r="B967" s="1">
        <v>40991</v>
      </c>
      <c r="C967">
        <v>0</v>
      </c>
      <c r="D967">
        <v>35.06</v>
      </c>
      <c r="E967">
        <v>3.6640000000000001</v>
      </c>
      <c r="F967">
        <v>197.22952340000001</v>
      </c>
      <c r="G967">
        <v>615997.29</v>
      </c>
      <c r="H967" t="str">
        <f>TEXT(Ventas[[#This Row],[Fecha_venta]],"dd")</f>
        <v>23</v>
      </c>
      <c r="I967" t="str">
        <f>TEXT(Ventas[[#This Row],[Fecha_venta]],"m")</f>
        <v>3</v>
      </c>
      <c r="J967" t="str">
        <f>TEXT(Ventas[[#This Row],[Fecha_venta]],"yyyy")</f>
        <v>2012</v>
      </c>
    </row>
    <row r="968" spans="1:10" x14ac:dyDescent="0.25">
      <c r="A968">
        <v>7</v>
      </c>
      <c r="B968" s="1">
        <v>40998</v>
      </c>
      <c r="C968">
        <v>0</v>
      </c>
      <c r="D968">
        <v>44.99</v>
      </c>
      <c r="E968">
        <v>3.75</v>
      </c>
      <c r="F968">
        <v>197.41332589999999</v>
      </c>
      <c r="G968">
        <v>583322.19999999995</v>
      </c>
      <c r="H968" t="str">
        <f>TEXT(Ventas[[#This Row],[Fecha_venta]],"dd")</f>
        <v>30</v>
      </c>
      <c r="I968" t="str">
        <f>TEXT(Ventas[[#This Row],[Fecha_venta]],"m")</f>
        <v>3</v>
      </c>
      <c r="J968" t="str">
        <f>TEXT(Ventas[[#This Row],[Fecha_venta]],"yyyy")</f>
        <v>2012</v>
      </c>
    </row>
    <row r="969" spans="1:10" x14ac:dyDescent="0.25">
      <c r="A969">
        <v>7</v>
      </c>
      <c r="B969" s="1">
        <v>41005</v>
      </c>
      <c r="C969">
        <v>0</v>
      </c>
      <c r="D969">
        <v>44.29</v>
      </c>
      <c r="E969">
        <v>3.8540000000000001</v>
      </c>
      <c r="F969">
        <v>197.5971285</v>
      </c>
      <c r="G969">
        <v>621425.98</v>
      </c>
      <c r="H969" t="str">
        <f>TEXT(Ventas[[#This Row],[Fecha_venta]],"dd")</f>
        <v>06</v>
      </c>
      <c r="I969" t="str">
        <f>TEXT(Ventas[[#This Row],[Fecha_venta]],"m")</f>
        <v>4</v>
      </c>
      <c r="J969" t="str">
        <f>TEXT(Ventas[[#This Row],[Fecha_venta]],"yyyy")</f>
        <v>2012</v>
      </c>
    </row>
    <row r="970" spans="1:10" x14ac:dyDescent="0.25">
      <c r="A970">
        <v>7</v>
      </c>
      <c r="B970" s="1">
        <v>41012</v>
      </c>
      <c r="C970">
        <v>0</v>
      </c>
      <c r="D970">
        <v>41.43</v>
      </c>
      <c r="E970">
        <v>3.9009999999999998</v>
      </c>
      <c r="F970">
        <v>197.78093100000001</v>
      </c>
      <c r="G970">
        <v>517420.23</v>
      </c>
      <c r="H970" t="str">
        <f>TEXT(Ventas[[#This Row],[Fecha_venta]],"dd")</f>
        <v>13</v>
      </c>
      <c r="I970" t="str">
        <f>TEXT(Ventas[[#This Row],[Fecha_venta]],"m")</f>
        <v>4</v>
      </c>
      <c r="J970" t="str">
        <f>TEXT(Ventas[[#This Row],[Fecha_venta]],"yyyy")</f>
        <v>2012</v>
      </c>
    </row>
    <row r="971" spans="1:10" x14ac:dyDescent="0.25">
      <c r="A971">
        <v>7</v>
      </c>
      <c r="B971" s="1">
        <v>41019</v>
      </c>
      <c r="C971">
        <v>0</v>
      </c>
      <c r="D971">
        <v>39.299999999999997</v>
      </c>
      <c r="E971">
        <v>3.9359999999999999</v>
      </c>
      <c r="F971">
        <v>197.72273849999999</v>
      </c>
      <c r="G971">
        <v>457340.06</v>
      </c>
      <c r="H971" t="str">
        <f>TEXT(Ventas[[#This Row],[Fecha_venta]],"dd")</f>
        <v>20</v>
      </c>
      <c r="I971" t="str">
        <f>TEXT(Ventas[[#This Row],[Fecha_venta]],"m")</f>
        <v>4</v>
      </c>
      <c r="J971" t="str">
        <f>TEXT(Ventas[[#This Row],[Fecha_venta]],"yyyy")</f>
        <v>2012</v>
      </c>
    </row>
    <row r="972" spans="1:10" x14ac:dyDescent="0.25">
      <c r="A972">
        <v>7</v>
      </c>
      <c r="B972" s="1">
        <v>41026</v>
      </c>
      <c r="C972">
        <v>0</v>
      </c>
      <c r="D972">
        <v>51.49</v>
      </c>
      <c r="E972">
        <v>3.927</v>
      </c>
      <c r="F972">
        <v>197.664546</v>
      </c>
      <c r="G972">
        <v>467827.75</v>
      </c>
      <c r="H972" t="str">
        <f>TEXT(Ventas[[#This Row],[Fecha_venta]],"dd")</f>
        <v>27</v>
      </c>
      <c r="I972" t="str">
        <f>TEXT(Ventas[[#This Row],[Fecha_venta]],"m")</f>
        <v>4</v>
      </c>
      <c r="J972" t="str">
        <f>TEXT(Ventas[[#This Row],[Fecha_venta]],"yyyy")</f>
        <v>2012</v>
      </c>
    </row>
    <row r="973" spans="1:10" x14ac:dyDescent="0.25">
      <c r="A973">
        <v>7</v>
      </c>
      <c r="B973" s="1">
        <v>41033</v>
      </c>
      <c r="C973">
        <v>0</v>
      </c>
      <c r="D973">
        <v>45.38</v>
      </c>
      <c r="E973">
        <v>3.903</v>
      </c>
      <c r="F973">
        <v>197.60635339999999</v>
      </c>
      <c r="G973">
        <v>465198.89</v>
      </c>
      <c r="H973" t="str">
        <f>TEXT(Ventas[[#This Row],[Fecha_venta]],"dd")</f>
        <v>04</v>
      </c>
      <c r="I973" t="str">
        <f>TEXT(Ventas[[#This Row],[Fecha_venta]],"m")</f>
        <v>5</v>
      </c>
      <c r="J973" t="str">
        <f>TEXT(Ventas[[#This Row],[Fecha_venta]],"yyyy")</f>
        <v>2012</v>
      </c>
    </row>
    <row r="974" spans="1:10" x14ac:dyDescent="0.25">
      <c r="A974">
        <v>7</v>
      </c>
      <c r="B974" s="1">
        <v>41040</v>
      </c>
      <c r="C974">
        <v>0</v>
      </c>
      <c r="D974">
        <v>48.54</v>
      </c>
      <c r="E974">
        <v>3.87</v>
      </c>
      <c r="F974">
        <v>197.5481609</v>
      </c>
      <c r="G974">
        <v>460397.41</v>
      </c>
      <c r="H974" t="str">
        <f>TEXT(Ventas[[#This Row],[Fecha_venta]],"dd")</f>
        <v>11</v>
      </c>
      <c r="I974" t="str">
        <f>TEXT(Ventas[[#This Row],[Fecha_venta]],"m")</f>
        <v>5</v>
      </c>
      <c r="J974" t="str">
        <f>TEXT(Ventas[[#This Row],[Fecha_venta]],"yyyy")</f>
        <v>2012</v>
      </c>
    </row>
    <row r="975" spans="1:10" x14ac:dyDescent="0.25">
      <c r="A975">
        <v>7</v>
      </c>
      <c r="B975" s="1">
        <v>41047</v>
      </c>
      <c r="C975">
        <v>0</v>
      </c>
      <c r="D975">
        <v>49.41</v>
      </c>
      <c r="E975">
        <v>3.8370000000000002</v>
      </c>
      <c r="F975">
        <v>197.5553137</v>
      </c>
      <c r="G975">
        <v>468428.3</v>
      </c>
      <c r="H975" t="str">
        <f>TEXT(Ventas[[#This Row],[Fecha_venta]],"dd")</f>
        <v>18</v>
      </c>
      <c r="I975" t="str">
        <f>TEXT(Ventas[[#This Row],[Fecha_venta]],"m")</f>
        <v>5</v>
      </c>
      <c r="J975" t="str">
        <f>TEXT(Ventas[[#This Row],[Fecha_venta]],"yyyy")</f>
        <v>2012</v>
      </c>
    </row>
    <row r="976" spans="1:10" x14ac:dyDescent="0.25">
      <c r="A976">
        <v>7</v>
      </c>
      <c r="B976" s="1">
        <v>41054</v>
      </c>
      <c r="C976">
        <v>0</v>
      </c>
      <c r="D976">
        <v>50.6</v>
      </c>
      <c r="E976">
        <v>3.8039999999999998</v>
      </c>
      <c r="F976">
        <v>197.5886046</v>
      </c>
      <c r="G976">
        <v>532739.77</v>
      </c>
      <c r="H976" t="str">
        <f>TEXT(Ventas[[#This Row],[Fecha_venta]],"dd")</f>
        <v>25</v>
      </c>
      <c r="I976" t="str">
        <f>TEXT(Ventas[[#This Row],[Fecha_venta]],"m")</f>
        <v>5</v>
      </c>
      <c r="J976" t="str">
        <f>TEXT(Ventas[[#This Row],[Fecha_venta]],"yyyy")</f>
        <v>2012</v>
      </c>
    </row>
    <row r="977" spans="1:10" x14ac:dyDescent="0.25">
      <c r="A977">
        <v>7</v>
      </c>
      <c r="B977" s="1">
        <v>41061</v>
      </c>
      <c r="C977">
        <v>0</v>
      </c>
      <c r="D977">
        <v>55.06</v>
      </c>
      <c r="E977">
        <v>3.7639999999999998</v>
      </c>
      <c r="F977">
        <v>197.6218954</v>
      </c>
      <c r="G977">
        <v>598495.02</v>
      </c>
      <c r="H977" t="str">
        <f>TEXT(Ventas[[#This Row],[Fecha_venta]],"dd")</f>
        <v>01</v>
      </c>
      <c r="I977" t="str">
        <f>TEXT(Ventas[[#This Row],[Fecha_venta]],"m")</f>
        <v>6</v>
      </c>
      <c r="J977" t="str">
        <f>TEXT(Ventas[[#This Row],[Fecha_venta]],"yyyy")</f>
        <v>2012</v>
      </c>
    </row>
    <row r="978" spans="1:10" x14ac:dyDescent="0.25">
      <c r="A978">
        <v>7</v>
      </c>
      <c r="B978" s="1">
        <v>41068</v>
      </c>
      <c r="C978">
        <v>0</v>
      </c>
      <c r="D978">
        <v>0</v>
      </c>
      <c r="E978">
        <v>3.7410000000000001</v>
      </c>
      <c r="F978">
        <v>197.6551863</v>
      </c>
      <c r="G978">
        <v>642963.75</v>
      </c>
      <c r="H978" t="str">
        <f>TEXT(Ventas[[#This Row],[Fecha_venta]],"dd")</f>
        <v>08</v>
      </c>
      <c r="I978" t="str">
        <f>TEXT(Ventas[[#This Row],[Fecha_venta]],"m")</f>
        <v>6</v>
      </c>
      <c r="J978" t="str">
        <f>TEXT(Ventas[[#This Row],[Fecha_venta]],"yyyy")</f>
        <v>2012</v>
      </c>
    </row>
    <row r="979" spans="1:10" x14ac:dyDescent="0.25">
      <c r="A979">
        <v>7</v>
      </c>
      <c r="B979" s="1">
        <v>41075</v>
      </c>
      <c r="C979">
        <v>0</v>
      </c>
      <c r="D979">
        <v>59.33</v>
      </c>
      <c r="E979">
        <v>3.7229999999999999</v>
      </c>
      <c r="F979">
        <v>197.69229200000001</v>
      </c>
      <c r="G979">
        <v>666942.02</v>
      </c>
      <c r="H979" t="str">
        <f>TEXT(Ventas[[#This Row],[Fecha_venta]],"dd")</f>
        <v>15</v>
      </c>
      <c r="I979" t="str">
        <f>TEXT(Ventas[[#This Row],[Fecha_venta]],"m")</f>
        <v>6</v>
      </c>
      <c r="J979" t="str">
        <f>TEXT(Ventas[[#This Row],[Fecha_venta]],"yyyy")</f>
        <v>2012</v>
      </c>
    </row>
    <row r="980" spans="1:10" x14ac:dyDescent="0.25">
      <c r="A980">
        <v>7</v>
      </c>
      <c r="B980" s="1">
        <v>41082</v>
      </c>
      <c r="C980">
        <v>0</v>
      </c>
      <c r="D980">
        <v>63.69</v>
      </c>
      <c r="E980">
        <v>3.7349999999999999</v>
      </c>
      <c r="F980">
        <v>197.7389345</v>
      </c>
      <c r="G980">
        <v>687344.68</v>
      </c>
      <c r="H980" t="str">
        <f>TEXT(Ventas[[#This Row],[Fecha_venta]],"dd")</f>
        <v>22</v>
      </c>
      <c r="I980" t="str">
        <f>TEXT(Ventas[[#This Row],[Fecha_venta]],"m")</f>
        <v>6</v>
      </c>
      <c r="J980" t="str">
        <f>TEXT(Ventas[[#This Row],[Fecha_venta]],"yyyy")</f>
        <v>2012</v>
      </c>
    </row>
    <row r="981" spans="1:10" x14ac:dyDescent="0.25">
      <c r="A981">
        <v>7</v>
      </c>
      <c r="B981" s="1">
        <v>41089</v>
      </c>
      <c r="C981">
        <v>0</v>
      </c>
      <c r="D981">
        <v>68.84</v>
      </c>
      <c r="E981">
        <v>3.6930000000000001</v>
      </c>
      <c r="F981">
        <v>197.78557699999999</v>
      </c>
      <c r="G981">
        <v>704335.41</v>
      </c>
      <c r="H981" t="str">
        <f>TEXT(Ventas[[#This Row],[Fecha_venta]],"dd")</f>
        <v>29</v>
      </c>
      <c r="I981" t="str">
        <f>TEXT(Ventas[[#This Row],[Fecha_venta]],"m")</f>
        <v>6</v>
      </c>
      <c r="J981" t="str">
        <f>TEXT(Ventas[[#This Row],[Fecha_venta]],"yyyy")</f>
        <v>2012</v>
      </c>
    </row>
    <row r="982" spans="1:10" x14ac:dyDescent="0.25">
      <c r="A982">
        <v>7</v>
      </c>
      <c r="B982" s="1">
        <v>41096</v>
      </c>
      <c r="C982">
        <v>0</v>
      </c>
      <c r="D982">
        <v>64.67</v>
      </c>
      <c r="E982">
        <v>3.6459999999999999</v>
      </c>
      <c r="F982">
        <v>197.83221950000001</v>
      </c>
      <c r="G982">
        <v>805642.61</v>
      </c>
      <c r="H982" t="str">
        <f>TEXT(Ventas[[#This Row],[Fecha_venta]],"dd")</f>
        <v>06</v>
      </c>
      <c r="I982" t="str">
        <f>TEXT(Ventas[[#This Row],[Fecha_venta]],"m")</f>
        <v>7</v>
      </c>
      <c r="J982" t="str">
        <f>TEXT(Ventas[[#This Row],[Fecha_venta]],"yyyy")</f>
        <v>2012</v>
      </c>
    </row>
    <row r="983" spans="1:10" x14ac:dyDescent="0.25">
      <c r="A983">
        <v>7</v>
      </c>
      <c r="B983" s="1">
        <v>41103</v>
      </c>
      <c r="C983">
        <v>0</v>
      </c>
      <c r="D983">
        <v>64.209999999999994</v>
      </c>
      <c r="E983">
        <v>3.613</v>
      </c>
      <c r="F983">
        <v>197.87886209999999</v>
      </c>
      <c r="G983">
        <v>694150.89</v>
      </c>
      <c r="H983" t="str">
        <f>TEXT(Ventas[[#This Row],[Fecha_venta]],"dd")</f>
        <v>13</v>
      </c>
      <c r="I983" t="str">
        <f>TEXT(Ventas[[#This Row],[Fecha_venta]],"m")</f>
        <v>7</v>
      </c>
      <c r="J983" t="str">
        <f>TEXT(Ventas[[#This Row],[Fecha_venta]],"yyyy")</f>
        <v>2012</v>
      </c>
    </row>
    <row r="984" spans="1:10" x14ac:dyDescent="0.25">
      <c r="A984">
        <v>7</v>
      </c>
      <c r="B984" s="1">
        <v>41110</v>
      </c>
      <c r="C984">
        <v>0</v>
      </c>
      <c r="D984">
        <v>62.87</v>
      </c>
      <c r="E984">
        <v>3.585</v>
      </c>
      <c r="F984">
        <v>197.9290378</v>
      </c>
      <c r="G984">
        <v>686345.69</v>
      </c>
      <c r="H984" t="str">
        <f>TEXT(Ventas[[#This Row],[Fecha_venta]],"dd")</f>
        <v>20</v>
      </c>
      <c r="I984" t="str">
        <f>TEXT(Ventas[[#This Row],[Fecha_venta]],"m")</f>
        <v>7</v>
      </c>
      <c r="J984" t="str">
        <f>TEXT(Ventas[[#This Row],[Fecha_venta]],"yyyy")</f>
        <v>2012</v>
      </c>
    </row>
    <row r="985" spans="1:10" x14ac:dyDescent="0.25">
      <c r="A985">
        <v>7</v>
      </c>
      <c r="B985" s="1">
        <v>41117</v>
      </c>
      <c r="C985">
        <v>0</v>
      </c>
      <c r="D985">
        <v>64.599999999999994</v>
      </c>
      <c r="E985">
        <v>3.57</v>
      </c>
      <c r="F985">
        <v>197.97921360000001</v>
      </c>
      <c r="G985">
        <v>686365.4</v>
      </c>
      <c r="H985" t="str">
        <f>TEXT(Ventas[[#This Row],[Fecha_venta]],"dd")</f>
        <v>27</v>
      </c>
      <c r="I985" t="str">
        <f>TEXT(Ventas[[#This Row],[Fecha_venta]],"m")</f>
        <v>7</v>
      </c>
      <c r="J985" t="str">
        <f>TEXT(Ventas[[#This Row],[Fecha_venta]],"yyyy")</f>
        <v>2012</v>
      </c>
    </row>
    <row r="986" spans="1:10" x14ac:dyDescent="0.25">
      <c r="A986">
        <v>7</v>
      </c>
      <c r="B986" s="1">
        <v>41124</v>
      </c>
      <c r="C986">
        <v>0</v>
      </c>
      <c r="D986">
        <v>61.83</v>
      </c>
      <c r="E986">
        <v>3.528</v>
      </c>
      <c r="F986">
        <v>198.02938929999999</v>
      </c>
      <c r="G986">
        <v>680954.81</v>
      </c>
      <c r="H986" t="str">
        <f>TEXT(Ventas[[#This Row],[Fecha_venta]],"dd")</f>
        <v>03</v>
      </c>
      <c r="I986" t="str">
        <f>TEXT(Ventas[[#This Row],[Fecha_venta]],"m")</f>
        <v>8</v>
      </c>
      <c r="J986" t="str">
        <f>TEXT(Ventas[[#This Row],[Fecha_venta]],"yyyy")</f>
        <v>2012</v>
      </c>
    </row>
    <row r="987" spans="1:10" x14ac:dyDescent="0.25">
      <c r="A987">
        <v>7</v>
      </c>
      <c r="B987" s="1">
        <v>41131</v>
      </c>
      <c r="C987">
        <v>0</v>
      </c>
      <c r="D987">
        <v>63.41</v>
      </c>
      <c r="E987">
        <v>3.5089999999999999</v>
      </c>
      <c r="F987">
        <v>198.0795651</v>
      </c>
      <c r="G987">
        <v>675926.3</v>
      </c>
      <c r="H987" t="str">
        <f>TEXT(Ventas[[#This Row],[Fecha_venta]],"dd")</f>
        <v>10</v>
      </c>
      <c r="I987" t="str">
        <f>TEXT(Ventas[[#This Row],[Fecha_venta]],"m")</f>
        <v>8</v>
      </c>
      <c r="J987" t="str">
        <f>TEXT(Ventas[[#This Row],[Fecha_venta]],"yyyy")</f>
        <v>2012</v>
      </c>
    </row>
    <row r="988" spans="1:10" x14ac:dyDescent="0.25">
      <c r="A988">
        <v>7</v>
      </c>
      <c r="B988" s="1">
        <v>41138</v>
      </c>
      <c r="C988">
        <v>0</v>
      </c>
      <c r="D988">
        <v>59.66</v>
      </c>
      <c r="E988">
        <v>3.5449999999999999</v>
      </c>
      <c r="F988">
        <v>198.1001057</v>
      </c>
      <c r="G988">
        <v>642450.4</v>
      </c>
      <c r="H988" t="str">
        <f>TEXT(Ventas[[#This Row],[Fecha_venta]],"dd")</f>
        <v>17</v>
      </c>
      <c r="I988" t="str">
        <f>TEXT(Ventas[[#This Row],[Fecha_venta]],"m")</f>
        <v>8</v>
      </c>
      <c r="J988" t="str">
        <f>TEXT(Ventas[[#This Row],[Fecha_venta]],"yyyy")</f>
        <v>2012</v>
      </c>
    </row>
    <row r="989" spans="1:10" x14ac:dyDescent="0.25">
      <c r="A989">
        <v>7</v>
      </c>
      <c r="B989" s="1">
        <v>41145</v>
      </c>
      <c r="C989">
        <v>0</v>
      </c>
      <c r="D989">
        <v>59.27</v>
      </c>
      <c r="E989">
        <v>3.5579999999999998</v>
      </c>
      <c r="F989">
        <v>198.09841990000001</v>
      </c>
      <c r="G989">
        <v>609099.37</v>
      </c>
      <c r="H989" t="str">
        <f>TEXT(Ventas[[#This Row],[Fecha_venta]],"dd")</f>
        <v>24</v>
      </c>
      <c r="I989" t="str">
        <f>TEXT(Ventas[[#This Row],[Fecha_venta]],"m")</f>
        <v>8</v>
      </c>
      <c r="J989" t="str">
        <f>TEXT(Ventas[[#This Row],[Fecha_venta]],"yyyy")</f>
        <v>2012</v>
      </c>
    </row>
    <row r="990" spans="1:10" x14ac:dyDescent="0.25">
      <c r="A990">
        <v>7</v>
      </c>
      <c r="B990" s="1">
        <v>41152</v>
      </c>
      <c r="C990">
        <v>0</v>
      </c>
      <c r="D990">
        <v>60.46</v>
      </c>
      <c r="E990">
        <v>3.556</v>
      </c>
      <c r="F990">
        <v>198.09673409999999</v>
      </c>
      <c r="G990">
        <v>586467.16</v>
      </c>
      <c r="H990" t="str">
        <f>TEXT(Ventas[[#This Row],[Fecha_venta]],"dd")</f>
        <v>31</v>
      </c>
      <c r="I990" t="str">
        <f>TEXT(Ventas[[#This Row],[Fecha_venta]],"m")</f>
        <v>8</v>
      </c>
      <c r="J990" t="str">
        <f>TEXT(Ventas[[#This Row],[Fecha_venta]],"yyyy")</f>
        <v>2012</v>
      </c>
    </row>
    <row r="991" spans="1:10" x14ac:dyDescent="0.25">
      <c r="A991">
        <v>7</v>
      </c>
      <c r="B991" s="1">
        <v>41159</v>
      </c>
      <c r="C991">
        <v>1</v>
      </c>
      <c r="D991">
        <v>57.84</v>
      </c>
      <c r="E991">
        <v>3.5960000000000001</v>
      </c>
      <c r="F991">
        <v>198.0950484</v>
      </c>
      <c r="G991">
        <v>597876.55000000005</v>
      </c>
      <c r="H991" t="str">
        <f>TEXT(Ventas[[#This Row],[Fecha_venta]],"dd")</f>
        <v>07</v>
      </c>
      <c r="I991" t="str">
        <f>TEXT(Ventas[[#This Row],[Fecha_venta]],"m")</f>
        <v>9</v>
      </c>
      <c r="J991" t="str">
        <f>TEXT(Ventas[[#This Row],[Fecha_venta]],"yyyy")</f>
        <v>2012</v>
      </c>
    </row>
    <row r="992" spans="1:10" x14ac:dyDescent="0.25">
      <c r="A992">
        <v>7</v>
      </c>
      <c r="B992" s="1">
        <v>41166</v>
      </c>
      <c r="C992">
        <v>0</v>
      </c>
      <c r="D992">
        <v>53.66</v>
      </c>
      <c r="E992">
        <v>3.6589999999999998</v>
      </c>
      <c r="F992">
        <v>198.12671839999999</v>
      </c>
      <c r="G992">
        <v>541120.19999999995</v>
      </c>
      <c r="H992" t="str">
        <f>TEXT(Ventas[[#This Row],[Fecha_venta]],"dd")</f>
        <v>14</v>
      </c>
      <c r="I992" t="str">
        <f>TEXT(Ventas[[#This Row],[Fecha_venta]],"m")</f>
        <v>9</v>
      </c>
      <c r="J992" t="str">
        <f>TEXT(Ventas[[#This Row],[Fecha_venta]],"yyyy")</f>
        <v>2012</v>
      </c>
    </row>
    <row r="993" spans="1:10" x14ac:dyDescent="0.25">
      <c r="A993">
        <v>7</v>
      </c>
      <c r="B993" s="1">
        <v>41173</v>
      </c>
      <c r="C993">
        <v>0</v>
      </c>
      <c r="D993">
        <v>51.77</v>
      </c>
      <c r="E993">
        <v>3.7650000000000001</v>
      </c>
      <c r="F993">
        <v>198.35852299999999</v>
      </c>
      <c r="G993">
        <v>530842.25</v>
      </c>
      <c r="H993" t="str">
        <f>TEXT(Ventas[[#This Row],[Fecha_venta]],"dd")</f>
        <v>21</v>
      </c>
      <c r="I993" t="str">
        <f>TEXT(Ventas[[#This Row],[Fecha_venta]],"m")</f>
        <v>9</v>
      </c>
      <c r="J993" t="str">
        <f>TEXT(Ventas[[#This Row],[Fecha_venta]],"yyyy")</f>
        <v>2012</v>
      </c>
    </row>
    <row r="994" spans="1:10" x14ac:dyDescent="0.25">
      <c r="A994">
        <v>7</v>
      </c>
      <c r="B994" s="1">
        <v>41180</v>
      </c>
      <c r="C994">
        <v>0</v>
      </c>
      <c r="D994">
        <v>50.64</v>
      </c>
      <c r="E994">
        <v>3.7890000000000001</v>
      </c>
      <c r="F994">
        <v>198.59032759999999</v>
      </c>
      <c r="G994">
        <v>525545.76</v>
      </c>
      <c r="H994" t="str">
        <f>TEXT(Ventas[[#This Row],[Fecha_venta]],"dd")</f>
        <v>28</v>
      </c>
      <c r="I994" t="str">
        <f>TEXT(Ventas[[#This Row],[Fecha_venta]],"m")</f>
        <v>9</v>
      </c>
      <c r="J994" t="str">
        <f>TEXT(Ventas[[#This Row],[Fecha_venta]],"yyyy")</f>
        <v>2012</v>
      </c>
    </row>
    <row r="995" spans="1:10" x14ac:dyDescent="0.25">
      <c r="A995">
        <v>7</v>
      </c>
      <c r="B995" s="1">
        <v>41187</v>
      </c>
      <c r="C995">
        <v>0</v>
      </c>
      <c r="D995">
        <v>48.43</v>
      </c>
      <c r="E995">
        <v>3.7789999999999999</v>
      </c>
      <c r="F995">
        <v>198.8221322</v>
      </c>
      <c r="G995">
        <v>505830.56</v>
      </c>
      <c r="H995" t="str">
        <f>TEXT(Ventas[[#This Row],[Fecha_venta]],"dd")</f>
        <v>05</v>
      </c>
      <c r="I995" t="str">
        <f>TEXT(Ventas[[#This Row],[Fecha_venta]],"m")</f>
        <v>10</v>
      </c>
      <c r="J995" t="str">
        <f>TEXT(Ventas[[#This Row],[Fecha_venta]],"yyyy")</f>
        <v>2012</v>
      </c>
    </row>
    <row r="996" spans="1:10" x14ac:dyDescent="0.25">
      <c r="A996">
        <v>7</v>
      </c>
      <c r="B996" s="1">
        <v>41194</v>
      </c>
      <c r="C996">
        <v>0</v>
      </c>
      <c r="D996">
        <v>41.43</v>
      </c>
      <c r="E996">
        <v>3.76</v>
      </c>
      <c r="F996">
        <v>199.0539368</v>
      </c>
      <c r="G996">
        <v>503463.93</v>
      </c>
      <c r="H996" t="str">
        <f>TEXT(Ventas[[#This Row],[Fecha_venta]],"dd")</f>
        <v>12</v>
      </c>
      <c r="I996" t="str">
        <f>TEXT(Ventas[[#This Row],[Fecha_venta]],"m")</f>
        <v>10</v>
      </c>
      <c r="J996" t="str">
        <f>TEXT(Ventas[[#This Row],[Fecha_venta]],"yyyy")</f>
        <v>2012</v>
      </c>
    </row>
    <row r="997" spans="1:10" x14ac:dyDescent="0.25">
      <c r="A997">
        <v>7</v>
      </c>
      <c r="B997" s="1">
        <v>41201</v>
      </c>
      <c r="C997">
        <v>0</v>
      </c>
      <c r="D997">
        <v>43.01</v>
      </c>
      <c r="E997">
        <v>3.75</v>
      </c>
      <c r="F997">
        <v>199.1481963</v>
      </c>
      <c r="G997">
        <v>516424.83</v>
      </c>
      <c r="H997" t="str">
        <f>TEXT(Ventas[[#This Row],[Fecha_venta]],"dd")</f>
        <v>19</v>
      </c>
      <c r="I997" t="str">
        <f>TEXT(Ventas[[#This Row],[Fecha_venta]],"m")</f>
        <v>10</v>
      </c>
      <c r="J997" t="str">
        <f>TEXT(Ventas[[#This Row],[Fecha_venta]],"yyyy")</f>
        <v>2012</v>
      </c>
    </row>
    <row r="998" spans="1:10" x14ac:dyDescent="0.25">
      <c r="A998">
        <v>7</v>
      </c>
      <c r="B998" s="1">
        <v>41208</v>
      </c>
      <c r="C998">
        <v>0</v>
      </c>
      <c r="D998">
        <v>42.53</v>
      </c>
      <c r="E998">
        <v>3.6859999999999999</v>
      </c>
      <c r="F998">
        <v>199.2195317</v>
      </c>
      <c r="G998">
        <v>495543.28</v>
      </c>
      <c r="H998" t="str">
        <f>TEXT(Ventas[[#This Row],[Fecha_venta]],"dd")</f>
        <v>26</v>
      </c>
      <c r="I998" t="str">
        <f>TEXT(Ventas[[#This Row],[Fecha_venta]],"m")</f>
        <v>10</v>
      </c>
      <c r="J998" t="str">
        <f>TEXT(Ventas[[#This Row],[Fecha_venta]],"yyyy")</f>
        <v>2012</v>
      </c>
    </row>
    <row r="999" spans="1:10" x14ac:dyDescent="0.25">
      <c r="A999">
        <v>8</v>
      </c>
      <c r="B999" s="1">
        <v>40214</v>
      </c>
      <c r="C999">
        <v>0</v>
      </c>
      <c r="D999">
        <v>34.14</v>
      </c>
      <c r="E999">
        <v>2.5720000000000001</v>
      </c>
      <c r="F999">
        <v>214.47145119999999</v>
      </c>
      <c r="G999">
        <v>1004137.09</v>
      </c>
      <c r="H999" t="str">
        <f>TEXT(Ventas[[#This Row],[Fecha_venta]],"dd")</f>
        <v>05</v>
      </c>
      <c r="I999" t="str">
        <f>TEXT(Ventas[[#This Row],[Fecha_venta]],"m")</f>
        <v>2</v>
      </c>
      <c r="J999" t="str">
        <f>TEXT(Ventas[[#This Row],[Fecha_venta]],"yyyy")</f>
        <v>2010</v>
      </c>
    </row>
    <row r="1000" spans="1:10" x14ac:dyDescent="0.25">
      <c r="A1000">
        <v>8</v>
      </c>
      <c r="B1000" s="1">
        <v>40221</v>
      </c>
      <c r="C1000">
        <v>1</v>
      </c>
      <c r="D1000">
        <v>33.340000000000003</v>
      </c>
      <c r="E1000">
        <v>2.548</v>
      </c>
      <c r="F1000">
        <v>214.62141890000001</v>
      </c>
      <c r="G1000">
        <v>994801.4</v>
      </c>
      <c r="H1000" t="str">
        <f>TEXT(Ventas[[#This Row],[Fecha_venta]],"dd")</f>
        <v>12</v>
      </c>
      <c r="I1000" t="str">
        <f>TEXT(Ventas[[#This Row],[Fecha_venta]],"m")</f>
        <v>2</v>
      </c>
      <c r="J1000" t="str">
        <f>TEXT(Ventas[[#This Row],[Fecha_venta]],"yyyy")</f>
        <v>2010</v>
      </c>
    </row>
    <row r="1001" spans="1:10" x14ac:dyDescent="0.25">
      <c r="A1001">
        <v>8</v>
      </c>
      <c r="B1001" s="1">
        <v>40228</v>
      </c>
      <c r="C1001">
        <v>0</v>
      </c>
      <c r="D1001">
        <v>39.1</v>
      </c>
      <c r="E1001">
        <v>2.5139999999999998</v>
      </c>
      <c r="F1001">
        <v>214.6664878</v>
      </c>
      <c r="G1001">
        <v>963960.37</v>
      </c>
      <c r="H1001" t="str">
        <f>TEXT(Ventas[[#This Row],[Fecha_venta]],"dd")</f>
        <v>19</v>
      </c>
      <c r="I1001" t="str">
        <f>TEXT(Ventas[[#This Row],[Fecha_venta]],"m")</f>
        <v>2</v>
      </c>
      <c r="J1001" t="str">
        <f>TEXT(Ventas[[#This Row],[Fecha_venta]],"yyyy")</f>
        <v>2010</v>
      </c>
    </row>
    <row r="1002" spans="1:10" x14ac:dyDescent="0.25">
      <c r="A1002">
        <v>8</v>
      </c>
      <c r="B1002" s="1">
        <v>40235</v>
      </c>
      <c r="C1002">
        <v>0</v>
      </c>
      <c r="D1002">
        <v>37.909999999999997</v>
      </c>
      <c r="E1002">
        <v>2.5609999999999999</v>
      </c>
      <c r="F1002">
        <v>214.6940735</v>
      </c>
      <c r="G1002">
        <v>847592.11</v>
      </c>
      <c r="H1002" t="str">
        <f>TEXT(Ventas[[#This Row],[Fecha_venta]],"dd")</f>
        <v>26</v>
      </c>
      <c r="I1002" t="str">
        <f>TEXT(Ventas[[#This Row],[Fecha_venta]],"m")</f>
        <v>2</v>
      </c>
      <c r="J1002" t="str">
        <f>TEXT(Ventas[[#This Row],[Fecha_venta]],"yyyy")</f>
        <v>2010</v>
      </c>
    </row>
    <row r="1003" spans="1:10" x14ac:dyDescent="0.25">
      <c r="A1003">
        <v>8</v>
      </c>
      <c r="B1003" s="1">
        <v>40242</v>
      </c>
      <c r="C1003">
        <v>0</v>
      </c>
      <c r="D1003">
        <v>45.64</v>
      </c>
      <c r="E1003">
        <v>2.625</v>
      </c>
      <c r="F1003">
        <v>214.7216592</v>
      </c>
      <c r="G1003">
        <v>881503.95</v>
      </c>
      <c r="H1003" t="str">
        <f>TEXT(Ventas[[#This Row],[Fecha_venta]],"dd")</f>
        <v>05</v>
      </c>
      <c r="I1003" t="str">
        <f>TEXT(Ventas[[#This Row],[Fecha_venta]],"m")</f>
        <v>3</v>
      </c>
      <c r="J1003" t="str">
        <f>TEXT(Ventas[[#This Row],[Fecha_venta]],"yyyy")</f>
        <v>2010</v>
      </c>
    </row>
    <row r="1004" spans="1:10" x14ac:dyDescent="0.25">
      <c r="A1004">
        <v>8</v>
      </c>
      <c r="B1004" s="1">
        <v>40249</v>
      </c>
      <c r="C1004">
        <v>0</v>
      </c>
      <c r="D1004">
        <v>49.76</v>
      </c>
      <c r="E1004">
        <v>2.6669999999999998</v>
      </c>
      <c r="F1004">
        <v>214.74924490000001</v>
      </c>
      <c r="G1004">
        <v>860336.16</v>
      </c>
      <c r="H1004" t="str">
        <f>TEXT(Ventas[[#This Row],[Fecha_venta]],"dd")</f>
        <v>12</v>
      </c>
      <c r="I1004" t="str">
        <f>TEXT(Ventas[[#This Row],[Fecha_venta]],"m")</f>
        <v>3</v>
      </c>
      <c r="J1004" t="str">
        <f>TEXT(Ventas[[#This Row],[Fecha_venta]],"yyyy")</f>
        <v>2010</v>
      </c>
    </row>
    <row r="1005" spans="1:10" x14ac:dyDescent="0.25">
      <c r="A1005">
        <v>8</v>
      </c>
      <c r="B1005" s="1">
        <v>40256</v>
      </c>
      <c r="C1005">
        <v>0</v>
      </c>
      <c r="D1005">
        <v>47.26</v>
      </c>
      <c r="E1005">
        <v>2.72</v>
      </c>
      <c r="F1005">
        <v>214.5764954</v>
      </c>
      <c r="G1005">
        <v>839911</v>
      </c>
      <c r="H1005" t="str">
        <f>TEXT(Ventas[[#This Row],[Fecha_venta]],"dd")</f>
        <v>19</v>
      </c>
      <c r="I1005" t="str">
        <f>TEXT(Ventas[[#This Row],[Fecha_venta]],"m")</f>
        <v>3</v>
      </c>
      <c r="J1005" t="str">
        <f>TEXT(Ventas[[#This Row],[Fecha_venta]],"yyyy")</f>
        <v>2010</v>
      </c>
    </row>
    <row r="1006" spans="1:10" x14ac:dyDescent="0.25">
      <c r="A1006">
        <v>8</v>
      </c>
      <c r="B1006" s="1">
        <v>40263</v>
      </c>
      <c r="C1006">
        <v>0</v>
      </c>
      <c r="D1006">
        <v>46.51</v>
      </c>
      <c r="E1006">
        <v>2.7320000000000002</v>
      </c>
      <c r="F1006">
        <v>214.3703567</v>
      </c>
      <c r="G1006">
        <v>772539.12</v>
      </c>
      <c r="H1006" t="str">
        <f>TEXT(Ventas[[#This Row],[Fecha_venta]],"dd")</f>
        <v>26</v>
      </c>
      <c r="I1006" t="str">
        <f>TEXT(Ventas[[#This Row],[Fecha_venta]],"m")</f>
        <v>3</v>
      </c>
      <c r="J1006" t="str">
        <f>TEXT(Ventas[[#This Row],[Fecha_venta]],"yyyy")</f>
        <v>2010</v>
      </c>
    </row>
    <row r="1007" spans="1:10" x14ac:dyDescent="0.25">
      <c r="A1007">
        <v>8</v>
      </c>
      <c r="B1007" s="1">
        <v>40270</v>
      </c>
      <c r="C1007">
        <v>0</v>
      </c>
      <c r="D1007">
        <v>60.18</v>
      </c>
      <c r="E1007">
        <v>2.7189999999999999</v>
      </c>
      <c r="F1007">
        <v>214.16421800000001</v>
      </c>
      <c r="G1007">
        <v>914500.91</v>
      </c>
      <c r="H1007" t="str">
        <f>TEXT(Ventas[[#This Row],[Fecha_venta]],"dd")</f>
        <v>02</v>
      </c>
      <c r="I1007" t="str">
        <f>TEXT(Ventas[[#This Row],[Fecha_venta]],"m")</f>
        <v>4</v>
      </c>
      <c r="J1007" t="str">
        <f>TEXT(Ventas[[#This Row],[Fecha_venta]],"yyyy")</f>
        <v>2010</v>
      </c>
    </row>
    <row r="1008" spans="1:10" x14ac:dyDescent="0.25">
      <c r="A1008">
        <v>8</v>
      </c>
      <c r="B1008" s="1">
        <v>40277</v>
      </c>
      <c r="C1008">
        <v>0</v>
      </c>
      <c r="D1008">
        <v>59.25</v>
      </c>
      <c r="E1008">
        <v>2.77</v>
      </c>
      <c r="F1008">
        <v>213.95807930000001</v>
      </c>
      <c r="G1008">
        <v>916033.92</v>
      </c>
      <c r="H1008" t="str">
        <f>TEXT(Ventas[[#This Row],[Fecha_venta]],"dd")</f>
        <v>09</v>
      </c>
      <c r="I1008" t="str">
        <f>TEXT(Ventas[[#This Row],[Fecha_venta]],"m")</f>
        <v>4</v>
      </c>
      <c r="J1008" t="str">
        <f>TEXT(Ventas[[#This Row],[Fecha_venta]],"yyyy")</f>
        <v>2010</v>
      </c>
    </row>
    <row r="1009" spans="1:10" x14ac:dyDescent="0.25">
      <c r="A1009">
        <v>8</v>
      </c>
      <c r="B1009" s="1">
        <v>40284</v>
      </c>
      <c r="C1009">
        <v>0</v>
      </c>
      <c r="D1009">
        <v>62.66</v>
      </c>
      <c r="E1009">
        <v>2.8079999999999998</v>
      </c>
      <c r="F1009">
        <v>213.81863569999999</v>
      </c>
      <c r="G1009">
        <v>882917.12</v>
      </c>
      <c r="H1009" t="str">
        <f>TEXT(Ventas[[#This Row],[Fecha_venta]],"dd")</f>
        <v>16</v>
      </c>
      <c r="I1009" t="str">
        <f>TEXT(Ventas[[#This Row],[Fecha_venta]],"m")</f>
        <v>4</v>
      </c>
      <c r="J1009" t="str">
        <f>TEXT(Ventas[[#This Row],[Fecha_venta]],"yyyy")</f>
        <v>2010</v>
      </c>
    </row>
    <row r="1010" spans="1:10" x14ac:dyDescent="0.25">
      <c r="A1010">
        <v>8</v>
      </c>
      <c r="B1010" s="1">
        <v>40291</v>
      </c>
      <c r="C1010">
        <v>0</v>
      </c>
      <c r="D1010">
        <v>56.1</v>
      </c>
      <c r="E1010">
        <v>2.7949999999999999</v>
      </c>
      <c r="F1010">
        <v>213.76811900000001</v>
      </c>
      <c r="G1010">
        <v>850440.26</v>
      </c>
      <c r="H1010" t="str">
        <f>TEXT(Ventas[[#This Row],[Fecha_venta]],"dd")</f>
        <v>23</v>
      </c>
      <c r="I1010" t="str">
        <f>TEXT(Ventas[[#This Row],[Fecha_venta]],"m")</f>
        <v>4</v>
      </c>
      <c r="J1010" t="str">
        <f>TEXT(Ventas[[#This Row],[Fecha_venta]],"yyyy")</f>
        <v>2010</v>
      </c>
    </row>
    <row r="1011" spans="1:10" x14ac:dyDescent="0.25">
      <c r="A1011">
        <v>8</v>
      </c>
      <c r="B1011" s="1">
        <v>40298</v>
      </c>
      <c r="C1011">
        <v>0</v>
      </c>
      <c r="D1011">
        <v>61.01</v>
      </c>
      <c r="E1011">
        <v>2.78</v>
      </c>
      <c r="F1011">
        <v>213.7176024</v>
      </c>
      <c r="G1011">
        <v>778672.64000000001</v>
      </c>
      <c r="H1011" t="str">
        <f>TEXT(Ventas[[#This Row],[Fecha_venta]],"dd")</f>
        <v>30</v>
      </c>
      <c r="I1011" t="str">
        <f>TEXT(Ventas[[#This Row],[Fecha_venta]],"m")</f>
        <v>4</v>
      </c>
      <c r="J1011" t="str">
        <f>TEXT(Ventas[[#This Row],[Fecha_venta]],"yyyy")</f>
        <v>2010</v>
      </c>
    </row>
    <row r="1012" spans="1:10" x14ac:dyDescent="0.25">
      <c r="A1012">
        <v>8</v>
      </c>
      <c r="B1012" s="1">
        <v>40305</v>
      </c>
      <c r="C1012">
        <v>0</v>
      </c>
      <c r="D1012">
        <v>62.68</v>
      </c>
      <c r="E1012">
        <v>2.835</v>
      </c>
      <c r="F1012">
        <v>213.6670857</v>
      </c>
      <c r="G1012">
        <v>916820.96</v>
      </c>
      <c r="H1012" t="str">
        <f>TEXT(Ventas[[#This Row],[Fecha_venta]],"dd")</f>
        <v>07</v>
      </c>
      <c r="I1012" t="str">
        <f>TEXT(Ventas[[#This Row],[Fecha_venta]],"m")</f>
        <v>5</v>
      </c>
      <c r="J1012" t="str">
        <f>TEXT(Ventas[[#This Row],[Fecha_venta]],"yyyy")</f>
        <v>2010</v>
      </c>
    </row>
    <row r="1013" spans="1:10" x14ac:dyDescent="0.25">
      <c r="A1013">
        <v>8</v>
      </c>
      <c r="B1013" s="1">
        <v>40312</v>
      </c>
      <c r="C1013">
        <v>0</v>
      </c>
      <c r="D1013">
        <v>61.35</v>
      </c>
      <c r="E1013">
        <v>2.8540000000000001</v>
      </c>
      <c r="F1013">
        <v>213.6655355</v>
      </c>
      <c r="G1013">
        <v>873337.84</v>
      </c>
      <c r="H1013" t="str">
        <f>TEXT(Ventas[[#This Row],[Fecha_venta]],"dd")</f>
        <v>14</v>
      </c>
      <c r="I1013" t="str">
        <f>TEXT(Ventas[[#This Row],[Fecha_venta]],"m")</f>
        <v>5</v>
      </c>
      <c r="J1013" t="str">
        <f>TEXT(Ventas[[#This Row],[Fecha_venta]],"yyyy")</f>
        <v>2010</v>
      </c>
    </row>
    <row r="1014" spans="1:10" x14ac:dyDescent="0.25">
      <c r="A1014">
        <v>8</v>
      </c>
      <c r="B1014" s="1">
        <v>40319</v>
      </c>
      <c r="C1014">
        <v>0</v>
      </c>
      <c r="D1014">
        <v>66.03</v>
      </c>
      <c r="E1014">
        <v>2.8260000000000001</v>
      </c>
      <c r="F1014">
        <v>213.95778390000001</v>
      </c>
      <c r="G1014">
        <v>818333.21</v>
      </c>
      <c r="H1014" t="str">
        <f>TEXT(Ventas[[#This Row],[Fecha_venta]],"dd")</f>
        <v>21</v>
      </c>
      <c r="I1014" t="str">
        <f>TEXT(Ventas[[#This Row],[Fecha_venta]],"m")</f>
        <v>5</v>
      </c>
      <c r="J1014" t="str">
        <f>TEXT(Ventas[[#This Row],[Fecha_venta]],"yyyy")</f>
        <v>2010</v>
      </c>
    </row>
    <row r="1015" spans="1:10" x14ac:dyDescent="0.25">
      <c r="A1015">
        <v>8</v>
      </c>
      <c r="B1015" s="1">
        <v>40326</v>
      </c>
      <c r="C1015">
        <v>0</v>
      </c>
      <c r="D1015">
        <v>74.709999999999994</v>
      </c>
      <c r="E1015">
        <v>2.7589999999999999</v>
      </c>
      <c r="F1015">
        <v>214.25003229999999</v>
      </c>
      <c r="G1015">
        <v>868041.56</v>
      </c>
      <c r="H1015" t="str">
        <f>TEXT(Ventas[[#This Row],[Fecha_venta]],"dd")</f>
        <v>28</v>
      </c>
      <c r="I1015" t="str">
        <f>TEXT(Ventas[[#This Row],[Fecha_venta]],"m")</f>
        <v>5</v>
      </c>
      <c r="J1015" t="str">
        <f>TEXT(Ventas[[#This Row],[Fecha_venta]],"yyyy")</f>
        <v>2010</v>
      </c>
    </row>
    <row r="1016" spans="1:10" x14ac:dyDescent="0.25">
      <c r="A1016">
        <v>8</v>
      </c>
      <c r="B1016" s="1">
        <v>40333</v>
      </c>
      <c r="C1016">
        <v>0</v>
      </c>
      <c r="D1016">
        <v>75.709999999999994</v>
      </c>
      <c r="E1016">
        <v>2.7050000000000001</v>
      </c>
      <c r="F1016">
        <v>214.5422806</v>
      </c>
      <c r="G1016">
        <v>958225.41</v>
      </c>
      <c r="H1016" t="str">
        <f>TEXT(Ventas[[#This Row],[Fecha_venta]],"dd")</f>
        <v>04</v>
      </c>
      <c r="I1016" t="str">
        <f>TEXT(Ventas[[#This Row],[Fecha_venta]],"m")</f>
        <v>6</v>
      </c>
      <c r="J1016" t="str">
        <f>TEXT(Ventas[[#This Row],[Fecha_venta]],"yyyy")</f>
        <v>2010</v>
      </c>
    </row>
    <row r="1017" spans="1:10" x14ac:dyDescent="0.25">
      <c r="A1017">
        <v>8</v>
      </c>
      <c r="B1017" s="1">
        <v>40340</v>
      </c>
      <c r="C1017">
        <v>0</v>
      </c>
      <c r="D1017">
        <v>82.21</v>
      </c>
      <c r="E1017">
        <v>2.6680000000000001</v>
      </c>
      <c r="F1017">
        <v>214.834529</v>
      </c>
      <c r="G1017">
        <v>914835.86</v>
      </c>
      <c r="H1017" t="str">
        <f>TEXT(Ventas[[#This Row],[Fecha_venta]],"dd")</f>
        <v>11</v>
      </c>
      <c r="I1017" t="str">
        <f>TEXT(Ventas[[#This Row],[Fecha_venta]],"m")</f>
        <v>6</v>
      </c>
      <c r="J1017" t="str">
        <f>TEXT(Ventas[[#This Row],[Fecha_venta]],"yyyy")</f>
        <v>2010</v>
      </c>
    </row>
    <row r="1018" spans="1:10" x14ac:dyDescent="0.25">
      <c r="A1018">
        <v>8</v>
      </c>
      <c r="B1018" s="1">
        <v>40347</v>
      </c>
      <c r="C1018">
        <v>0</v>
      </c>
      <c r="D1018">
        <v>78.790000000000006</v>
      </c>
      <c r="E1018">
        <v>2.637</v>
      </c>
      <c r="F1018">
        <v>214.8324452</v>
      </c>
      <c r="G1018">
        <v>869922.56</v>
      </c>
      <c r="H1018" t="str">
        <f>TEXT(Ventas[[#This Row],[Fecha_venta]],"dd")</f>
        <v>18</v>
      </c>
      <c r="I1018" t="str">
        <f>TEXT(Ventas[[#This Row],[Fecha_venta]],"m")</f>
        <v>6</v>
      </c>
      <c r="J1018" t="str">
        <f>TEXT(Ventas[[#This Row],[Fecha_venta]],"yyyy")</f>
        <v>2010</v>
      </c>
    </row>
    <row r="1019" spans="1:10" x14ac:dyDescent="0.25">
      <c r="A1019">
        <v>8</v>
      </c>
      <c r="B1019" s="1">
        <v>40354</v>
      </c>
      <c r="C1019">
        <v>0</v>
      </c>
      <c r="D1019">
        <v>81.78</v>
      </c>
      <c r="E1019">
        <v>2.653</v>
      </c>
      <c r="F1019">
        <v>214.71262859999999</v>
      </c>
      <c r="G1019">
        <v>814919.11</v>
      </c>
      <c r="H1019" t="str">
        <f>TEXT(Ventas[[#This Row],[Fecha_venta]],"dd")</f>
        <v>25</v>
      </c>
      <c r="I1019" t="str">
        <f>TEXT(Ventas[[#This Row],[Fecha_venta]],"m")</f>
        <v>6</v>
      </c>
      <c r="J1019" t="str">
        <f>TEXT(Ventas[[#This Row],[Fecha_venta]],"yyyy")</f>
        <v>2010</v>
      </c>
    </row>
    <row r="1020" spans="1:10" x14ac:dyDescent="0.25">
      <c r="A1020">
        <v>8</v>
      </c>
      <c r="B1020" s="1">
        <v>40361</v>
      </c>
      <c r="C1020">
        <v>0</v>
      </c>
      <c r="D1020">
        <v>74.78</v>
      </c>
      <c r="E1020">
        <v>2.669</v>
      </c>
      <c r="F1020">
        <v>214.59281189999999</v>
      </c>
      <c r="G1020">
        <v>852333.75</v>
      </c>
      <c r="H1020" t="str">
        <f>TEXT(Ventas[[#This Row],[Fecha_venta]],"dd")</f>
        <v>02</v>
      </c>
      <c r="I1020" t="str">
        <f>TEXT(Ventas[[#This Row],[Fecha_venta]],"m")</f>
        <v>7</v>
      </c>
      <c r="J1020" t="str">
        <f>TEXT(Ventas[[#This Row],[Fecha_venta]],"yyyy")</f>
        <v>2010</v>
      </c>
    </row>
    <row r="1021" spans="1:10" x14ac:dyDescent="0.25">
      <c r="A1021">
        <v>8</v>
      </c>
      <c r="B1021" s="1">
        <v>40368</v>
      </c>
      <c r="C1021">
        <v>0</v>
      </c>
      <c r="D1021">
        <v>72.489999999999995</v>
      </c>
      <c r="E1021">
        <v>2.6419999999999999</v>
      </c>
      <c r="F1021">
        <v>214.47299520000001</v>
      </c>
      <c r="G1021">
        <v>845289.77</v>
      </c>
      <c r="H1021" t="str">
        <f>TEXT(Ventas[[#This Row],[Fecha_venta]],"dd")</f>
        <v>09</v>
      </c>
      <c r="I1021" t="str">
        <f>TEXT(Ventas[[#This Row],[Fecha_venta]],"m")</f>
        <v>7</v>
      </c>
      <c r="J1021" t="str">
        <f>TEXT(Ventas[[#This Row],[Fecha_venta]],"yyyy")</f>
        <v>2010</v>
      </c>
    </row>
    <row r="1022" spans="1:10" x14ac:dyDescent="0.25">
      <c r="A1022">
        <v>8</v>
      </c>
      <c r="B1022" s="1">
        <v>40375</v>
      </c>
      <c r="C1022">
        <v>0</v>
      </c>
      <c r="D1022">
        <v>77.489999999999995</v>
      </c>
      <c r="E1022">
        <v>2.6230000000000002</v>
      </c>
      <c r="F1022">
        <v>214.4640599</v>
      </c>
      <c r="G1022">
        <v>848630.57</v>
      </c>
      <c r="H1022" t="str">
        <f>TEXT(Ventas[[#This Row],[Fecha_venta]],"dd")</f>
        <v>16</v>
      </c>
      <c r="I1022" t="str">
        <f>TEXT(Ventas[[#This Row],[Fecha_venta]],"m")</f>
        <v>7</v>
      </c>
      <c r="J1022" t="str">
        <f>TEXT(Ventas[[#This Row],[Fecha_venta]],"yyyy")</f>
        <v>2010</v>
      </c>
    </row>
    <row r="1023" spans="1:10" x14ac:dyDescent="0.25">
      <c r="A1023">
        <v>8</v>
      </c>
      <c r="B1023" s="1">
        <v>40382</v>
      </c>
      <c r="C1023">
        <v>0</v>
      </c>
      <c r="D1023">
        <v>78.290000000000006</v>
      </c>
      <c r="E1023">
        <v>2.6080000000000001</v>
      </c>
      <c r="F1023">
        <v>214.60296640000001</v>
      </c>
      <c r="G1023">
        <v>785515.88</v>
      </c>
      <c r="H1023" t="str">
        <f>TEXT(Ventas[[#This Row],[Fecha_venta]],"dd")</f>
        <v>23</v>
      </c>
      <c r="I1023" t="str">
        <f>TEXT(Ventas[[#This Row],[Fecha_venta]],"m")</f>
        <v>7</v>
      </c>
      <c r="J1023" t="str">
        <f>TEXT(Ventas[[#This Row],[Fecha_venta]],"yyyy")</f>
        <v>2010</v>
      </c>
    </row>
    <row r="1024" spans="1:10" x14ac:dyDescent="0.25">
      <c r="A1024">
        <v>8</v>
      </c>
      <c r="B1024" s="1">
        <v>40389</v>
      </c>
      <c r="C1024">
        <v>0</v>
      </c>
      <c r="D1024">
        <v>76.02</v>
      </c>
      <c r="E1024">
        <v>2.64</v>
      </c>
      <c r="F1024">
        <v>214.74187280000001</v>
      </c>
      <c r="G1024">
        <v>787295.09</v>
      </c>
      <c r="H1024" t="str">
        <f>TEXT(Ventas[[#This Row],[Fecha_venta]],"dd")</f>
        <v>30</v>
      </c>
      <c r="I1024" t="str">
        <f>TEXT(Ventas[[#This Row],[Fecha_venta]],"m")</f>
        <v>7</v>
      </c>
      <c r="J1024" t="str">
        <f>TEXT(Ventas[[#This Row],[Fecha_venta]],"yyyy")</f>
        <v>2010</v>
      </c>
    </row>
    <row r="1025" spans="1:10" x14ac:dyDescent="0.25">
      <c r="A1025">
        <v>8</v>
      </c>
      <c r="B1025" s="1">
        <v>40396</v>
      </c>
      <c r="C1025">
        <v>0</v>
      </c>
      <c r="D1025">
        <v>80.37</v>
      </c>
      <c r="E1025">
        <v>2.6269999999999998</v>
      </c>
      <c r="F1025">
        <v>214.8807793</v>
      </c>
      <c r="G1025">
        <v>893399.77</v>
      </c>
      <c r="H1025" t="str">
        <f>TEXT(Ventas[[#This Row],[Fecha_venta]],"dd")</f>
        <v>06</v>
      </c>
      <c r="I1025" t="str">
        <f>TEXT(Ventas[[#This Row],[Fecha_venta]],"m")</f>
        <v>8</v>
      </c>
      <c r="J1025" t="str">
        <f>TEXT(Ventas[[#This Row],[Fecha_venta]],"yyyy")</f>
        <v>2010</v>
      </c>
    </row>
    <row r="1026" spans="1:10" x14ac:dyDescent="0.25">
      <c r="A1026">
        <v>8</v>
      </c>
      <c r="B1026" s="1">
        <v>40403</v>
      </c>
      <c r="C1026">
        <v>0</v>
      </c>
      <c r="D1026">
        <v>80.11</v>
      </c>
      <c r="E1026">
        <v>2.6920000000000002</v>
      </c>
      <c r="F1026">
        <v>215.0196857</v>
      </c>
      <c r="G1026">
        <v>867919.21</v>
      </c>
      <c r="H1026" t="str">
        <f>TEXT(Ventas[[#This Row],[Fecha_venta]],"dd")</f>
        <v>13</v>
      </c>
      <c r="I1026" t="str">
        <f>TEXT(Ventas[[#This Row],[Fecha_venta]],"m")</f>
        <v>8</v>
      </c>
      <c r="J1026" t="str">
        <f>TEXT(Ventas[[#This Row],[Fecha_venta]],"yyyy")</f>
        <v>2010</v>
      </c>
    </row>
    <row r="1027" spans="1:10" x14ac:dyDescent="0.25">
      <c r="A1027">
        <v>8</v>
      </c>
      <c r="B1027" s="1">
        <v>40410</v>
      </c>
      <c r="C1027">
        <v>0</v>
      </c>
      <c r="D1027">
        <v>79.36</v>
      </c>
      <c r="E1027">
        <v>2.6640000000000001</v>
      </c>
      <c r="F1027">
        <v>214.9779825</v>
      </c>
      <c r="G1027">
        <v>870676.44</v>
      </c>
      <c r="H1027" t="str">
        <f>TEXT(Ventas[[#This Row],[Fecha_venta]],"dd")</f>
        <v>20</v>
      </c>
      <c r="I1027" t="str">
        <f>TEXT(Ventas[[#This Row],[Fecha_venta]],"m")</f>
        <v>8</v>
      </c>
      <c r="J1027" t="str">
        <f>TEXT(Ventas[[#This Row],[Fecha_venta]],"yyyy")</f>
        <v>2010</v>
      </c>
    </row>
    <row r="1028" spans="1:10" x14ac:dyDescent="0.25">
      <c r="A1028">
        <v>8</v>
      </c>
      <c r="B1028" s="1">
        <v>40417</v>
      </c>
      <c r="C1028">
        <v>0</v>
      </c>
      <c r="D1028">
        <v>74.92</v>
      </c>
      <c r="E1028">
        <v>2.6190000000000002</v>
      </c>
      <c r="F1028">
        <v>214.9362793</v>
      </c>
      <c r="G1028">
        <v>888816.78</v>
      </c>
      <c r="H1028" t="str">
        <f>TEXT(Ventas[[#This Row],[Fecha_venta]],"dd")</f>
        <v>27</v>
      </c>
      <c r="I1028" t="str">
        <f>TEXT(Ventas[[#This Row],[Fecha_venta]],"m")</f>
        <v>8</v>
      </c>
      <c r="J1028" t="str">
        <f>TEXT(Ventas[[#This Row],[Fecha_venta]],"yyyy")</f>
        <v>2010</v>
      </c>
    </row>
    <row r="1029" spans="1:10" x14ac:dyDescent="0.25">
      <c r="A1029">
        <v>8</v>
      </c>
      <c r="B1029" s="1">
        <v>40424</v>
      </c>
      <c r="C1029">
        <v>0</v>
      </c>
      <c r="D1029">
        <v>76.14</v>
      </c>
      <c r="E1029">
        <v>2.577</v>
      </c>
      <c r="F1029">
        <v>214.894576</v>
      </c>
      <c r="G1029">
        <v>899036.47</v>
      </c>
      <c r="H1029" t="str">
        <f>TEXT(Ventas[[#This Row],[Fecha_venta]],"dd")</f>
        <v>03</v>
      </c>
      <c r="I1029" t="str">
        <f>TEXT(Ventas[[#This Row],[Fecha_venta]],"m")</f>
        <v>9</v>
      </c>
      <c r="J1029" t="str">
        <f>TEXT(Ventas[[#This Row],[Fecha_venta]],"yyyy")</f>
        <v>2010</v>
      </c>
    </row>
    <row r="1030" spans="1:10" x14ac:dyDescent="0.25">
      <c r="A1030">
        <v>8</v>
      </c>
      <c r="B1030" s="1">
        <v>40431</v>
      </c>
      <c r="C1030">
        <v>1</v>
      </c>
      <c r="D1030">
        <v>74.34</v>
      </c>
      <c r="E1030">
        <v>2.5649999999999999</v>
      </c>
      <c r="F1030">
        <v>214.8528728</v>
      </c>
      <c r="G1030">
        <v>831425.2</v>
      </c>
      <c r="H1030" t="str">
        <f>TEXT(Ventas[[#This Row],[Fecha_venta]],"dd")</f>
        <v>10</v>
      </c>
      <c r="I1030" t="str">
        <f>TEXT(Ventas[[#This Row],[Fecha_venta]],"m")</f>
        <v>9</v>
      </c>
      <c r="J1030" t="str">
        <f>TEXT(Ventas[[#This Row],[Fecha_venta]],"yyyy")</f>
        <v>2010</v>
      </c>
    </row>
    <row r="1031" spans="1:10" x14ac:dyDescent="0.25">
      <c r="A1031">
        <v>8</v>
      </c>
      <c r="B1031" s="1">
        <v>40438</v>
      </c>
      <c r="C1031">
        <v>0</v>
      </c>
      <c r="D1031">
        <v>75.319999999999993</v>
      </c>
      <c r="E1031">
        <v>2.5819999999999999</v>
      </c>
      <c r="F1031">
        <v>214.87855619999999</v>
      </c>
      <c r="G1031">
        <v>836707.85</v>
      </c>
      <c r="H1031" t="str">
        <f>TEXT(Ventas[[#This Row],[Fecha_venta]],"dd")</f>
        <v>17</v>
      </c>
      <c r="I1031" t="str">
        <f>TEXT(Ventas[[#This Row],[Fecha_venta]],"m")</f>
        <v>9</v>
      </c>
      <c r="J1031" t="str">
        <f>TEXT(Ventas[[#This Row],[Fecha_venta]],"yyyy")</f>
        <v>2010</v>
      </c>
    </row>
    <row r="1032" spans="1:10" x14ac:dyDescent="0.25">
      <c r="A1032">
        <v>8</v>
      </c>
      <c r="B1032" s="1">
        <v>40445</v>
      </c>
      <c r="C1032">
        <v>0</v>
      </c>
      <c r="D1032">
        <v>72.209999999999994</v>
      </c>
      <c r="E1032">
        <v>2.6240000000000001</v>
      </c>
      <c r="F1032">
        <v>214.9547795</v>
      </c>
      <c r="G1032">
        <v>773725.08</v>
      </c>
      <c r="H1032" t="str">
        <f>TEXT(Ventas[[#This Row],[Fecha_venta]],"dd")</f>
        <v>24</v>
      </c>
      <c r="I1032" t="str">
        <f>TEXT(Ventas[[#This Row],[Fecha_venta]],"m")</f>
        <v>9</v>
      </c>
      <c r="J1032" t="str">
        <f>TEXT(Ventas[[#This Row],[Fecha_venta]],"yyyy")</f>
        <v>2010</v>
      </c>
    </row>
    <row r="1033" spans="1:10" x14ac:dyDescent="0.25">
      <c r="A1033">
        <v>8</v>
      </c>
      <c r="B1033" s="1">
        <v>40452</v>
      </c>
      <c r="C1033">
        <v>0</v>
      </c>
      <c r="D1033">
        <v>68.7</v>
      </c>
      <c r="E1033">
        <v>2.6030000000000002</v>
      </c>
      <c r="F1033">
        <v>215.0310029</v>
      </c>
      <c r="G1033">
        <v>804105.49</v>
      </c>
      <c r="H1033" t="str">
        <f>TEXT(Ventas[[#This Row],[Fecha_venta]],"dd")</f>
        <v>01</v>
      </c>
      <c r="I1033" t="str">
        <f>TEXT(Ventas[[#This Row],[Fecha_venta]],"m")</f>
        <v>10</v>
      </c>
      <c r="J1033" t="str">
        <f>TEXT(Ventas[[#This Row],[Fecha_venta]],"yyyy")</f>
        <v>2010</v>
      </c>
    </row>
    <row r="1034" spans="1:10" x14ac:dyDescent="0.25">
      <c r="A1034">
        <v>8</v>
      </c>
      <c r="B1034" s="1">
        <v>40459</v>
      </c>
      <c r="C1034">
        <v>0</v>
      </c>
      <c r="D1034">
        <v>62.94</v>
      </c>
      <c r="E1034">
        <v>2.633</v>
      </c>
      <c r="F1034">
        <v>215.10722620000001</v>
      </c>
      <c r="G1034">
        <v>870349.86</v>
      </c>
      <c r="H1034" t="str">
        <f>TEXT(Ventas[[#This Row],[Fecha_venta]],"dd")</f>
        <v>08</v>
      </c>
      <c r="I1034" t="str">
        <f>TEXT(Ventas[[#This Row],[Fecha_venta]],"m")</f>
        <v>10</v>
      </c>
      <c r="J1034" t="str">
        <f>TEXT(Ventas[[#This Row],[Fecha_venta]],"yyyy")</f>
        <v>2010</v>
      </c>
    </row>
    <row r="1035" spans="1:10" x14ac:dyDescent="0.25">
      <c r="A1035">
        <v>8</v>
      </c>
      <c r="B1035" s="1">
        <v>40466</v>
      </c>
      <c r="C1035">
        <v>0</v>
      </c>
      <c r="D1035">
        <v>62.59</v>
      </c>
      <c r="E1035">
        <v>2.72</v>
      </c>
      <c r="F1035">
        <v>215.17570000000001</v>
      </c>
      <c r="G1035">
        <v>826546.96</v>
      </c>
      <c r="H1035" t="str">
        <f>TEXT(Ventas[[#This Row],[Fecha_venta]],"dd")</f>
        <v>15</v>
      </c>
      <c r="I1035" t="str">
        <f>TEXT(Ventas[[#This Row],[Fecha_venta]],"m")</f>
        <v>10</v>
      </c>
      <c r="J1035" t="str">
        <f>TEXT(Ventas[[#This Row],[Fecha_venta]],"yyyy")</f>
        <v>2010</v>
      </c>
    </row>
    <row r="1036" spans="1:10" x14ac:dyDescent="0.25">
      <c r="A1036">
        <v>8</v>
      </c>
      <c r="B1036" s="1">
        <v>40473</v>
      </c>
      <c r="C1036">
        <v>0</v>
      </c>
      <c r="D1036">
        <v>62.86</v>
      </c>
      <c r="E1036">
        <v>2.7250000000000001</v>
      </c>
      <c r="F1036">
        <v>215.22479999999999</v>
      </c>
      <c r="G1036">
        <v>836419.14</v>
      </c>
      <c r="H1036" t="str">
        <f>TEXT(Ventas[[#This Row],[Fecha_venta]],"dd")</f>
        <v>22</v>
      </c>
      <c r="I1036" t="str">
        <f>TEXT(Ventas[[#This Row],[Fecha_venta]],"m")</f>
        <v>10</v>
      </c>
      <c r="J1036" t="str">
        <f>TEXT(Ventas[[#This Row],[Fecha_venta]],"yyyy")</f>
        <v>2010</v>
      </c>
    </row>
    <row r="1037" spans="1:10" x14ac:dyDescent="0.25">
      <c r="A1037">
        <v>8</v>
      </c>
      <c r="B1037" s="1">
        <v>40480</v>
      </c>
      <c r="C1037">
        <v>0</v>
      </c>
      <c r="D1037">
        <v>57.93</v>
      </c>
      <c r="E1037">
        <v>2.7160000000000002</v>
      </c>
      <c r="F1037">
        <v>215.2739</v>
      </c>
      <c r="G1037">
        <v>830756.76</v>
      </c>
      <c r="H1037" t="str">
        <f>TEXT(Ventas[[#This Row],[Fecha_venta]],"dd")</f>
        <v>29</v>
      </c>
      <c r="I1037" t="str">
        <f>TEXT(Ventas[[#This Row],[Fecha_venta]],"m")</f>
        <v>10</v>
      </c>
      <c r="J1037" t="str">
        <f>TEXT(Ventas[[#This Row],[Fecha_venta]],"yyyy")</f>
        <v>2010</v>
      </c>
    </row>
    <row r="1038" spans="1:10" x14ac:dyDescent="0.25">
      <c r="A1038">
        <v>8</v>
      </c>
      <c r="B1038" s="1">
        <v>40487</v>
      </c>
      <c r="C1038">
        <v>0</v>
      </c>
      <c r="D1038">
        <v>55.76</v>
      </c>
      <c r="E1038">
        <v>2.6890000000000001</v>
      </c>
      <c r="F1038">
        <v>215.32300000000001</v>
      </c>
      <c r="G1038">
        <v>927266.34</v>
      </c>
      <c r="H1038" t="str">
        <f>TEXT(Ventas[[#This Row],[Fecha_venta]],"dd")</f>
        <v>05</v>
      </c>
      <c r="I1038" t="str">
        <f>TEXT(Ventas[[#This Row],[Fecha_venta]],"m")</f>
        <v>11</v>
      </c>
      <c r="J1038" t="str">
        <f>TEXT(Ventas[[#This Row],[Fecha_venta]],"yyyy")</f>
        <v>2010</v>
      </c>
    </row>
    <row r="1039" spans="1:10" x14ac:dyDescent="0.25">
      <c r="A1039">
        <v>8</v>
      </c>
      <c r="B1039" s="1">
        <v>40494</v>
      </c>
      <c r="C1039">
        <v>0</v>
      </c>
      <c r="D1039">
        <v>54.89</v>
      </c>
      <c r="E1039">
        <v>2.7280000000000002</v>
      </c>
      <c r="F1039">
        <v>215.37209999999999</v>
      </c>
      <c r="G1039">
        <v>911538.98</v>
      </c>
      <c r="H1039" t="str">
        <f>TEXT(Ventas[[#This Row],[Fecha_venta]],"dd")</f>
        <v>12</v>
      </c>
      <c r="I1039" t="str">
        <f>TEXT(Ventas[[#This Row],[Fecha_venta]],"m")</f>
        <v>11</v>
      </c>
      <c r="J1039" t="str">
        <f>TEXT(Ventas[[#This Row],[Fecha_venta]],"yyyy")</f>
        <v>2010</v>
      </c>
    </row>
    <row r="1040" spans="1:10" x14ac:dyDescent="0.25">
      <c r="A1040">
        <v>8</v>
      </c>
      <c r="B1040" s="1">
        <v>40501</v>
      </c>
      <c r="C1040">
        <v>0</v>
      </c>
      <c r="D1040">
        <v>43.86</v>
      </c>
      <c r="E1040">
        <v>2.7709999999999999</v>
      </c>
      <c r="F1040">
        <v>215.25387140000001</v>
      </c>
      <c r="G1040">
        <v>885608.04</v>
      </c>
      <c r="H1040" t="str">
        <f>TEXT(Ventas[[#This Row],[Fecha_venta]],"dd")</f>
        <v>19</v>
      </c>
      <c r="I1040" t="str">
        <f>TEXT(Ventas[[#This Row],[Fecha_venta]],"m")</f>
        <v>11</v>
      </c>
      <c r="J1040" t="str">
        <f>TEXT(Ventas[[#This Row],[Fecha_venta]],"yyyy")</f>
        <v>2010</v>
      </c>
    </row>
    <row r="1041" spans="1:10" x14ac:dyDescent="0.25">
      <c r="A1041">
        <v>8</v>
      </c>
      <c r="B1041" s="1">
        <v>40508</v>
      </c>
      <c r="C1041">
        <v>1</v>
      </c>
      <c r="D1041">
        <v>51.07</v>
      </c>
      <c r="E1041">
        <v>2.7349999999999999</v>
      </c>
      <c r="F1041">
        <v>215.10775480000001</v>
      </c>
      <c r="G1041">
        <v>1261693.1599999999</v>
      </c>
      <c r="H1041" t="str">
        <f>TEXT(Ventas[[#This Row],[Fecha_venta]],"dd")</f>
        <v>26</v>
      </c>
      <c r="I1041" t="str">
        <f>TEXT(Ventas[[#This Row],[Fecha_venta]],"m")</f>
        <v>11</v>
      </c>
      <c r="J1041" t="str">
        <f>TEXT(Ventas[[#This Row],[Fecha_venta]],"yyyy")</f>
        <v>2010</v>
      </c>
    </row>
    <row r="1042" spans="1:10" x14ac:dyDescent="0.25">
      <c r="A1042">
        <v>8</v>
      </c>
      <c r="B1042" s="1">
        <v>40515</v>
      </c>
      <c r="C1042">
        <v>0</v>
      </c>
      <c r="D1042">
        <v>42.85</v>
      </c>
      <c r="E1042">
        <v>2.7080000000000002</v>
      </c>
      <c r="F1042">
        <v>214.96163809999999</v>
      </c>
      <c r="G1042">
        <v>952766.93</v>
      </c>
      <c r="H1042" t="str">
        <f>TEXT(Ventas[[#This Row],[Fecha_venta]],"dd")</f>
        <v>03</v>
      </c>
      <c r="I1042" t="str">
        <f>TEXT(Ventas[[#This Row],[Fecha_venta]],"m")</f>
        <v>12</v>
      </c>
      <c r="J1042" t="str">
        <f>TEXT(Ventas[[#This Row],[Fecha_venta]],"yyyy")</f>
        <v>2010</v>
      </c>
    </row>
    <row r="1043" spans="1:10" x14ac:dyDescent="0.25">
      <c r="A1043">
        <v>8</v>
      </c>
      <c r="B1043" s="1">
        <v>40522</v>
      </c>
      <c r="C1043">
        <v>0</v>
      </c>
      <c r="D1043">
        <v>42.47</v>
      </c>
      <c r="E1043">
        <v>2.843</v>
      </c>
      <c r="F1043">
        <v>214.81552139999999</v>
      </c>
      <c r="G1043">
        <v>1069061.6299999999</v>
      </c>
      <c r="H1043" t="str">
        <f>TEXT(Ventas[[#This Row],[Fecha_venta]],"dd")</f>
        <v>10</v>
      </c>
      <c r="I1043" t="str">
        <f>TEXT(Ventas[[#This Row],[Fecha_venta]],"m")</f>
        <v>12</v>
      </c>
      <c r="J1043" t="str">
        <f>TEXT(Ventas[[#This Row],[Fecha_venta]],"yyyy")</f>
        <v>2010</v>
      </c>
    </row>
    <row r="1044" spans="1:10" x14ac:dyDescent="0.25">
      <c r="A1044">
        <v>8</v>
      </c>
      <c r="B1044" s="1">
        <v>40529</v>
      </c>
      <c r="C1044">
        <v>0</v>
      </c>
      <c r="D1044">
        <v>45.03</v>
      </c>
      <c r="E1044">
        <v>2.8690000000000002</v>
      </c>
      <c r="F1044">
        <v>214.7510843</v>
      </c>
      <c r="G1044">
        <v>1220579.55</v>
      </c>
      <c r="H1044" t="str">
        <f>TEXT(Ventas[[#This Row],[Fecha_venta]],"dd")</f>
        <v>17</v>
      </c>
      <c r="I1044" t="str">
        <f>TEXT(Ventas[[#This Row],[Fecha_venta]],"m")</f>
        <v>12</v>
      </c>
      <c r="J1044" t="str">
        <f>TEXT(Ventas[[#This Row],[Fecha_venta]],"yyyy")</f>
        <v>2010</v>
      </c>
    </row>
    <row r="1045" spans="1:10" x14ac:dyDescent="0.25">
      <c r="A1045">
        <v>8</v>
      </c>
      <c r="B1045" s="1">
        <v>40536</v>
      </c>
      <c r="C1045">
        <v>0</v>
      </c>
      <c r="D1045">
        <v>45.67</v>
      </c>
      <c r="E1045">
        <v>2.8860000000000001</v>
      </c>
      <c r="F1045">
        <v>214.7479069</v>
      </c>
      <c r="G1045">
        <v>1511641.09</v>
      </c>
      <c r="H1045" t="str">
        <f>TEXT(Ventas[[#This Row],[Fecha_venta]],"dd")</f>
        <v>24</v>
      </c>
      <c r="I1045" t="str">
        <f>TEXT(Ventas[[#This Row],[Fecha_venta]],"m")</f>
        <v>12</v>
      </c>
      <c r="J1045" t="str">
        <f>TEXT(Ventas[[#This Row],[Fecha_venta]],"yyyy")</f>
        <v>2010</v>
      </c>
    </row>
    <row r="1046" spans="1:10" x14ac:dyDescent="0.25">
      <c r="A1046">
        <v>8</v>
      </c>
      <c r="B1046" s="1">
        <v>40543</v>
      </c>
      <c r="C1046">
        <v>1</v>
      </c>
      <c r="D1046">
        <v>41.47</v>
      </c>
      <c r="E1046">
        <v>2.9430000000000001</v>
      </c>
      <c r="F1046">
        <v>214.74472950000001</v>
      </c>
      <c r="G1046">
        <v>773586.49</v>
      </c>
      <c r="H1046" t="str">
        <f>TEXT(Ventas[[#This Row],[Fecha_venta]],"dd")</f>
        <v>31</v>
      </c>
      <c r="I1046" t="str">
        <f>TEXT(Ventas[[#This Row],[Fecha_venta]],"m")</f>
        <v>12</v>
      </c>
      <c r="J1046" t="str">
        <f>TEXT(Ventas[[#This Row],[Fecha_venta]],"yyyy")</f>
        <v>2010</v>
      </c>
    </row>
    <row r="1047" spans="1:10" x14ac:dyDescent="0.25">
      <c r="A1047">
        <v>8</v>
      </c>
      <c r="B1047" s="1">
        <v>40550</v>
      </c>
      <c r="C1047">
        <v>0</v>
      </c>
      <c r="D1047">
        <v>35.770000000000003</v>
      </c>
      <c r="E1047">
        <v>2.976</v>
      </c>
      <c r="F1047">
        <v>214.74155210000001</v>
      </c>
      <c r="G1047">
        <v>873065.23</v>
      </c>
      <c r="H1047" t="str">
        <f>TEXT(Ventas[[#This Row],[Fecha_venta]],"dd")</f>
        <v>07</v>
      </c>
      <c r="I1047" t="str">
        <f>TEXT(Ventas[[#This Row],[Fecha_venta]],"m")</f>
        <v>1</v>
      </c>
      <c r="J1047" t="str">
        <f>TEXT(Ventas[[#This Row],[Fecha_venta]],"yyyy")</f>
        <v>2011</v>
      </c>
    </row>
    <row r="1048" spans="1:10" x14ac:dyDescent="0.25">
      <c r="A1048">
        <v>8</v>
      </c>
      <c r="B1048" s="1">
        <v>40557</v>
      </c>
      <c r="C1048">
        <v>0</v>
      </c>
      <c r="D1048">
        <v>31.62</v>
      </c>
      <c r="E1048">
        <v>2.9830000000000001</v>
      </c>
      <c r="F1048">
        <v>214.79309910000001</v>
      </c>
      <c r="G1048">
        <v>809646.66</v>
      </c>
      <c r="H1048" t="str">
        <f>TEXT(Ventas[[#This Row],[Fecha_venta]],"dd")</f>
        <v>14</v>
      </c>
      <c r="I1048" t="str">
        <f>TEXT(Ventas[[#This Row],[Fecha_venta]],"m")</f>
        <v>1</v>
      </c>
      <c r="J1048" t="str">
        <f>TEXT(Ventas[[#This Row],[Fecha_venta]],"yyyy")</f>
        <v>2011</v>
      </c>
    </row>
    <row r="1049" spans="1:10" x14ac:dyDescent="0.25">
      <c r="A1049">
        <v>8</v>
      </c>
      <c r="B1049" s="1">
        <v>40564</v>
      </c>
      <c r="C1049">
        <v>0</v>
      </c>
      <c r="D1049">
        <v>42.06</v>
      </c>
      <c r="E1049">
        <v>3.016</v>
      </c>
      <c r="F1049">
        <v>215.17299259999999</v>
      </c>
      <c r="G1049">
        <v>822668.23</v>
      </c>
      <c r="H1049" t="str">
        <f>TEXT(Ventas[[#This Row],[Fecha_venta]],"dd")</f>
        <v>21</v>
      </c>
      <c r="I1049" t="str">
        <f>TEXT(Ventas[[#This Row],[Fecha_venta]],"m")</f>
        <v>1</v>
      </c>
      <c r="J1049" t="str">
        <f>TEXT(Ventas[[#This Row],[Fecha_venta]],"yyyy")</f>
        <v>2011</v>
      </c>
    </row>
    <row r="1050" spans="1:10" x14ac:dyDescent="0.25">
      <c r="A1050">
        <v>8</v>
      </c>
      <c r="B1050" s="1">
        <v>40571</v>
      </c>
      <c r="C1050">
        <v>0</v>
      </c>
      <c r="D1050">
        <v>39.26</v>
      </c>
      <c r="E1050">
        <v>3.01</v>
      </c>
      <c r="F1050">
        <v>215.55288619999999</v>
      </c>
      <c r="G1050">
        <v>782256.66</v>
      </c>
      <c r="H1050" t="str">
        <f>TEXT(Ventas[[#This Row],[Fecha_venta]],"dd")</f>
        <v>28</v>
      </c>
      <c r="I1050" t="str">
        <f>TEXT(Ventas[[#This Row],[Fecha_venta]],"m")</f>
        <v>1</v>
      </c>
      <c r="J1050" t="str">
        <f>TEXT(Ventas[[#This Row],[Fecha_venta]],"yyyy")</f>
        <v>2011</v>
      </c>
    </row>
    <row r="1051" spans="1:10" x14ac:dyDescent="0.25">
      <c r="A1051">
        <v>8</v>
      </c>
      <c r="B1051" s="1">
        <v>40578</v>
      </c>
      <c r="C1051">
        <v>0</v>
      </c>
      <c r="D1051">
        <v>24.48</v>
      </c>
      <c r="E1051">
        <v>2.9889999999999999</v>
      </c>
      <c r="F1051">
        <v>215.9327797</v>
      </c>
      <c r="G1051">
        <v>944594.78</v>
      </c>
      <c r="H1051" t="str">
        <f>TEXT(Ventas[[#This Row],[Fecha_venta]],"dd")</f>
        <v>04</v>
      </c>
      <c r="I1051" t="str">
        <f>TEXT(Ventas[[#This Row],[Fecha_venta]],"m")</f>
        <v>2</v>
      </c>
      <c r="J1051" t="str">
        <f>TEXT(Ventas[[#This Row],[Fecha_venta]],"yyyy")</f>
        <v>2011</v>
      </c>
    </row>
    <row r="1052" spans="1:10" x14ac:dyDescent="0.25">
      <c r="A1052">
        <v>8</v>
      </c>
      <c r="B1052" s="1">
        <v>40585</v>
      </c>
      <c r="C1052">
        <v>1</v>
      </c>
      <c r="D1052">
        <v>28.26</v>
      </c>
      <c r="E1052">
        <v>3.0219999999999998</v>
      </c>
      <c r="F1052">
        <v>216.3126733</v>
      </c>
      <c r="G1052">
        <v>996147.39</v>
      </c>
      <c r="H1052" t="str">
        <f>TEXT(Ventas[[#This Row],[Fecha_venta]],"dd")</f>
        <v>11</v>
      </c>
      <c r="I1052" t="str">
        <f>TEXT(Ventas[[#This Row],[Fecha_venta]],"m")</f>
        <v>2</v>
      </c>
      <c r="J1052" t="str">
        <f>TEXT(Ventas[[#This Row],[Fecha_venta]],"yyyy")</f>
        <v>2011</v>
      </c>
    </row>
    <row r="1053" spans="1:10" x14ac:dyDescent="0.25">
      <c r="A1053">
        <v>8</v>
      </c>
      <c r="B1053" s="1">
        <v>40592</v>
      </c>
      <c r="C1053">
        <v>0</v>
      </c>
      <c r="D1053">
        <v>50.64</v>
      </c>
      <c r="E1053">
        <v>3.0449999999999999</v>
      </c>
      <c r="F1053">
        <v>216.6310383</v>
      </c>
      <c r="G1053">
        <v>1065108.6399999999</v>
      </c>
      <c r="H1053" t="str">
        <f>TEXT(Ventas[[#This Row],[Fecha_venta]],"dd")</f>
        <v>18</v>
      </c>
      <c r="I1053" t="str">
        <f>TEXT(Ventas[[#This Row],[Fecha_venta]],"m")</f>
        <v>2</v>
      </c>
      <c r="J1053" t="str">
        <f>TEXT(Ventas[[#This Row],[Fecha_venta]],"yyyy")</f>
        <v>2011</v>
      </c>
    </row>
    <row r="1054" spans="1:10" x14ac:dyDescent="0.25">
      <c r="A1054">
        <v>8</v>
      </c>
      <c r="B1054" s="1">
        <v>40599</v>
      </c>
      <c r="C1054">
        <v>0</v>
      </c>
      <c r="D1054">
        <v>51.29</v>
      </c>
      <c r="E1054">
        <v>3.0649999999999999</v>
      </c>
      <c r="F1054">
        <v>216.92479180000001</v>
      </c>
      <c r="G1054">
        <v>917317.15</v>
      </c>
      <c r="H1054" t="str">
        <f>TEXT(Ventas[[#This Row],[Fecha_venta]],"dd")</f>
        <v>25</v>
      </c>
      <c r="I1054" t="str">
        <f>TEXT(Ventas[[#This Row],[Fecha_venta]],"m")</f>
        <v>2</v>
      </c>
      <c r="J1054" t="str">
        <f>TEXT(Ventas[[#This Row],[Fecha_venta]],"yyyy")</f>
        <v>2011</v>
      </c>
    </row>
    <row r="1055" spans="1:10" x14ac:dyDescent="0.25">
      <c r="A1055">
        <v>8</v>
      </c>
      <c r="B1055" s="1">
        <v>40606</v>
      </c>
      <c r="C1055">
        <v>0</v>
      </c>
      <c r="D1055">
        <v>53.18</v>
      </c>
      <c r="E1055">
        <v>3.2879999999999998</v>
      </c>
      <c r="F1055">
        <v>217.21854540000001</v>
      </c>
      <c r="G1055">
        <v>935266.43</v>
      </c>
      <c r="H1055" t="str">
        <f>TEXT(Ventas[[#This Row],[Fecha_venta]],"dd")</f>
        <v>04</v>
      </c>
      <c r="I1055" t="str">
        <f>TEXT(Ventas[[#This Row],[Fecha_venta]],"m")</f>
        <v>3</v>
      </c>
      <c r="J1055" t="str">
        <f>TEXT(Ventas[[#This Row],[Fecha_venta]],"yyyy")</f>
        <v>2011</v>
      </c>
    </row>
    <row r="1056" spans="1:10" x14ac:dyDescent="0.25">
      <c r="A1056">
        <v>8</v>
      </c>
      <c r="B1056" s="1">
        <v>40613</v>
      </c>
      <c r="C1056">
        <v>0</v>
      </c>
      <c r="D1056">
        <v>49.14</v>
      </c>
      <c r="E1056">
        <v>3.4590000000000001</v>
      </c>
      <c r="F1056">
        <v>217.51229900000001</v>
      </c>
      <c r="G1056">
        <v>900387.29</v>
      </c>
      <c r="H1056" t="str">
        <f>TEXT(Ventas[[#This Row],[Fecha_venta]],"dd")</f>
        <v>11</v>
      </c>
      <c r="I1056" t="str">
        <f>TEXT(Ventas[[#This Row],[Fecha_venta]],"m")</f>
        <v>3</v>
      </c>
      <c r="J1056" t="str">
        <f>TEXT(Ventas[[#This Row],[Fecha_venta]],"yyyy")</f>
        <v>2011</v>
      </c>
    </row>
    <row r="1057" spans="1:10" x14ac:dyDescent="0.25">
      <c r="A1057">
        <v>8</v>
      </c>
      <c r="B1057" s="1">
        <v>40620</v>
      </c>
      <c r="C1057">
        <v>0</v>
      </c>
      <c r="D1057">
        <v>56.68</v>
      </c>
      <c r="E1057">
        <v>3.488</v>
      </c>
      <c r="F1057">
        <v>217.77054419999999</v>
      </c>
      <c r="G1057">
        <v>898289.14</v>
      </c>
      <c r="H1057" t="str">
        <f>TEXT(Ventas[[#This Row],[Fecha_venta]],"dd")</f>
        <v>18</v>
      </c>
      <c r="I1057" t="str">
        <f>TEXT(Ventas[[#This Row],[Fecha_venta]],"m")</f>
        <v>3</v>
      </c>
      <c r="J1057" t="str">
        <f>TEXT(Ventas[[#This Row],[Fecha_venta]],"yyyy")</f>
        <v>2011</v>
      </c>
    </row>
    <row r="1058" spans="1:10" x14ac:dyDescent="0.25">
      <c r="A1058">
        <v>8</v>
      </c>
      <c r="B1058" s="1">
        <v>40627</v>
      </c>
      <c r="C1058">
        <v>0</v>
      </c>
      <c r="D1058">
        <v>59.74</v>
      </c>
      <c r="E1058">
        <v>3.4729999999999999</v>
      </c>
      <c r="F1058">
        <v>218.0145862</v>
      </c>
      <c r="G1058">
        <v>827968.36</v>
      </c>
      <c r="H1058" t="str">
        <f>TEXT(Ventas[[#This Row],[Fecha_venta]],"dd")</f>
        <v>25</v>
      </c>
      <c r="I1058" t="str">
        <f>TEXT(Ventas[[#This Row],[Fecha_venta]],"m")</f>
        <v>3</v>
      </c>
      <c r="J1058" t="str">
        <f>TEXT(Ventas[[#This Row],[Fecha_venta]],"yyyy")</f>
        <v>2011</v>
      </c>
    </row>
    <row r="1059" spans="1:10" x14ac:dyDescent="0.25">
      <c r="A1059">
        <v>8</v>
      </c>
      <c r="B1059" s="1">
        <v>40634</v>
      </c>
      <c r="C1059">
        <v>0</v>
      </c>
      <c r="D1059">
        <v>49.86</v>
      </c>
      <c r="E1059">
        <v>3.524</v>
      </c>
      <c r="F1059">
        <v>218.25862810000001</v>
      </c>
      <c r="G1059">
        <v>878762.3</v>
      </c>
      <c r="H1059" t="str">
        <f>TEXT(Ventas[[#This Row],[Fecha_venta]],"dd")</f>
        <v>01</v>
      </c>
      <c r="I1059" t="str">
        <f>TEXT(Ventas[[#This Row],[Fecha_venta]],"m")</f>
        <v>4</v>
      </c>
      <c r="J1059" t="str">
        <f>TEXT(Ventas[[#This Row],[Fecha_venta]],"yyyy")</f>
        <v>2011</v>
      </c>
    </row>
    <row r="1060" spans="1:10" x14ac:dyDescent="0.25">
      <c r="A1060">
        <v>8</v>
      </c>
      <c r="B1060" s="1">
        <v>40641</v>
      </c>
      <c r="C1060">
        <v>0</v>
      </c>
      <c r="D1060">
        <v>65.62</v>
      </c>
      <c r="E1060">
        <v>3.6219999999999999</v>
      </c>
      <c r="F1060">
        <v>218.50266999999999</v>
      </c>
      <c r="G1060">
        <v>949825.83</v>
      </c>
      <c r="H1060" t="str">
        <f>TEXT(Ventas[[#This Row],[Fecha_venta]],"dd")</f>
        <v>08</v>
      </c>
      <c r="I1060" t="str">
        <f>TEXT(Ventas[[#This Row],[Fecha_venta]],"m")</f>
        <v>4</v>
      </c>
      <c r="J1060" t="str">
        <f>TEXT(Ventas[[#This Row],[Fecha_venta]],"yyyy")</f>
        <v>2011</v>
      </c>
    </row>
    <row r="1061" spans="1:10" x14ac:dyDescent="0.25">
      <c r="A1061">
        <v>8</v>
      </c>
      <c r="B1061" s="1">
        <v>40648</v>
      </c>
      <c r="C1061">
        <v>0</v>
      </c>
      <c r="D1061">
        <v>63.55</v>
      </c>
      <c r="E1061">
        <v>3.7429999999999999</v>
      </c>
      <c r="F1061">
        <v>218.72625239999999</v>
      </c>
      <c r="G1061">
        <v>908278.74</v>
      </c>
      <c r="H1061" t="str">
        <f>TEXT(Ventas[[#This Row],[Fecha_venta]],"dd")</f>
        <v>15</v>
      </c>
      <c r="I1061" t="str">
        <f>TEXT(Ventas[[#This Row],[Fecha_venta]],"m")</f>
        <v>4</v>
      </c>
      <c r="J1061" t="str">
        <f>TEXT(Ventas[[#This Row],[Fecha_venta]],"yyyy")</f>
        <v>2011</v>
      </c>
    </row>
    <row r="1062" spans="1:10" x14ac:dyDescent="0.25">
      <c r="A1062">
        <v>8</v>
      </c>
      <c r="B1062" s="1">
        <v>40655</v>
      </c>
      <c r="C1062">
        <v>0</v>
      </c>
      <c r="D1062">
        <v>65.11</v>
      </c>
      <c r="E1062">
        <v>3.8069999999999999</v>
      </c>
      <c r="F1062">
        <v>218.89868569999999</v>
      </c>
      <c r="G1062">
        <v>937473.13</v>
      </c>
      <c r="H1062" t="str">
        <f>TEXT(Ventas[[#This Row],[Fecha_venta]],"dd")</f>
        <v>22</v>
      </c>
      <c r="I1062" t="str">
        <f>TEXT(Ventas[[#This Row],[Fecha_venta]],"m")</f>
        <v>4</v>
      </c>
      <c r="J1062" t="str">
        <f>TEXT(Ventas[[#This Row],[Fecha_venta]],"yyyy")</f>
        <v>2011</v>
      </c>
    </row>
    <row r="1063" spans="1:10" x14ac:dyDescent="0.25">
      <c r="A1063">
        <v>8</v>
      </c>
      <c r="B1063" s="1">
        <v>40662</v>
      </c>
      <c r="C1063">
        <v>0</v>
      </c>
      <c r="D1063">
        <v>62.29</v>
      </c>
      <c r="E1063">
        <v>3.81</v>
      </c>
      <c r="F1063">
        <v>219.07111900000001</v>
      </c>
      <c r="G1063">
        <v>855014.77</v>
      </c>
      <c r="H1063" t="str">
        <f>TEXT(Ventas[[#This Row],[Fecha_venta]],"dd")</f>
        <v>29</v>
      </c>
      <c r="I1063" t="str">
        <f>TEXT(Ventas[[#This Row],[Fecha_venta]],"m")</f>
        <v>4</v>
      </c>
      <c r="J1063" t="str">
        <f>TEXT(Ventas[[#This Row],[Fecha_venta]],"yyyy")</f>
        <v>2011</v>
      </c>
    </row>
    <row r="1064" spans="1:10" x14ac:dyDescent="0.25">
      <c r="A1064">
        <v>8</v>
      </c>
      <c r="B1064" s="1">
        <v>40669</v>
      </c>
      <c r="C1064">
        <v>0</v>
      </c>
      <c r="D1064">
        <v>58.92</v>
      </c>
      <c r="E1064">
        <v>3.9060000000000001</v>
      </c>
      <c r="F1064">
        <v>219.2435524</v>
      </c>
      <c r="G1064">
        <v>941457.34</v>
      </c>
      <c r="H1064" t="str">
        <f>TEXT(Ventas[[#This Row],[Fecha_venta]],"dd")</f>
        <v>06</v>
      </c>
      <c r="I1064" t="str">
        <f>TEXT(Ventas[[#This Row],[Fecha_venta]],"m")</f>
        <v>5</v>
      </c>
      <c r="J1064" t="str">
        <f>TEXT(Ventas[[#This Row],[Fecha_venta]],"yyyy")</f>
        <v>2011</v>
      </c>
    </row>
    <row r="1065" spans="1:10" x14ac:dyDescent="0.25">
      <c r="A1065">
        <v>8</v>
      </c>
      <c r="B1065" s="1">
        <v>40676</v>
      </c>
      <c r="C1065">
        <v>0</v>
      </c>
      <c r="D1065">
        <v>72.959999999999994</v>
      </c>
      <c r="E1065">
        <v>3.899</v>
      </c>
      <c r="F1065">
        <v>219.41598569999999</v>
      </c>
      <c r="G1065">
        <v>895763.41</v>
      </c>
      <c r="H1065" t="str">
        <f>TEXT(Ventas[[#This Row],[Fecha_venta]],"dd")</f>
        <v>13</v>
      </c>
      <c r="I1065" t="str">
        <f>TEXT(Ventas[[#This Row],[Fecha_venta]],"m")</f>
        <v>5</v>
      </c>
      <c r="J1065" t="str">
        <f>TEXT(Ventas[[#This Row],[Fecha_venta]],"yyyy")</f>
        <v>2011</v>
      </c>
    </row>
    <row r="1066" spans="1:10" x14ac:dyDescent="0.25">
      <c r="A1066">
        <v>8</v>
      </c>
      <c r="B1066" s="1">
        <v>40683</v>
      </c>
      <c r="C1066">
        <v>0</v>
      </c>
      <c r="D1066">
        <v>65.540000000000006</v>
      </c>
      <c r="E1066">
        <v>3.907</v>
      </c>
      <c r="F1066">
        <v>219.17469220000001</v>
      </c>
      <c r="G1066">
        <v>836049.89</v>
      </c>
      <c r="H1066" t="str">
        <f>TEXT(Ventas[[#This Row],[Fecha_venta]],"dd")</f>
        <v>20</v>
      </c>
      <c r="I1066" t="str">
        <f>TEXT(Ventas[[#This Row],[Fecha_venta]],"m")</f>
        <v>5</v>
      </c>
      <c r="J1066" t="str">
        <f>TEXT(Ventas[[#This Row],[Fecha_venta]],"yyyy")</f>
        <v>2011</v>
      </c>
    </row>
    <row r="1067" spans="1:10" x14ac:dyDescent="0.25">
      <c r="A1067">
        <v>8</v>
      </c>
      <c r="B1067" s="1">
        <v>40690</v>
      </c>
      <c r="C1067">
        <v>0</v>
      </c>
      <c r="D1067">
        <v>73.14</v>
      </c>
      <c r="E1067">
        <v>3.786</v>
      </c>
      <c r="F1067">
        <v>218.9333986</v>
      </c>
      <c r="G1067">
        <v>857939.41</v>
      </c>
      <c r="H1067" t="str">
        <f>TEXT(Ventas[[#This Row],[Fecha_venta]],"dd")</f>
        <v>27</v>
      </c>
      <c r="I1067" t="str">
        <f>TEXT(Ventas[[#This Row],[Fecha_venta]],"m")</f>
        <v>5</v>
      </c>
      <c r="J1067" t="str">
        <f>TEXT(Ventas[[#This Row],[Fecha_venta]],"yyyy")</f>
        <v>2011</v>
      </c>
    </row>
    <row r="1068" spans="1:10" x14ac:dyDescent="0.25">
      <c r="A1068">
        <v>8</v>
      </c>
      <c r="B1068" s="1">
        <v>40697</v>
      </c>
      <c r="C1068">
        <v>0</v>
      </c>
      <c r="D1068">
        <v>82.05</v>
      </c>
      <c r="E1068">
        <v>3.6989999999999998</v>
      </c>
      <c r="F1068">
        <v>218.69210509999999</v>
      </c>
      <c r="G1068">
        <v>929222.16</v>
      </c>
      <c r="H1068" t="str">
        <f>TEXT(Ventas[[#This Row],[Fecha_venta]],"dd")</f>
        <v>03</v>
      </c>
      <c r="I1068" t="str">
        <f>TEXT(Ventas[[#This Row],[Fecha_venta]],"m")</f>
        <v>6</v>
      </c>
      <c r="J1068" t="str">
        <f>TEXT(Ventas[[#This Row],[Fecha_venta]],"yyyy")</f>
        <v>2011</v>
      </c>
    </row>
    <row r="1069" spans="1:10" x14ac:dyDescent="0.25">
      <c r="A1069">
        <v>8</v>
      </c>
      <c r="B1069" s="1">
        <v>40704</v>
      </c>
      <c r="C1069">
        <v>0</v>
      </c>
      <c r="D1069">
        <v>82.21</v>
      </c>
      <c r="E1069">
        <v>3.6480000000000001</v>
      </c>
      <c r="F1069">
        <v>218.45081149999999</v>
      </c>
      <c r="G1069">
        <v>897309.41</v>
      </c>
      <c r="H1069" t="str">
        <f>TEXT(Ventas[[#This Row],[Fecha_venta]],"dd")</f>
        <v>10</v>
      </c>
      <c r="I1069" t="str">
        <f>TEXT(Ventas[[#This Row],[Fecha_venta]],"m")</f>
        <v>6</v>
      </c>
      <c r="J1069" t="str">
        <f>TEXT(Ventas[[#This Row],[Fecha_venta]],"yyyy")</f>
        <v>2011</v>
      </c>
    </row>
    <row r="1070" spans="1:10" x14ac:dyDescent="0.25">
      <c r="A1070">
        <v>8</v>
      </c>
      <c r="B1070" s="1">
        <v>40711</v>
      </c>
      <c r="C1070">
        <v>0</v>
      </c>
      <c r="D1070">
        <v>84.73</v>
      </c>
      <c r="E1070">
        <v>3.637</v>
      </c>
      <c r="F1070">
        <v>218.4021448</v>
      </c>
      <c r="G1070">
        <v>922048.41</v>
      </c>
      <c r="H1070" t="str">
        <f>TEXT(Ventas[[#This Row],[Fecha_venta]],"dd")</f>
        <v>17</v>
      </c>
      <c r="I1070" t="str">
        <f>TEXT(Ventas[[#This Row],[Fecha_venta]],"m")</f>
        <v>6</v>
      </c>
      <c r="J1070" t="str">
        <f>TEXT(Ventas[[#This Row],[Fecha_venta]],"yyyy")</f>
        <v>2011</v>
      </c>
    </row>
    <row r="1071" spans="1:10" x14ac:dyDescent="0.25">
      <c r="A1071">
        <v>8</v>
      </c>
      <c r="B1071" s="1">
        <v>40718</v>
      </c>
      <c r="C1071">
        <v>0</v>
      </c>
      <c r="D1071">
        <v>0</v>
      </c>
      <c r="E1071">
        <v>3.5939999999999999</v>
      </c>
      <c r="F1071">
        <v>218.4979481</v>
      </c>
      <c r="G1071">
        <v>864881.24</v>
      </c>
      <c r="H1071" t="str">
        <f>TEXT(Ventas[[#This Row],[Fecha_venta]],"dd")</f>
        <v>24</v>
      </c>
      <c r="I1071" t="str">
        <f>TEXT(Ventas[[#This Row],[Fecha_venta]],"m")</f>
        <v>6</v>
      </c>
      <c r="J1071" t="str">
        <f>TEXT(Ventas[[#This Row],[Fecha_venta]],"yyyy")</f>
        <v>2011</v>
      </c>
    </row>
    <row r="1072" spans="1:10" x14ac:dyDescent="0.25">
      <c r="A1072">
        <v>8</v>
      </c>
      <c r="B1072" s="1">
        <v>40725</v>
      </c>
      <c r="C1072">
        <v>0</v>
      </c>
      <c r="D1072">
        <v>87.26</v>
      </c>
      <c r="E1072">
        <v>3.524</v>
      </c>
      <c r="F1072">
        <v>218.5937514</v>
      </c>
      <c r="G1072">
        <v>883683.35</v>
      </c>
      <c r="H1072" t="str">
        <f>TEXT(Ventas[[#This Row],[Fecha_venta]],"dd")</f>
        <v>01</v>
      </c>
      <c r="I1072" t="str">
        <f>TEXT(Ventas[[#This Row],[Fecha_venta]],"m")</f>
        <v>7</v>
      </c>
      <c r="J1072" t="str">
        <f>TEXT(Ventas[[#This Row],[Fecha_venta]],"yyyy")</f>
        <v>2011</v>
      </c>
    </row>
    <row r="1073" spans="1:10" x14ac:dyDescent="0.25">
      <c r="A1073">
        <v>8</v>
      </c>
      <c r="B1073" s="1">
        <v>40732</v>
      </c>
      <c r="C1073">
        <v>0</v>
      </c>
      <c r="D1073">
        <v>83.57</v>
      </c>
      <c r="E1073">
        <v>3.48</v>
      </c>
      <c r="F1073">
        <v>218.6895548</v>
      </c>
      <c r="G1073">
        <v>861965.12</v>
      </c>
      <c r="H1073" t="str">
        <f>TEXT(Ventas[[#This Row],[Fecha_venta]],"dd")</f>
        <v>08</v>
      </c>
      <c r="I1073" t="str">
        <f>TEXT(Ventas[[#This Row],[Fecha_venta]],"m")</f>
        <v>7</v>
      </c>
      <c r="J1073" t="str">
        <f>TEXT(Ventas[[#This Row],[Fecha_venta]],"yyyy")</f>
        <v>2011</v>
      </c>
    </row>
    <row r="1074" spans="1:10" x14ac:dyDescent="0.25">
      <c r="A1074">
        <v>8</v>
      </c>
      <c r="B1074" s="1">
        <v>40739</v>
      </c>
      <c r="C1074">
        <v>0</v>
      </c>
      <c r="D1074">
        <v>84.26</v>
      </c>
      <c r="E1074">
        <v>3.5750000000000002</v>
      </c>
      <c r="F1074">
        <v>218.77462170000001</v>
      </c>
      <c r="G1074">
        <v>849925.37</v>
      </c>
      <c r="H1074" t="str">
        <f>TEXT(Ventas[[#This Row],[Fecha_venta]],"dd")</f>
        <v>15</v>
      </c>
      <c r="I1074" t="str">
        <f>TEXT(Ventas[[#This Row],[Fecha_venta]],"m")</f>
        <v>7</v>
      </c>
      <c r="J1074" t="str">
        <f>TEXT(Ventas[[#This Row],[Fecha_venta]],"yyyy")</f>
        <v>2011</v>
      </c>
    </row>
    <row r="1075" spans="1:10" x14ac:dyDescent="0.25">
      <c r="A1075">
        <v>8</v>
      </c>
      <c r="B1075" s="1">
        <v>40746</v>
      </c>
      <c r="C1075">
        <v>0</v>
      </c>
      <c r="D1075">
        <v>85.46</v>
      </c>
      <c r="E1075">
        <v>3.6509999999999998</v>
      </c>
      <c r="F1075">
        <v>218.83284750000001</v>
      </c>
      <c r="G1075">
        <v>829902.42</v>
      </c>
      <c r="H1075" t="str">
        <f>TEXT(Ventas[[#This Row],[Fecha_venta]],"dd")</f>
        <v>22</v>
      </c>
      <c r="I1075" t="str">
        <f>TEXT(Ventas[[#This Row],[Fecha_venta]],"m")</f>
        <v>7</v>
      </c>
      <c r="J1075" t="str">
        <f>TEXT(Ventas[[#This Row],[Fecha_venta]],"yyyy")</f>
        <v>2011</v>
      </c>
    </row>
    <row r="1076" spans="1:10" x14ac:dyDescent="0.25">
      <c r="A1076">
        <v>8</v>
      </c>
      <c r="B1076" s="1">
        <v>40753</v>
      </c>
      <c r="C1076">
        <v>0</v>
      </c>
      <c r="D1076">
        <v>86.46</v>
      </c>
      <c r="E1076">
        <v>3.6819999999999999</v>
      </c>
      <c r="F1076">
        <v>218.89107329999999</v>
      </c>
      <c r="G1076">
        <v>807082.19</v>
      </c>
      <c r="H1076" t="str">
        <f>TEXT(Ventas[[#This Row],[Fecha_venta]],"dd")</f>
        <v>29</v>
      </c>
      <c r="I1076" t="str">
        <f>TEXT(Ventas[[#This Row],[Fecha_venta]],"m")</f>
        <v>7</v>
      </c>
      <c r="J1076" t="str">
        <f>TEXT(Ventas[[#This Row],[Fecha_venta]],"yyyy")</f>
        <v>2011</v>
      </c>
    </row>
    <row r="1077" spans="1:10" x14ac:dyDescent="0.25">
      <c r="A1077">
        <v>8</v>
      </c>
      <c r="B1077" s="1">
        <v>40760</v>
      </c>
      <c r="C1077">
        <v>0</v>
      </c>
      <c r="D1077">
        <v>85.15</v>
      </c>
      <c r="E1077">
        <v>3.6840000000000002</v>
      </c>
      <c r="F1077">
        <v>218.94929909999999</v>
      </c>
      <c r="G1077">
        <v>892393.77</v>
      </c>
      <c r="H1077" t="str">
        <f>TEXT(Ventas[[#This Row],[Fecha_venta]],"dd")</f>
        <v>05</v>
      </c>
      <c r="I1077" t="str">
        <f>TEXT(Ventas[[#This Row],[Fecha_venta]],"m")</f>
        <v>8</v>
      </c>
      <c r="J1077" t="str">
        <f>TEXT(Ventas[[#This Row],[Fecha_venta]],"yyyy")</f>
        <v>2011</v>
      </c>
    </row>
    <row r="1078" spans="1:10" x14ac:dyDescent="0.25">
      <c r="A1078">
        <v>8</v>
      </c>
      <c r="B1078" s="1">
        <v>40767</v>
      </c>
      <c r="C1078">
        <v>0</v>
      </c>
      <c r="D1078">
        <v>86.05</v>
      </c>
      <c r="E1078">
        <v>3.6379999999999999</v>
      </c>
      <c r="F1078">
        <v>219.00752489999999</v>
      </c>
      <c r="G1078">
        <v>856796.1</v>
      </c>
      <c r="H1078" t="str">
        <f>TEXT(Ventas[[#This Row],[Fecha_venta]],"dd")</f>
        <v>12</v>
      </c>
      <c r="I1078" t="str">
        <f>TEXT(Ventas[[#This Row],[Fecha_venta]],"m")</f>
        <v>8</v>
      </c>
      <c r="J1078" t="str">
        <f>TEXT(Ventas[[#This Row],[Fecha_venta]],"yyyy")</f>
        <v>2011</v>
      </c>
    </row>
    <row r="1079" spans="1:10" x14ac:dyDescent="0.25">
      <c r="A1079">
        <v>8</v>
      </c>
      <c r="B1079" s="1">
        <v>40774</v>
      </c>
      <c r="C1079">
        <v>0</v>
      </c>
      <c r="D1079">
        <v>82.92</v>
      </c>
      <c r="E1079">
        <v>3.5539999999999998</v>
      </c>
      <c r="F1079">
        <v>219.07019679999999</v>
      </c>
      <c r="G1079">
        <v>895066.5</v>
      </c>
      <c r="H1079" t="str">
        <f>TEXT(Ventas[[#This Row],[Fecha_venta]],"dd")</f>
        <v>19</v>
      </c>
      <c r="I1079" t="str">
        <f>TEXT(Ventas[[#This Row],[Fecha_venta]],"m")</f>
        <v>8</v>
      </c>
      <c r="J1079" t="str">
        <f>TEXT(Ventas[[#This Row],[Fecha_venta]],"yyyy")</f>
        <v>2011</v>
      </c>
    </row>
    <row r="1080" spans="1:10" x14ac:dyDescent="0.25">
      <c r="A1080">
        <v>8</v>
      </c>
      <c r="B1080" s="1">
        <v>40781</v>
      </c>
      <c r="C1080">
        <v>0</v>
      </c>
      <c r="D1080">
        <v>84.69</v>
      </c>
      <c r="E1080">
        <v>3.5230000000000001</v>
      </c>
      <c r="F1080">
        <v>219.13360969999999</v>
      </c>
      <c r="G1080">
        <v>912542.82</v>
      </c>
      <c r="H1080" t="str">
        <f>TEXT(Ventas[[#This Row],[Fecha_venta]],"dd")</f>
        <v>26</v>
      </c>
      <c r="I1080" t="str">
        <f>TEXT(Ventas[[#This Row],[Fecha_venta]],"m")</f>
        <v>8</v>
      </c>
      <c r="J1080" t="str">
        <f>TEXT(Ventas[[#This Row],[Fecha_venta]],"yyyy")</f>
        <v>2011</v>
      </c>
    </row>
    <row r="1081" spans="1:10" x14ac:dyDescent="0.25">
      <c r="A1081">
        <v>8</v>
      </c>
      <c r="B1081" s="1">
        <v>40788</v>
      </c>
      <c r="C1081">
        <v>0</v>
      </c>
      <c r="D1081">
        <v>84.77</v>
      </c>
      <c r="E1081">
        <v>3.5329999999999999</v>
      </c>
      <c r="F1081">
        <v>219.1970226</v>
      </c>
      <c r="G1081">
        <v>891387.14</v>
      </c>
      <c r="H1081" t="str">
        <f>TEXT(Ventas[[#This Row],[Fecha_venta]],"dd")</f>
        <v>02</v>
      </c>
      <c r="I1081" t="str">
        <f>TEXT(Ventas[[#This Row],[Fecha_venta]],"m")</f>
        <v>9</v>
      </c>
      <c r="J1081" t="str">
        <f>TEXT(Ventas[[#This Row],[Fecha_venta]],"yyyy")</f>
        <v>2011</v>
      </c>
    </row>
    <row r="1082" spans="1:10" x14ac:dyDescent="0.25">
      <c r="A1082">
        <v>8</v>
      </c>
      <c r="B1082" s="1">
        <v>40795</v>
      </c>
      <c r="C1082">
        <v>1</v>
      </c>
      <c r="D1082">
        <v>69.010000000000005</v>
      </c>
      <c r="E1082">
        <v>3.5459999999999998</v>
      </c>
      <c r="F1082">
        <v>219.2604355</v>
      </c>
      <c r="G1082">
        <v>848358.09</v>
      </c>
      <c r="H1082" t="str">
        <f>TEXT(Ventas[[#This Row],[Fecha_venta]],"dd")</f>
        <v>09</v>
      </c>
      <c r="I1082" t="str">
        <f>TEXT(Ventas[[#This Row],[Fecha_venta]],"m")</f>
        <v>9</v>
      </c>
      <c r="J1082" t="str">
        <f>TEXT(Ventas[[#This Row],[Fecha_venta]],"yyyy")</f>
        <v>2011</v>
      </c>
    </row>
    <row r="1083" spans="1:10" x14ac:dyDescent="0.25">
      <c r="A1083">
        <v>8</v>
      </c>
      <c r="B1083" s="1">
        <v>40802</v>
      </c>
      <c r="C1083">
        <v>0</v>
      </c>
      <c r="D1083">
        <v>69.09</v>
      </c>
      <c r="E1083">
        <v>3.5259999999999998</v>
      </c>
      <c r="F1083">
        <v>219.44424430000001</v>
      </c>
      <c r="G1083">
        <v>870971.82</v>
      </c>
      <c r="H1083" t="str">
        <f>TEXT(Ventas[[#This Row],[Fecha_venta]],"dd")</f>
        <v>16</v>
      </c>
      <c r="I1083" t="str">
        <f>TEXT(Ventas[[#This Row],[Fecha_venta]],"m")</f>
        <v>9</v>
      </c>
      <c r="J1083" t="str">
        <f>TEXT(Ventas[[#This Row],[Fecha_venta]],"yyyy")</f>
        <v>2011</v>
      </c>
    </row>
    <row r="1084" spans="1:10" x14ac:dyDescent="0.25">
      <c r="A1084">
        <v>8</v>
      </c>
      <c r="B1084" s="1">
        <v>40809</v>
      </c>
      <c r="C1084">
        <v>0</v>
      </c>
      <c r="D1084">
        <v>68.72</v>
      </c>
      <c r="E1084">
        <v>3.4670000000000001</v>
      </c>
      <c r="F1084">
        <v>219.78858099999999</v>
      </c>
      <c r="G1084">
        <v>806444.29</v>
      </c>
      <c r="H1084" t="str">
        <f>TEXT(Ventas[[#This Row],[Fecha_venta]],"dd")</f>
        <v>23</v>
      </c>
      <c r="I1084" t="str">
        <f>TEXT(Ventas[[#This Row],[Fecha_venta]],"m")</f>
        <v>9</v>
      </c>
      <c r="J1084" t="str">
        <f>TEXT(Ventas[[#This Row],[Fecha_venta]],"yyyy")</f>
        <v>2011</v>
      </c>
    </row>
    <row r="1085" spans="1:10" x14ac:dyDescent="0.25">
      <c r="A1085">
        <v>8</v>
      </c>
      <c r="B1085" s="1">
        <v>40816</v>
      </c>
      <c r="C1085">
        <v>0</v>
      </c>
      <c r="D1085">
        <v>72.2</v>
      </c>
      <c r="E1085">
        <v>3.355</v>
      </c>
      <c r="F1085">
        <v>220.13291760000001</v>
      </c>
      <c r="G1085">
        <v>809049.37</v>
      </c>
      <c r="H1085" t="str">
        <f>TEXT(Ventas[[#This Row],[Fecha_venta]],"dd")</f>
        <v>30</v>
      </c>
      <c r="I1085" t="str">
        <f>TEXT(Ventas[[#This Row],[Fecha_venta]],"m")</f>
        <v>9</v>
      </c>
      <c r="J1085" t="str">
        <f>TEXT(Ventas[[#This Row],[Fecha_venta]],"yyyy")</f>
        <v>2011</v>
      </c>
    </row>
    <row r="1086" spans="1:10" x14ac:dyDescent="0.25">
      <c r="A1086">
        <v>8</v>
      </c>
      <c r="B1086" s="1">
        <v>40823</v>
      </c>
      <c r="C1086">
        <v>0</v>
      </c>
      <c r="D1086">
        <v>67.61</v>
      </c>
      <c r="E1086">
        <v>3.2850000000000001</v>
      </c>
      <c r="F1086">
        <v>220.4772543</v>
      </c>
      <c r="G1086">
        <v>929976.55</v>
      </c>
      <c r="H1086" t="str">
        <f>TEXT(Ventas[[#This Row],[Fecha_venta]],"dd")</f>
        <v>07</v>
      </c>
      <c r="I1086" t="str">
        <f>TEXT(Ventas[[#This Row],[Fecha_venta]],"m")</f>
        <v>10</v>
      </c>
      <c r="J1086" t="str">
        <f>TEXT(Ventas[[#This Row],[Fecha_venta]],"yyyy")</f>
        <v>2011</v>
      </c>
    </row>
    <row r="1087" spans="1:10" x14ac:dyDescent="0.25">
      <c r="A1087">
        <v>8</v>
      </c>
      <c r="B1087" s="1">
        <v>40830</v>
      </c>
      <c r="C1087">
        <v>0</v>
      </c>
      <c r="D1087">
        <v>61.74</v>
      </c>
      <c r="E1087">
        <v>3.274</v>
      </c>
      <c r="F1087">
        <v>220.79609350000001</v>
      </c>
      <c r="G1087">
        <v>863188.26</v>
      </c>
      <c r="H1087" t="str">
        <f>TEXT(Ventas[[#This Row],[Fecha_venta]],"dd")</f>
        <v>14</v>
      </c>
      <c r="I1087" t="str">
        <f>TEXT(Ventas[[#This Row],[Fecha_venta]],"m")</f>
        <v>10</v>
      </c>
      <c r="J1087" t="str">
        <f>TEXT(Ventas[[#This Row],[Fecha_venta]],"yyyy")</f>
        <v>2011</v>
      </c>
    </row>
    <row r="1088" spans="1:10" x14ac:dyDescent="0.25">
      <c r="A1088">
        <v>8</v>
      </c>
      <c r="B1088" s="1">
        <v>40837</v>
      </c>
      <c r="C1088">
        <v>0</v>
      </c>
      <c r="D1088">
        <v>59.97</v>
      </c>
      <c r="E1088">
        <v>3.3530000000000002</v>
      </c>
      <c r="F1088">
        <v>220.96194840000001</v>
      </c>
      <c r="G1088">
        <v>905984.49</v>
      </c>
      <c r="H1088" t="str">
        <f>TEXT(Ventas[[#This Row],[Fecha_venta]],"dd")</f>
        <v>21</v>
      </c>
      <c r="I1088" t="str">
        <f>TEXT(Ventas[[#This Row],[Fecha_venta]],"m")</f>
        <v>10</v>
      </c>
      <c r="J1088" t="str">
        <f>TEXT(Ventas[[#This Row],[Fecha_venta]],"yyyy")</f>
        <v>2011</v>
      </c>
    </row>
    <row r="1089" spans="1:10" x14ac:dyDescent="0.25">
      <c r="A1089">
        <v>8</v>
      </c>
      <c r="B1089" s="1">
        <v>40844</v>
      </c>
      <c r="C1089">
        <v>0</v>
      </c>
      <c r="D1089">
        <v>56.86</v>
      </c>
      <c r="E1089">
        <v>3.3719999999999999</v>
      </c>
      <c r="F1089">
        <v>221.12780319999999</v>
      </c>
      <c r="G1089">
        <v>876712.31</v>
      </c>
      <c r="H1089" t="str">
        <f>TEXT(Ventas[[#This Row],[Fecha_venta]],"dd")</f>
        <v>28</v>
      </c>
      <c r="I1089" t="str">
        <f>TEXT(Ventas[[#This Row],[Fecha_venta]],"m")</f>
        <v>10</v>
      </c>
      <c r="J1089" t="str">
        <f>TEXT(Ventas[[#This Row],[Fecha_venta]],"yyyy")</f>
        <v>2011</v>
      </c>
    </row>
    <row r="1090" spans="1:10" x14ac:dyDescent="0.25">
      <c r="A1090">
        <v>8</v>
      </c>
      <c r="B1090" s="1">
        <v>40851</v>
      </c>
      <c r="C1090">
        <v>0</v>
      </c>
      <c r="D1090">
        <v>49.68</v>
      </c>
      <c r="E1090">
        <v>3.3319999999999999</v>
      </c>
      <c r="F1090">
        <v>221.29365809999999</v>
      </c>
      <c r="G1090">
        <v>947815.05</v>
      </c>
      <c r="H1090" t="str">
        <f>TEXT(Ventas[[#This Row],[Fecha_venta]],"dd")</f>
        <v>04</v>
      </c>
      <c r="I1090" t="str">
        <f>TEXT(Ventas[[#This Row],[Fecha_venta]],"m")</f>
        <v>11</v>
      </c>
      <c r="J1090" t="str">
        <f>TEXT(Ventas[[#This Row],[Fecha_venta]],"yyyy")</f>
        <v>2011</v>
      </c>
    </row>
    <row r="1091" spans="1:10" x14ac:dyDescent="0.25">
      <c r="A1091">
        <v>8</v>
      </c>
      <c r="B1091" s="1">
        <v>40858</v>
      </c>
      <c r="C1091">
        <v>0</v>
      </c>
      <c r="D1091">
        <v>50.56</v>
      </c>
      <c r="E1091">
        <v>3.2970000000000002</v>
      </c>
      <c r="F1091">
        <v>221.45951289999999</v>
      </c>
      <c r="G1091">
        <v>917088.48</v>
      </c>
      <c r="H1091" t="str">
        <f>TEXT(Ventas[[#This Row],[Fecha_venta]],"dd")</f>
        <v>11</v>
      </c>
      <c r="I1091" t="str">
        <f>TEXT(Ventas[[#This Row],[Fecha_venta]],"m")</f>
        <v>11</v>
      </c>
      <c r="J1091" t="str">
        <f>TEXT(Ventas[[#This Row],[Fecha_venta]],"yyyy")</f>
        <v>2011</v>
      </c>
    </row>
    <row r="1092" spans="1:10" x14ac:dyDescent="0.25">
      <c r="A1092">
        <v>8</v>
      </c>
      <c r="B1092" s="1">
        <v>40865</v>
      </c>
      <c r="C1092">
        <v>0</v>
      </c>
      <c r="D1092">
        <v>51.72</v>
      </c>
      <c r="E1092">
        <v>3.3079999999999998</v>
      </c>
      <c r="F1092">
        <v>221.6911738</v>
      </c>
      <c r="G1092">
        <v>897032.19</v>
      </c>
      <c r="H1092" t="str">
        <f>TEXT(Ventas[[#This Row],[Fecha_venta]],"dd")</f>
        <v>18</v>
      </c>
      <c r="I1092" t="str">
        <f>TEXT(Ventas[[#This Row],[Fecha_venta]],"m")</f>
        <v>11</v>
      </c>
      <c r="J1092" t="str">
        <f>TEXT(Ventas[[#This Row],[Fecha_venta]],"yyyy")</f>
        <v>2011</v>
      </c>
    </row>
    <row r="1093" spans="1:10" x14ac:dyDescent="0.25">
      <c r="A1093">
        <v>8</v>
      </c>
      <c r="B1093" s="1">
        <v>40872</v>
      </c>
      <c r="C1093">
        <v>1</v>
      </c>
      <c r="D1093">
        <v>49.61</v>
      </c>
      <c r="E1093">
        <v>3.2360000000000002</v>
      </c>
      <c r="F1093">
        <v>221.94915710000001</v>
      </c>
      <c r="G1093">
        <v>1235163.8600000001</v>
      </c>
      <c r="H1093" t="str">
        <f>TEXT(Ventas[[#This Row],[Fecha_venta]],"dd")</f>
        <v>25</v>
      </c>
      <c r="I1093" t="str">
        <f>TEXT(Ventas[[#This Row],[Fecha_venta]],"m")</f>
        <v>11</v>
      </c>
      <c r="J1093" t="str">
        <f>TEXT(Ventas[[#This Row],[Fecha_venta]],"yyyy")</f>
        <v>2011</v>
      </c>
    </row>
    <row r="1094" spans="1:10" x14ac:dyDescent="0.25">
      <c r="A1094">
        <v>8</v>
      </c>
      <c r="B1094" s="1">
        <v>40879</v>
      </c>
      <c r="C1094">
        <v>0</v>
      </c>
      <c r="D1094">
        <v>40.82</v>
      </c>
      <c r="E1094">
        <v>3.1720000000000002</v>
      </c>
      <c r="F1094">
        <v>222.20714050000001</v>
      </c>
      <c r="G1094">
        <v>986601.46</v>
      </c>
      <c r="H1094" t="str">
        <f>TEXT(Ventas[[#This Row],[Fecha_venta]],"dd")</f>
        <v>02</v>
      </c>
      <c r="I1094" t="str">
        <f>TEXT(Ventas[[#This Row],[Fecha_venta]],"m")</f>
        <v>12</v>
      </c>
      <c r="J1094" t="str">
        <f>TEXT(Ventas[[#This Row],[Fecha_venta]],"yyyy")</f>
        <v>2011</v>
      </c>
    </row>
    <row r="1095" spans="1:10" x14ac:dyDescent="0.25">
      <c r="A1095">
        <v>8</v>
      </c>
      <c r="B1095" s="1">
        <v>40886</v>
      </c>
      <c r="C1095">
        <v>0</v>
      </c>
      <c r="D1095">
        <v>30.51</v>
      </c>
      <c r="E1095">
        <v>3.1579999999999999</v>
      </c>
      <c r="F1095">
        <v>222.46512379999999</v>
      </c>
      <c r="G1095">
        <v>1051922.95</v>
      </c>
      <c r="H1095" t="str">
        <f>TEXT(Ventas[[#This Row],[Fecha_venta]],"dd")</f>
        <v>09</v>
      </c>
      <c r="I1095" t="str">
        <f>TEXT(Ventas[[#This Row],[Fecha_venta]],"m")</f>
        <v>12</v>
      </c>
      <c r="J1095" t="str">
        <f>TEXT(Ventas[[#This Row],[Fecha_venta]],"yyyy")</f>
        <v>2011</v>
      </c>
    </row>
    <row r="1096" spans="1:10" x14ac:dyDescent="0.25">
      <c r="A1096">
        <v>8</v>
      </c>
      <c r="B1096" s="1">
        <v>40893</v>
      </c>
      <c r="C1096">
        <v>0</v>
      </c>
      <c r="D1096">
        <v>39.79</v>
      </c>
      <c r="E1096">
        <v>3.1589999999999998</v>
      </c>
      <c r="F1096">
        <v>222.69109589999999</v>
      </c>
      <c r="G1096">
        <v>1118163.94</v>
      </c>
      <c r="H1096" t="str">
        <f>TEXT(Ventas[[#This Row],[Fecha_venta]],"dd")</f>
        <v>16</v>
      </c>
      <c r="I1096" t="str">
        <f>TEXT(Ventas[[#This Row],[Fecha_venta]],"m")</f>
        <v>12</v>
      </c>
      <c r="J1096" t="str">
        <f>TEXT(Ventas[[#This Row],[Fecha_venta]],"yyyy")</f>
        <v>2011</v>
      </c>
    </row>
    <row r="1097" spans="1:10" x14ac:dyDescent="0.25">
      <c r="A1097">
        <v>8</v>
      </c>
      <c r="B1097" s="1">
        <v>40900</v>
      </c>
      <c r="C1097">
        <v>0</v>
      </c>
      <c r="D1097">
        <v>38.159999999999997</v>
      </c>
      <c r="E1097">
        <v>3.1120000000000001</v>
      </c>
      <c r="F1097">
        <v>222.8743862</v>
      </c>
      <c r="G1097">
        <v>1462254.05</v>
      </c>
      <c r="H1097" t="str">
        <f>TEXT(Ventas[[#This Row],[Fecha_venta]],"dd")</f>
        <v>23</v>
      </c>
      <c r="I1097" t="str">
        <f>TEXT(Ventas[[#This Row],[Fecha_venta]],"m")</f>
        <v>12</v>
      </c>
      <c r="J1097" t="str">
        <f>TEXT(Ventas[[#This Row],[Fecha_venta]],"yyyy")</f>
        <v>2011</v>
      </c>
    </row>
    <row r="1098" spans="1:10" x14ac:dyDescent="0.25">
      <c r="A1098">
        <v>8</v>
      </c>
      <c r="B1098" s="1">
        <v>40907</v>
      </c>
      <c r="C1098">
        <v>1</v>
      </c>
      <c r="D1098">
        <v>36.33</v>
      </c>
      <c r="E1098">
        <v>3.129</v>
      </c>
      <c r="F1098">
        <v>223.05767650000001</v>
      </c>
      <c r="G1098">
        <v>858572.22</v>
      </c>
      <c r="H1098" t="str">
        <f>TEXT(Ventas[[#This Row],[Fecha_venta]],"dd")</f>
        <v>30</v>
      </c>
      <c r="I1098" t="str">
        <f>TEXT(Ventas[[#This Row],[Fecha_venta]],"m")</f>
        <v>12</v>
      </c>
      <c r="J1098" t="str">
        <f>TEXT(Ventas[[#This Row],[Fecha_venta]],"yyyy")</f>
        <v>2011</v>
      </c>
    </row>
    <row r="1099" spans="1:10" x14ac:dyDescent="0.25">
      <c r="A1099">
        <v>8</v>
      </c>
      <c r="B1099" s="1">
        <v>40914</v>
      </c>
      <c r="C1099">
        <v>0</v>
      </c>
      <c r="D1099">
        <v>43.47</v>
      </c>
      <c r="E1099">
        <v>3.157</v>
      </c>
      <c r="F1099">
        <v>223.2409668</v>
      </c>
      <c r="G1099">
        <v>872113.23</v>
      </c>
      <c r="H1099" t="str">
        <f>TEXT(Ventas[[#This Row],[Fecha_venta]],"dd")</f>
        <v>06</v>
      </c>
      <c r="I1099" t="str">
        <f>TEXT(Ventas[[#This Row],[Fecha_venta]],"m")</f>
        <v>1</v>
      </c>
      <c r="J1099" t="str">
        <f>TEXT(Ventas[[#This Row],[Fecha_venta]],"yyyy")</f>
        <v>2012</v>
      </c>
    </row>
    <row r="1100" spans="1:10" x14ac:dyDescent="0.25">
      <c r="A1100">
        <v>8</v>
      </c>
      <c r="B1100" s="1">
        <v>40921</v>
      </c>
      <c r="C1100">
        <v>0</v>
      </c>
      <c r="D1100">
        <v>36.46</v>
      </c>
      <c r="E1100">
        <v>3.2610000000000001</v>
      </c>
      <c r="F1100">
        <v>223.42425710000001</v>
      </c>
      <c r="G1100">
        <v>817661.76</v>
      </c>
      <c r="H1100" t="str">
        <f>TEXT(Ventas[[#This Row],[Fecha_venta]],"dd")</f>
        <v>13</v>
      </c>
      <c r="I1100" t="str">
        <f>TEXT(Ventas[[#This Row],[Fecha_venta]],"m")</f>
        <v>1</v>
      </c>
      <c r="J1100" t="str">
        <f>TEXT(Ventas[[#This Row],[Fecha_venta]],"yyyy")</f>
        <v>2012</v>
      </c>
    </row>
    <row r="1101" spans="1:10" x14ac:dyDescent="0.25">
      <c r="A1101">
        <v>8</v>
      </c>
      <c r="B1101" s="1">
        <v>40928</v>
      </c>
      <c r="C1101">
        <v>0</v>
      </c>
      <c r="D1101">
        <v>46.81</v>
      </c>
      <c r="E1101">
        <v>3.2679999999999998</v>
      </c>
      <c r="F1101">
        <v>223.51880550000001</v>
      </c>
      <c r="G1101">
        <v>813954.82</v>
      </c>
      <c r="H1101" t="str">
        <f>TEXT(Ventas[[#This Row],[Fecha_venta]],"dd")</f>
        <v>20</v>
      </c>
      <c r="I1101" t="str">
        <f>TEXT(Ventas[[#This Row],[Fecha_venta]],"m")</f>
        <v>1</v>
      </c>
      <c r="J1101" t="str">
        <f>TEXT(Ventas[[#This Row],[Fecha_venta]],"yyyy")</f>
        <v>2012</v>
      </c>
    </row>
    <row r="1102" spans="1:10" x14ac:dyDescent="0.25">
      <c r="A1102">
        <v>8</v>
      </c>
      <c r="B1102" s="1">
        <v>40935</v>
      </c>
      <c r="C1102">
        <v>0</v>
      </c>
      <c r="D1102">
        <v>45.52</v>
      </c>
      <c r="E1102">
        <v>3.29</v>
      </c>
      <c r="F1102">
        <v>223.61335389999999</v>
      </c>
      <c r="G1102">
        <v>778178.53</v>
      </c>
      <c r="H1102" t="str">
        <f>TEXT(Ventas[[#This Row],[Fecha_venta]],"dd")</f>
        <v>27</v>
      </c>
      <c r="I1102" t="str">
        <f>TEXT(Ventas[[#This Row],[Fecha_venta]],"m")</f>
        <v>1</v>
      </c>
      <c r="J1102" t="str">
        <f>TEXT(Ventas[[#This Row],[Fecha_venta]],"yyyy")</f>
        <v>2012</v>
      </c>
    </row>
    <row r="1103" spans="1:10" x14ac:dyDescent="0.25">
      <c r="A1103">
        <v>8</v>
      </c>
      <c r="B1103" s="1">
        <v>40942</v>
      </c>
      <c r="C1103">
        <v>0</v>
      </c>
      <c r="D1103">
        <v>45.56</v>
      </c>
      <c r="E1103">
        <v>3.36</v>
      </c>
      <c r="F1103">
        <v>223.7079023</v>
      </c>
      <c r="G1103">
        <v>927610.69</v>
      </c>
      <c r="H1103" t="str">
        <f>TEXT(Ventas[[#This Row],[Fecha_venta]],"dd")</f>
        <v>03</v>
      </c>
      <c r="I1103" t="str">
        <f>TEXT(Ventas[[#This Row],[Fecha_venta]],"m")</f>
        <v>2</v>
      </c>
      <c r="J1103" t="str">
        <f>TEXT(Ventas[[#This Row],[Fecha_venta]],"yyyy")</f>
        <v>2012</v>
      </c>
    </row>
    <row r="1104" spans="1:10" x14ac:dyDescent="0.25">
      <c r="A1104">
        <v>8</v>
      </c>
      <c r="B1104" s="1">
        <v>40949</v>
      </c>
      <c r="C1104">
        <v>1</v>
      </c>
      <c r="D1104">
        <v>35.71</v>
      </c>
      <c r="E1104">
        <v>3.4089999999999998</v>
      </c>
      <c r="F1104">
        <v>223.80245070000001</v>
      </c>
      <c r="G1104">
        <v>1021400.42</v>
      </c>
      <c r="H1104" t="str">
        <f>TEXT(Ventas[[#This Row],[Fecha_venta]],"dd")</f>
        <v>10</v>
      </c>
      <c r="I1104" t="str">
        <f>TEXT(Ventas[[#This Row],[Fecha_venta]],"m")</f>
        <v>2</v>
      </c>
      <c r="J1104" t="str">
        <f>TEXT(Ventas[[#This Row],[Fecha_venta]],"yyyy")</f>
        <v>2012</v>
      </c>
    </row>
    <row r="1105" spans="1:10" x14ac:dyDescent="0.25">
      <c r="A1105">
        <v>8</v>
      </c>
      <c r="B1105" s="1">
        <v>40956</v>
      </c>
      <c r="C1105">
        <v>0</v>
      </c>
      <c r="D1105">
        <v>37.51</v>
      </c>
      <c r="E1105">
        <v>3.51</v>
      </c>
      <c r="F1105">
        <v>223.96586210000001</v>
      </c>
      <c r="G1105">
        <v>1096232.8899999999</v>
      </c>
      <c r="H1105" t="str">
        <f>TEXT(Ventas[[#This Row],[Fecha_venta]],"dd")</f>
        <v>17</v>
      </c>
      <c r="I1105" t="str">
        <f>TEXT(Ventas[[#This Row],[Fecha_venta]],"m")</f>
        <v>2</v>
      </c>
      <c r="J1105" t="str">
        <f>TEXT(Ventas[[#This Row],[Fecha_venta]],"yyyy")</f>
        <v>2012</v>
      </c>
    </row>
    <row r="1106" spans="1:10" x14ac:dyDescent="0.25">
      <c r="A1106">
        <v>8</v>
      </c>
      <c r="B1106" s="1">
        <v>40963</v>
      </c>
      <c r="C1106">
        <v>0</v>
      </c>
      <c r="D1106">
        <v>46.33</v>
      </c>
      <c r="E1106">
        <v>3.5550000000000002</v>
      </c>
      <c r="F1106">
        <v>224.1809207</v>
      </c>
      <c r="G1106">
        <v>928537.54</v>
      </c>
      <c r="H1106" t="str">
        <f>TEXT(Ventas[[#This Row],[Fecha_venta]],"dd")</f>
        <v>24</v>
      </c>
      <c r="I1106" t="str">
        <f>TEXT(Ventas[[#This Row],[Fecha_venta]],"m")</f>
        <v>2</v>
      </c>
      <c r="J1106" t="str">
        <f>TEXT(Ventas[[#This Row],[Fecha_venta]],"yyyy")</f>
        <v>2012</v>
      </c>
    </row>
    <row r="1107" spans="1:10" x14ac:dyDescent="0.25">
      <c r="A1107">
        <v>8</v>
      </c>
      <c r="B1107" s="1">
        <v>40970</v>
      </c>
      <c r="C1107">
        <v>0</v>
      </c>
      <c r="D1107">
        <v>50.95</v>
      </c>
      <c r="E1107">
        <v>3.63</v>
      </c>
      <c r="F1107">
        <v>224.39597929999999</v>
      </c>
      <c r="G1107">
        <v>952264.91</v>
      </c>
      <c r="H1107" t="str">
        <f>TEXT(Ventas[[#This Row],[Fecha_venta]],"dd")</f>
        <v>02</v>
      </c>
      <c r="I1107" t="str">
        <f>TEXT(Ventas[[#This Row],[Fecha_venta]],"m")</f>
        <v>3</v>
      </c>
      <c r="J1107" t="str">
        <f>TEXT(Ventas[[#This Row],[Fecha_venta]],"yyyy")</f>
        <v>2012</v>
      </c>
    </row>
    <row r="1108" spans="1:10" x14ac:dyDescent="0.25">
      <c r="A1108">
        <v>8</v>
      </c>
      <c r="B1108" s="1">
        <v>40977</v>
      </c>
      <c r="C1108">
        <v>0</v>
      </c>
      <c r="D1108">
        <v>49.59</v>
      </c>
      <c r="E1108">
        <v>3.669</v>
      </c>
      <c r="F1108">
        <v>224.61103790000001</v>
      </c>
      <c r="G1108">
        <v>960115.56</v>
      </c>
      <c r="H1108" t="str">
        <f>TEXT(Ventas[[#This Row],[Fecha_venta]],"dd")</f>
        <v>09</v>
      </c>
      <c r="I1108" t="str">
        <f>TEXT(Ventas[[#This Row],[Fecha_venta]],"m")</f>
        <v>3</v>
      </c>
      <c r="J1108" t="str">
        <f>TEXT(Ventas[[#This Row],[Fecha_venta]],"yyyy")</f>
        <v>2012</v>
      </c>
    </row>
    <row r="1109" spans="1:10" x14ac:dyDescent="0.25">
      <c r="A1109">
        <v>8</v>
      </c>
      <c r="B1109" s="1">
        <v>40984</v>
      </c>
      <c r="C1109">
        <v>0</v>
      </c>
      <c r="D1109">
        <v>56.63</v>
      </c>
      <c r="E1109">
        <v>3.734</v>
      </c>
      <c r="F1109">
        <v>224.7657327</v>
      </c>
      <c r="G1109">
        <v>921178.39</v>
      </c>
      <c r="H1109" t="str">
        <f>TEXT(Ventas[[#This Row],[Fecha_venta]],"dd")</f>
        <v>16</v>
      </c>
      <c r="I1109" t="str">
        <f>TEXT(Ventas[[#This Row],[Fecha_venta]],"m")</f>
        <v>3</v>
      </c>
      <c r="J1109" t="str">
        <f>TEXT(Ventas[[#This Row],[Fecha_venta]],"yyyy")</f>
        <v>2012</v>
      </c>
    </row>
    <row r="1110" spans="1:10" x14ac:dyDescent="0.25">
      <c r="A1110">
        <v>8</v>
      </c>
      <c r="B1110" s="1">
        <v>40991</v>
      </c>
      <c r="C1110">
        <v>0</v>
      </c>
      <c r="D1110">
        <v>52.9</v>
      </c>
      <c r="E1110">
        <v>3.7869999999999999</v>
      </c>
      <c r="F1110">
        <v>224.83994240000001</v>
      </c>
      <c r="G1110">
        <v>874223.25</v>
      </c>
      <c r="H1110" t="str">
        <f>TEXT(Ventas[[#This Row],[Fecha_venta]],"dd")</f>
        <v>23</v>
      </c>
      <c r="I1110" t="str">
        <f>TEXT(Ventas[[#This Row],[Fecha_venta]],"m")</f>
        <v>3</v>
      </c>
      <c r="J1110" t="str">
        <f>TEXT(Ventas[[#This Row],[Fecha_venta]],"yyyy")</f>
        <v>2012</v>
      </c>
    </row>
    <row r="1111" spans="1:10" x14ac:dyDescent="0.25">
      <c r="A1111">
        <v>8</v>
      </c>
      <c r="B1111" s="1">
        <v>40998</v>
      </c>
      <c r="C1111">
        <v>0</v>
      </c>
      <c r="D1111">
        <v>66.69</v>
      </c>
      <c r="E1111">
        <v>3.8450000000000002</v>
      </c>
      <c r="F1111">
        <v>224.9141521</v>
      </c>
      <c r="G1111">
        <v>905935.29</v>
      </c>
      <c r="H1111" t="str">
        <f>TEXT(Ventas[[#This Row],[Fecha_venta]],"dd")</f>
        <v>30</v>
      </c>
      <c r="I1111" t="str">
        <f>TEXT(Ventas[[#This Row],[Fecha_venta]],"m")</f>
        <v>3</v>
      </c>
      <c r="J1111" t="str">
        <f>TEXT(Ventas[[#This Row],[Fecha_venta]],"yyyy")</f>
        <v>2012</v>
      </c>
    </row>
    <row r="1112" spans="1:10" x14ac:dyDescent="0.25">
      <c r="A1112">
        <v>8</v>
      </c>
      <c r="B1112" s="1">
        <v>41005</v>
      </c>
      <c r="C1112">
        <v>0</v>
      </c>
      <c r="D1112">
        <v>62.18</v>
      </c>
      <c r="E1112">
        <v>3.891</v>
      </c>
      <c r="F1112">
        <v>224.98836180000001</v>
      </c>
      <c r="G1112">
        <v>1046816.59</v>
      </c>
      <c r="H1112" t="str">
        <f>TEXT(Ventas[[#This Row],[Fecha_venta]],"dd")</f>
        <v>06</v>
      </c>
      <c r="I1112" t="str">
        <f>TEXT(Ventas[[#This Row],[Fecha_venta]],"m")</f>
        <v>4</v>
      </c>
      <c r="J1112" t="str">
        <f>TEXT(Ventas[[#This Row],[Fecha_venta]],"yyyy")</f>
        <v>2012</v>
      </c>
    </row>
    <row r="1113" spans="1:10" x14ac:dyDescent="0.25">
      <c r="A1113">
        <v>8</v>
      </c>
      <c r="B1113" s="1">
        <v>41012</v>
      </c>
      <c r="C1113">
        <v>0</v>
      </c>
      <c r="D1113">
        <v>65.19</v>
      </c>
      <c r="E1113">
        <v>3.891</v>
      </c>
      <c r="F1113">
        <v>225.0625714</v>
      </c>
      <c r="G1113">
        <v>909989.45</v>
      </c>
      <c r="H1113" t="str">
        <f>TEXT(Ventas[[#This Row],[Fecha_venta]],"dd")</f>
        <v>13</v>
      </c>
      <c r="I1113" t="str">
        <f>TEXT(Ventas[[#This Row],[Fecha_venta]],"m")</f>
        <v>4</v>
      </c>
      <c r="J1113" t="str">
        <f>TEXT(Ventas[[#This Row],[Fecha_venta]],"yyyy")</f>
        <v>2012</v>
      </c>
    </row>
    <row r="1114" spans="1:10" x14ac:dyDescent="0.25">
      <c r="A1114">
        <v>8</v>
      </c>
      <c r="B1114" s="1">
        <v>41019</v>
      </c>
      <c r="C1114">
        <v>0</v>
      </c>
      <c r="D1114">
        <v>63.59</v>
      </c>
      <c r="E1114">
        <v>3.8769999999999998</v>
      </c>
      <c r="F1114">
        <v>225.11799139999999</v>
      </c>
      <c r="G1114">
        <v>872288.46</v>
      </c>
      <c r="H1114" t="str">
        <f>TEXT(Ventas[[#This Row],[Fecha_venta]],"dd")</f>
        <v>20</v>
      </c>
      <c r="I1114" t="str">
        <f>TEXT(Ventas[[#This Row],[Fecha_venta]],"m")</f>
        <v>4</v>
      </c>
      <c r="J1114" t="str">
        <f>TEXT(Ventas[[#This Row],[Fecha_venta]],"yyyy")</f>
        <v>2012</v>
      </c>
    </row>
    <row r="1115" spans="1:10" x14ac:dyDescent="0.25">
      <c r="A1115">
        <v>8</v>
      </c>
      <c r="B1115" s="1">
        <v>41026</v>
      </c>
      <c r="C1115">
        <v>0</v>
      </c>
      <c r="D1115">
        <v>70.34</v>
      </c>
      <c r="E1115">
        <v>3.8140000000000001</v>
      </c>
      <c r="F1115">
        <v>225.17341139999999</v>
      </c>
      <c r="G1115">
        <v>879448.25</v>
      </c>
      <c r="H1115" t="str">
        <f>TEXT(Ventas[[#This Row],[Fecha_venta]],"dd")</f>
        <v>27</v>
      </c>
      <c r="I1115" t="str">
        <f>TEXT(Ventas[[#This Row],[Fecha_venta]],"m")</f>
        <v>4</v>
      </c>
      <c r="J1115" t="str">
        <f>TEXT(Ventas[[#This Row],[Fecha_venta]],"yyyy")</f>
        <v>2012</v>
      </c>
    </row>
    <row r="1116" spans="1:10" x14ac:dyDescent="0.25">
      <c r="A1116">
        <v>8</v>
      </c>
      <c r="B1116" s="1">
        <v>41033</v>
      </c>
      <c r="C1116">
        <v>0</v>
      </c>
      <c r="D1116">
        <v>73.959999999999994</v>
      </c>
      <c r="E1116">
        <v>3.7490000000000001</v>
      </c>
      <c r="F1116">
        <v>225.22883139999999</v>
      </c>
      <c r="G1116">
        <v>937232.09</v>
      </c>
      <c r="H1116" t="str">
        <f>TEXT(Ventas[[#This Row],[Fecha_venta]],"dd")</f>
        <v>04</v>
      </c>
      <c r="I1116" t="str">
        <f>TEXT(Ventas[[#This Row],[Fecha_venta]],"m")</f>
        <v>5</v>
      </c>
      <c r="J1116" t="str">
        <f>TEXT(Ventas[[#This Row],[Fecha_venta]],"yyyy")</f>
        <v>2012</v>
      </c>
    </row>
    <row r="1117" spans="1:10" x14ac:dyDescent="0.25">
      <c r="A1117">
        <v>8</v>
      </c>
      <c r="B1117" s="1">
        <v>41040</v>
      </c>
      <c r="C1117">
        <v>0</v>
      </c>
      <c r="D1117">
        <v>64.959999999999994</v>
      </c>
      <c r="E1117">
        <v>3.6880000000000002</v>
      </c>
      <c r="F1117">
        <v>225.28425139999999</v>
      </c>
      <c r="G1117">
        <v>920128.89</v>
      </c>
      <c r="H1117" t="str">
        <f>TEXT(Ventas[[#This Row],[Fecha_venta]],"dd")</f>
        <v>11</v>
      </c>
      <c r="I1117" t="str">
        <f>TEXT(Ventas[[#This Row],[Fecha_venta]],"m")</f>
        <v>5</v>
      </c>
      <c r="J1117" t="str">
        <f>TEXT(Ventas[[#This Row],[Fecha_venta]],"yyyy")</f>
        <v>2012</v>
      </c>
    </row>
    <row r="1118" spans="1:10" x14ac:dyDescent="0.25">
      <c r="A1118">
        <v>8</v>
      </c>
      <c r="B1118" s="1">
        <v>41047</v>
      </c>
      <c r="C1118">
        <v>0</v>
      </c>
      <c r="D1118">
        <v>64.16</v>
      </c>
      <c r="E1118">
        <v>3.63</v>
      </c>
      <c r="F1118">
        <v>225.3002908</v>
      </c>
      <c r="G1118">
        <v>913922.01</v>
      </c>
      <c r="H1118" t="str">
        <f>TEXT(Ventas[[#This Row],[Fecha_venta]],"dd")</f>
        <v>18</v>
      </c>
      <c r="I1118" t="str">
        <f>TEXT(Ventas[[#This Row],[Fecha_venta]],"m")</f>
        <v>5</v>
      </c>
      <c r="J1118" t="str">
        <f>TEXT(Ventas[[#This Row],[Fecha_venta]],"yyyy")</f>
        <v>2012</v>
      </c>
    </row>
    <row r="1119" spans="1:10" x14ac:dyDescent="0.25">
      <c r="A1119">
        <v>8</v>
      </c>
      <c r="B1119" s="1">
        <v>41054</v>
      </c>
      <c r="C1119">
        <v>0</v>
      </c>
      <c r="D1119">
        <v>76.11</v>
      </c>
      <c r="E1119">
        <v>3.5609999999999999</v>
      </c>
      <c r="F1119">
        <v>225.30057790000001</v>
      </c>
      <c r="G1119">
        <v>895157.44</v>
      </c>
      <c r="H1119" t="str">
        <f>TEXT(Ventas[[#This Row],[Fecha_venta]],"dd")</f>
        <v>25</v>
      </c>
      <c r="I1119" t="str">
        <f>TEXT(Ventas[[#This Row],[Fecha_venta]],"m")</f>
        <v>5</v>
      </c>
      <c r="J1119" t="str">
        <f>TEXT(Ventas[[#This Row],[Fecha_venta]],"yyyy")</f>
        <v>2012</v>
      </c>
    </row>
    <row r="1120" spans="1:10" x14ac:dyDescent="0.25">
      <c r="A1120">
        <v>8</v>
      </c>
      <c r="B1120" s="1">
        <v>41061</v>
      </c>
      <c r="C1120">
        <v>0</v>
      </c>
      <c r="D1120">
        <v>78.31</v>
      </c>
      <c r="E1120">
        <v>3.5009999999999999</v>
      </c>
      <c r="F1120">
        <v>225.30086499999999</v>
      </c>
      <c r="G1120">
        <v>921161.2</v>
      </c>
      <c r="H1120" t="str">
        <f>TEXT(Ventas[[#This Row],[Fecha_venta]],"dd")</f>
        <v>01</v>
      </c>
      <c r="I1120" t="str">
        <f>TEXT(Ventas[[#This Row],[Fecha_venta]],"m")</f>
        <v>6</v>
      </c>
      <c r="J1120" t="str">
        <f>TEXT(Ventas[[#This Row],[Fecha_venta]],"yyyy")</f>
        <v>2012</v>
      </c>
    </row>
    <row r="1121" spans="1:10" x14ac:dyDescent="0.25">
      <c r="A1121">
        <v>8</v>
      </c>
      <c r="B1121" s="1">
        <v>41068</v>
      </c>
      <c r="C1121">
        <v>0</v>
      </c>
      <c r="D1121">
        <v>74.28</v>
      </c>
      <c r="E1121">
        <v>3.452</v>
      </c>
      <c r="F1121">
        <v>225.3011521</v>
      </c>
      <c r="G1121">
        <v>928820</v>
      </c>
      <c r="H1121" t="str">
        <f>TEXT(Ventas[[#This Row],[Fecha_venta]],"dd")</f>
        <v>08</v>
      </c>
      <c r="I1121" t="str">
        <f>TEXT(Ventas[[#This Row],[Fecha_venta]],"m")</f>
        <v>6</v>
      </c>
      <c r="J1121" t="str">
        <f>TEXT(Ventas[[#This Row],[Fecha_venta]],"yyyy")</f>
        <v>2012</v>
      </c>
    </row>
    <row r="1122" spans="1:10" x14ac:dyDescent="0.25">
      <c r="A1122">
        <v>8</v>
      </c>
      <c r="B1122" s="1">
        <v>41075</v>
      </c>
      <c r="C1122">
        <v>0</v>
      </c>
      <c r="D1122">
        <v>77.14</v>
      </c>
      <c r="E1122">
        <v>3.3929999999999998</v>
      </c>
      <c r="F1122">
        <v>225.3134743</v>
      </c>
      <c r="G1122">
        <v>916918.7</v>
      </c>
      <c r="H1122" t="str">
        <f>TEXT(Ventas[[#This Row],[Fecha_venta]],"dd")</f>
        <v>15</v>
      </c>
      <c r="I1122" t="str">
        <f>TEXT(Ventas[[#This Row],[Fecha_venta]],"m")</f>
        <v>6</v>
      </c>
      <c r="J1122" t="str">
        <f>TEXT(Ventas[[#This Row],[Fecha_venta]],"yyyy")</f>
        <v>2012</v>
      </c>
    </row>
    <row r="1123" spans="1:10" x14ac:dyDescent="0.25">
      <c r="A1123">
        <v>8</v>
      </c>
      <c r="B1123" s="1">
        <v>41082</v>
      </c>
      <c r="C1123">
        <v>0</v>
      </c>
      <c r="D1123">
        <v>78.849999999999994</v>
      </c>
      <c r="E1123">
        <v>3.3460000000000001</v>
      </c>
      <c r="F1123">
        <v>225.35588430000001</v>
      </c>
      <c r="G1123">
        <v>899449.65</v>
      </c>
      <c r="H1123" t="str">
        <f>TEXT(Ventas[[#This Row],[Fecha_venta]],"dd")</f>
        <v>22</v>
      </c>
      <c r="I1123" t="str">
        <f>TEXT(Ventas[[#This Row],[Fecha_venta]],"m")</f>
        <v>6</v>
      </c>
      <c r="J1123" t="str">
        <f>TEXT(Ventas[[#This Row],[Fecha_venta]],"yyyy")</f>
        <v>2012</v>
      </c>
    </row>
    <row r="1124" spans="1:10" x14ac:dyDescent="0.25">
      <c r="A1124">
        <v>8</v>
      </c>
      <c r="B1124" s="1">
        <v>41089</v>
      </c>
      <c r="C1124">
        <v>0</v>
      </c>
      <c r="D1124">
        <v>84.47</v>
      </c>
      <c r="E1124">
        <v>3.286</v>
      </c>
      <c r="F1124">
        <v>225.3982943</v>
      </c>
      <c r="G1124">
        <v>878298.22</v>
      </c>
      <c r="H1124" t="str">
        <f>TEXT(Ventas[[#This Row],[Fecha_venta]],"dd")</f>
        <v>29</v>
      </c>
      <c r="I1124" t="str">
        <f>TEXT(Ventas[[#This Row],[Fecha_venta]],"m")</f>
        <v>6</v>
      </c>
      <c r="J1124" t="str">
        <f>TEXT(Ventas[[#This Row],[Fecha_venta]],"yyyy")</f>
        <v>2012</v>
      </c>
    </row>
    <row r="1125" spans="1:10" x14ac:dyDescent="0.25">
      <c r="A1125">
        <v>8</v>
      </c>
      <c r="B1125" s="1">
        <v>41096</v>
      </c>
      <c r="C1125">
        <v>0</v>
      </c>
      <c r="D1125">
        <v>81.239999999999995</v>
      </c>
      <c r="E1125">
        <v>3.2269999999999999</v>
      </c>
      <c r="F1125">
        <v>225.44070429999999</v>
      </c>
      <c r="G1125">
        <v>936205.5</v>
      </c>
      <c r="H1125" t="str">
        <f>TEXT(Ventas[[#This Row],[Fecha_venta]],"dd")</f>
        <v>06</v>
      </c>
      <c r="I1125" t="str">
        <f>TEXT(Ventas[[#This Row],[Fecha_venta]],"m")</f>
        <v>7</v>
      </c>
      <c r="J1125" t="str">
        <f>TEXT(Ventas[[#This Row],[Fecha_venta]],"yyyy")</f>
        <v>2012</v>
      </c>
    </row>
    <row r="1126" spans="1:10" x14ac:dyDescent="0.25">
      <c r="A1126">
        <v>8</v>
      </c>
      <c r="B1126" s="1">
        <v>41103</v>
      </c>
      <c r="C1126">
        <v>0</v>
      </c>
      <c r="D1126">
        <v>78.459999999999994</v>
      </c>
      <c r="E1126">
        <v>3.2559999999999998</v>
      </c>
      <c r="F1126">
        <v>225.48311430000001</v>
      </c>
      <c r="G1126">
        <v>890488.01</v>
      </c>
      <c r="H1126" t="str">
        <f>TEXT(Ventas[[#This Row],[Fecha_venta]],"dd")</f>
        <v>13</v>
      </c>
      <c r="I1126" t="str">
        <f>TEXT(Ventas[[#This Row],[Fecha_venta]],"m")</f>
        <v>7</v>
      </c>
      <c r="J1126" t="str">
        <f>TEXT(Ventas[[#This Row],[Fecha_venta]],"yyyy")</f>
        <v>2012</v>
      </c>
    </row>
    <row r="1127" spans="1:10" x14ac:dyDescent="0.25">
      <c r="A1127">
        <v>8</v>
      </c>
      <c r="B1127" s="1">
        <v>41110</v>
      </c>
      <c r="C1127">
        <v>0</v>
      </c>
      <c r="D1127">
        <v>79.94</v>
      </c>
      <c r="E1127">
        <v>3.3109999999999999</v>
      </c>
      <c r="F1127">
        <v>225.49300779999999</v>
      </c>
      <c r="G1127">
        <v>888834.07</v>
      </c>
      <c r="H1127" t="str">
        <f>TEXT(Ventas[[#This Row],[Fecha_venta]],"dd")</f>
        <v>20</v>
      </c>
      <c r="I1127" t="str">
        <f>TEXT(Ventas[[#This Row],[Fecha_venta]],"m")</f>
        <v>7</v>
      </c>
      <c r="J1127" t="str">
        <f>TEXT(Ventas[[#This Row],[Fecha_venta]],"yyyy")</f>
        <v>2012</v>
      </c>
    </row>
    <row r="1128" spans="1:10" x14ac:dyDescent="0.25">
      <c r="A1128">
        <v>8</v>
      </c>
      <c r="B1128" s="1">
        <v>41117</v>
      </c>
      <c r="C1128">
        <v>0</v>
      </c>
      <c r="D1128">
        <v>81.709999999999994</v>
      </c>
      <c r="E1128">
        <v>3.407</v>
      </c>
      <c r="F1128">
        <v>225.50290140000001</v>
      </c>
      <c r="G1128">
        <v>838227.52</v>
      </c>
      <c r="H1128" t="str">
        <f>TEXT(Ventas[[#This Row],[Fecha_venta]],"dd")</f>
        <v>27</v>
      </c>
      <c r="I1128" t="str">
        <f>TEXT(Ventas[[#This Row],[Fecha_venta]],"m")</f>
        <v>7</v>
      </c>
      <c r="J1128" t="str">
        <f>TEXT(Ventas[[#This Row],[Fecha_venta]],"yyyy")</f>
        <v>2012</v>
      </c>
    </row>
    <row r="1129" spans="1:10" x14ac:dyDescent="0.25">
      <c r="A1129">
        <v>8</v>
      </c>
      <c r="B1129" s="1">
        <v>41124</v>
      </c>
      <c r="C1129">
        <v>0</v>
      </c>
      <c r="D1129">
        <v>85.06</v>
      </c>
      <c r="E1129">
        <v>3.4169999999999998</v>
      </c>
      <c r="F1129">
        <v>225.51279489999999</v>
      </c>
      <c r="G1129">
        <v>897076.73</v>
      </c>
      <c r="H1129" t="str">
        <f>TEXT(Ventas[[#This Row],[Fecha_venta]],"dd")</f>
        <v>03</v>
      </c>
      <c r="I1129" t="str">
        <f>TEXT(Ventas[[#This Row],[Fecha_venta]],"m")</f>
        <v>8</v>
      </c>
      <c r="J1129" t="str">
        <f>TEXT(Ventas[[#This Row],[Fecha_venta]],"yyyy")</f>
        <v>2012</v>
      </c>
    </row>
    <row r="1130" spans="1:10" x14ac:dyDescent="0.25">
      <c r="A1130">
        <v>8</v>
      </c>
      <c r="B1130" s="1">
        <v>41131</v>
      </c>
      <c r="C1130">
        <v>0</v>
      </c>
      <c r="D1130">
        <v>83.74</v>
      </c>
      <c r="E1130">
        <v>3.4940000000000002</v>
      </c>
      <c r="F1130">
        <v>225.52268849999999</v>
      </c>
      <c r="G1130">
        <v>930745.69</v>
      </c>
      <c r="H1130" t="str">
        <f>TEXT(Ventas[[#This Row],[Fecha_venta]],"dd")</f>
        <v>10</v>
      </c>
      <c r="I1130" t="str">
        <f>TEXT(Ventas[[#This Row],[Fecha_venta]],"m")</f>
        <v>8</v>
      </c>
      <c r="J1130" t="str">
        <f>TEXT(Ventas[[#This Row],[Fecha_venta]],"yyyy")</f>
        <v>2012</v>
      </c>
    </row>
    <row r="1131" spans="1:10" x14ac:dyDescent="0.25">
      <c r="A1131">
        <v>8</v>
      </c>
      <c r="B1131" s="1">
        <v>41138</v>
      </c>
      <c r="C1131">
        <v>0</v>
      </c>
      <c r="D1131">
        <v>81.209999999999994</v>
      </c>
      <c r="E1131">
        <v>3.5710000000000002</v>
      </c>
      <c r="F1131">
        <v>225.6050797</v>
      </c>
      <c r="G1131">
        <v>896613.19</v>
      </c>
      <c r="H1131" t="str">
        <f>TEXT(Ventas[[#This Row],[Fecha_venta]],"dd")</f>
        <v>17</v>
      </c>
      <c r="I1131" t="str">
        <f>TEXT(Ventas[[#This Row],[Fecha_venta]],"m")</f>
        <v>8</v>
      </c>
      <c r="J1131" t="str">
        <f>TEXT(Ventas[[#This Row],[Fecha_venta]],"yyyy")</f>
        <v>2012</v>
      </c>
    </row>
    <row r="1132" spans="1:10" x14ac:dyDescent="0.25">
      <c r="A1132">
        <v>8</v>
      </c>
      <c r="B1132" s="1">
        <v>41145</v>
      </c>
      <c r="C1132">
        <v>0</v>
      </c>
      <c r="D1132">
        <v>73.77</v>
      </c>
      <c r="E1132">
        <v>3.62</v>
      </c>
      <c r="F1132">
        <v>225.7418442</v>
      </c>
      <c r="G1132">
        <v>936373.65</v>
      </c>
      <c r="H1132" t="str">
        <f>TEXT(Ventas[[#This Row],[Fecha_venta]],"dd")</f>
        <v>24</v>
      </c>
      <c r="I1132" t="str">
        <f>TEXT(Ventas[[#This Row],[Fecha_venta]],"m")</f>
        <v>8</v>
      </c>
      <c r="J1132" t="str">
        <f>TEXT(Ventas[[#This Row],[Fecha_venta]],"yyyy")</f>
        <v>2012</v>
      </c>
    </row>
    <row r="1133" spans="1:10" x14ac:dyDescent="0.25">
      <c r="A1133">
        <v>8</v>
      </c>
      <c r="B1133" s="1">
        <v>41152</v>
      </c>
      <c r="C1133">
        <v>0</v>
      </c>
      <c r="D1133">
        <v>75.33</v>
      </c>
      <c r="E1133">
        <v>3.6379999999999999</v>
      </c>
      <c r="F1133">
        <v>225.87860879999999</v>
      </c>
      <c r="G1133">
        <v>976137.73</v>
      </c>
      <c r="H1133" t="str">
        <f>TEXT(Ventas[[#This Row],[Fecha_venta]],"dd")</f>
        <v>31</v>
      </c>
      <c r="I1133" t="str">
        <f>TEXT(Ventas[[#This Row],[Fecha_venta]],"m")</f>
        <v>8</v>
      </c>
      <c r="J1133" t="str">
        <f>TEXT(Ventas[[#This Row],[Fecha_venta]],"yyyy")</f>
        <v>2012</v>
      </c>
    </row>
    <row r="1134" spans="1:10" x14ac:dyDescent="0.25">
      <c r="A1134">
        <v>8</v>
      </c>
      <c r="B1134" s="1">
        <v>41159</v>
      </c>
      <c r="C1134">
        <v>1</v>
      </c>
      <c r="D1134">
        <v>80.87</v>
      </c>
      <c r="E1134">
        <v>3.73</v>
      </c>
      <c r="F1134">
        <v>226.01537329999999</v>
      </c>
      <c r="G1134">
        <v>932160.37</v>
      </c>
      <c r="H1134" t="str">
        <f>TEXT(Ventas[[#This Row],[Fecha_venta]],"dd")</f>
        <v>07</v>
      </c>
      <c r="I1134" t="str">
        <f>TEXT(Ventas[[#This Row],[Fecha_venta]],"m")</f>
        <v>9</v>
      </c>
      <c r="J1134" t="str">
        <f>TEXT(Ventas[[#This Row],[Fecha_venta]],"yyyy")</f>
        <v>2012</v>
      </c>
    </row>
    <row r="1135" spans="1:10" x14ac:dyDescent="0.25">
      <c r="A1135">
        <v>8</v>
      </c>
      <c r="B1135" s="1">
        <v>41166</v>
      </c>
      <c r="C1135">
        <v>0</v>
      </c>
      <c r="D1135">
        <v>67.209999999999994</v>
      </c>
      <c r="E1135">
        <v>3.7170000000000001</v>
      </c>
      <c r="F1135">
        <v>226.16159809999999</v>
      </c>
      <c r="G1135">
        <v>883569.38</v>
      </c>
      <c r="H1135" t="str">
        <f>TEXT(Ventas[[#This Row],[Fecha_venta]],"dd")</f>
        <v>14</v>
      </c>
      <c r="I1135" t="str">
        <f>TEXT(Ventas[[#This Row],[Fecha_venta]],"m")</f>
        <v>9</v>
      </c>
      <c r="J1135" t="str">
        <f>TEXT(Ventas[[#This Row],[Fecha_venta]],"yyyy")</f>
        <v>2012</v>
      </c>
    </row>
    <row r="1136" spans="1:10" x14ac:dyDescent="0.25">
      <c r="A1136">
        <v>8</v>
      </c>
      <c r="B1136" s="1">
        <v>41173</v>
      </c>
      <c r="C1136">
        <v>0</v>
      </c>
      <c r="D1136">
        <v>66.959999999999994</v>
      </c>
      <c r="E1136">
        <v>3.7210000000000001</v>
      </c>
      <c r="F1136">
        <v>226.36458479999999</v>
      </c>
      <c r="G1136">
        <v>857796.45</v>
      </c>
      <c r="H1136" t="str">
        <f>TEXT(Ventas[[#This Row],[Fecha_venta]],"dd")</f>
        <v>21</v>
      </c>
      <c r="I1136" t="str">
        <f>TEXT(Ventas[[#This Row],[Fecha_venta]],"m")</f>
        <v>9</v>
      </c>
      <c r="J1136" t="str">
        <f>TEXT(Ventas[[#This Row],[Fecha_venta]],"yyyy")</f>
        <v>2012</v>
      </c>
    </row>
    <row r="1137" spans="1:10" x14ac:dyDescent="0.25">
      <c r="A1137">
        <v>8</v>
      </c>
      <c r="B1137" s="1">
        <v>41180</v>
      </c>
      <c r="C1137">
        <v>0</v>
      </c>
      <c r="D1137">
        <v>71.099999999999994</v>
      </c>
      <c r="E1137">
        <v>3.6659999999999999</v>
      </c>
      <c r="F1137">
        <v>226.56757139999999</v>
      </c>
      <c r="G1137">
        <v>884724.41</v>
      </c>
      <c r="H1137" t="str">
        <f>TEXT(Ventas[[#This Row],[Fecha_venta]],"dd")</f>
        <v>28</v>
      </c>
      <c r="I1137" t="str">
        <f>TEXT(Ventas[[#This Row],[Fecha_venta]],"m")</f>
        <v>9</v>
      </c>
      <c r="J1137" t="str">
        <f>TEXT(Ventas[[#This Row],[Fecha_venta]],"yyyy")</f>
        <v>2012</v>
      </c>
    </row>
    <row r="1138" spans="1:10" x14ac:dyDescent="0.25">
      <c r="A1138">
        <v>8</v>
      </c>
      <c r="B1138" s="1">
        <v>41187</v>
      </c>
      <c r="C1138">
        <v>0</v>
      </c>
      <c r="D1138">
        <v>61.41</v>
      </c>
      <c r="E1138">
        <v>3.617</v>
      </c>
      <c r="F1138">
        <v>226.77055809999999</v>
      </c>
      <c r="G1138">
        <v>976436.02</v>
      </c>
      <c r="H1138" t="str">
        <f>TEXT(Ventas[[#This Row],[Fecha_venta]],"dd")</f>
        <v>05</v>
      </c>
      <c r="I1138" t="str">
        <f>TEXT(Ventas[[#This Row],[Fecha_venta]],"m")</f>
        <v>10</v>
      </c>
      <c r="J1138" t="str">
        <f>TEXT(Ventas[[#This Row],[Fecha_venta]],"yyyy")</f>
        <v>2012</v>
      </c>
    </row>
    <row r="1139" spans="1:10" x14ac:dyDescent="0.25">
      <c r="A1139">
        <v>8</v>
      </c>
      <c r="B1139" s="1">
        <v>41194</v>
      </c>
      <c r="C1139">
        <v>0</v>
      </c>
      <c r="D1139">
        <v>55.03</v>
      </c>
      <c r="E1139">
        <v>3.601</v>
      </c>
      <c r="F1139">
        <v>226.97354480000001</v>
      </c>
      <c r="G1139">
        <v>927511.99</v>
      </c>
      <c r="H1139" t="str">
        <f>TEXT(Ventas[[#This Row],[Fecha_venta]],"dd")</f>
        <v>12</v>
      </c>
      <c r="I1139" t="str">
        <f>TEXT(Ventas[[#This Row],[Fecha_venta]],"m")</f>
        <v>10</v>
      </c>
      <c r="J1139" t="str">
        <f>TEXT(Ventas[[#This Row],[Fecha_venta]],"yyyy")</f>
        <v>2012</v>
      </c>
    </row>
    <row r="1140" spans="1:10" x14ac:dyDescent="0.25">
      <c r="A1140">
        <v>8</v>
      </c>
      <c r="B1140" s="1">
        <v>41201</v>
      </c>
      <c r="C1140">
        <v>0</v>
      </c>
      <c r="D1140">
        <v>62.99</v>
      </c>
      <c r="E1140">
        <v>3.5939999999999999</v>
      </c>
      <c r="F1140">
        <v>227.01841659999999</v>
      </c>
      <c r="G1140">
        <v>900309.75</v>
      </c>
      <c r="H1140" t="str">
        <f>TEXT(Ventas[[#This Row],[Fecha_venta]],"dd")</f>
        <v>19</v>
      </c>
      <c r="I1140" t="str">
        <f>TEXT(Ventas[[#This Row],[Fecha_venta]],"m")</f>
        <v>10</v>
      </c>
      <c r="J1140" t="str">
        <f>TEXT(Ventas[[#This Row],[Fecha_venta]],"yyyy")</f>
        <v>2012</v>
      </c>
    </row>
    <row r="1141" spans="1:10" x14ac:dyDescent="0.25">
      <c r="A1141">
        <v>8</v>
      </c>
      <c r="B1141" s="1">
        <v>41208</v>
      </c>
      <c r="C1141">
        <v>0</v>
      </c>
      <c r="D1141">
        <v>64.739999999999995</v>
      </c>
      <c r="E1141">
        <v>3.5059999999999998</v>
      </c>
      <c r="F1141">
        <v>227.0369359</v>
      </c>
      <c r="G1141">
        <v>891671.44</v>
      </c>
      <c r="H1141" t="str">
        <f>TEXT(Ventas[[#This Row],[Fecha_venta]],"dd")</f>
        <v>26</v>
      </c>
      <c r="I1141" t="str">
        <f>TEXT(Ventas[[#This Row],[Fecha_venta]],"m")</f>
        <v>10</v>
      </c>
      <c r="J1141" t="str">
        <f>TEXT(Ventas[[#This Row],[Fecha_venta]],"yyyy")</f>
        <v>2012</v>
      </c>
    </row>
    <row r="1142" spans="1:10" x14ac:dyDescent="0.25">
      <c r="A1142">
        <v>9</v>
      </c>
      <c r="B1142" s="1">
        <v>40214</v>
      </c>
      <c r="C1142">
        <v>0</v>
      </c>
      <c r="D1142">
        <v>38.01</v>
      </c>
      <c r="E1142">
        <v>2.5720000000000001</v>
      </c>
      <c r="F1142">
        <v>214.6554591</v>
      </c>
      <c r="G1142">
        <v>549505.55000000005</v>
      </c>
      <c r="H1142" t="str">
        <f>TEXT(Ventas[[#This Row],[Fecha_venta]],"dd")</f>
        <v>05</v>
      </c>
      <c r="I1142" t="str">
        <f>TEXT(Ventas[[#This Row],[Fecha_venta]],"m")</f>
        <v>2</v>
      </c>
      <c r="J1142" t="str">
        <f>TEXT(Ventas[[#This Row],[Fecha_venta]],"yyyy")</f>
        <v>2010</v>
      </c>
    </row>
    <row r="1143" spans="1:10" x14ac:dyDescent="0.25">
      <c r="A1143">
        <v>9</v>
      </c>
      <c r="B1143" s="1">
        <v>40221</v>
      </c>
      <c r="C1143">
        <v>1</v>
      </c>
      <c r="D1143">
        <v>37.08</v>
      </c>
      <c r="E1143">
        <v>2.548</v>
      </c>
      <c r="F1143">
        <v>214.80565340000001</v>
      </c>
      <c r="G1143">
        <v>552677.48</v>
      </c>
      <c r="H1143" t="str">
        <f>TEXT(Ventas[[#This Row],[Fecha_venta]],"dd")</f>
        <v>12</v>
      </c>
      <c r="I1143" t="str">
        <f>TEXT(Ventas[[#This Row],[Fecha_venta]],"m")</f>
        <v>2</v>
      </c>
      <c r="J1143" t="str">
        <f>TEXT(Ventas[[#This Row],[Fecha_venta]],"yyyy")</f>
        <v>2010</v>
      </c>
    </row>
    <row r="1144" spans="1:10" x14ac:dyDescent="0.25">
      <c r="A1144">
        <v>9</v>
      </c>
      <c r="B1144" s="1">
        <v>40228</v>
      </c>
      <c r="C1144">
        <v>0</v>
      </c>
      <c r="D1144">
        <v>43.06</v>
      </c>
      <c r="E1144">
        <v>2.5139999999999998</v>
      </c>
      <c r="F1144">
        <v>214.8506185</v>
      </c>
      <c r="G1144">
        <v>511327.9</v>
      </c>
      <c r="H1144" t="str">
        <f>TEXT(Ventas[[#This Row],[Fecha_venta]],"dd")</f>
        <v>19</v>
      </c>
      <c r="I1144" t="str">
        <f>TEXT(Ventas[[#This Row],[Fecha_venta]],"m")</f>
        <v>2</v>
      </c>
      <c r="J1144" t="str">
        <f>TEXT(Ventas[[#This Row],[Fecha_venta]],"yyyy")</f>
        <v>2010</v>
      </c>
    </row>
    <row r="1145" spans="1:10" x14ac:dyDescent="0.25">
      <c r="A1145">
        <v>9</v>
      </c>
      <c r="B1145" s="1">
        <v>40235</v>
      </c>
      <c r="C1145">
        <v>0</v>
      </c>
      <c r="D1145">
        <v>43.83</v>
      </c>
      <c r="E1145">
        <v>2.5609999999999999</v>
      </c>
      <c r="F1145">
        <v>214.8780453</v>
      </c>
      <c r="G1145">
        <v>473773.27</v>
      </c>
      <c r="H1145" t="str">
        <f>TEXT(Ventas[[#This Row],[Fecha_venta]],"dd")</f>
        <v>26</v>
      </c>
      <c r="I1145" t="str">
        <f>TEXT(Ventas[[#This Row],[Fecha_venta]],"m")</f>
        <v>2</v>
      </c>
      <c r="J1145" t="str">
        <f>TEXT(Ventas[[#This Row],[Fecha_venta]],"yyyy")</f>
        <v>2010</v>
      </c>
    </row>
    <row r="1146" spans="1:10" x14ac:dyDescent="0.25">
      <c r="A1146">
        <v>9</v>
      </c>
      <c r="B1146" s="1">
        <v>40242</v>
      </c>
      <c r="C1146">
        <v>0</v>
      </c>
      <c r="D1146">
        <v>48.43</v>
      </c>
      <c r="E1146">
        <v>2.625</v>
      </c>
      <c r="F1146">
        <v>214.9054721</v>
      </c>
      <c r="G1146">
        <v>507297.88</v>
      </c>
      <c r="H1146" t="str">
        <f>TEXT(Ventas[[#This Row],[Fecha_venta]],"dd")</f>
        <v>05</v>
      </c>
      <c r="I1146" t="str">
        <f>TEXT(Ventas[[#This Row],[Fecha_venta]],"m")</f>
        <v>3</v>
      </c>
      <c r="J1146" t="str">
        <f>TEXT(Ventas[[#This Row],[Fecha_venta]],"yyyy")</f>
        <v>2010</v>
      </c>
    </row>
    <row r="1147" spans="1:10" x14ac:dyDescent="0.25">
      <c r="A1147">
        <v>9</v>
      </c>
      <c r="B1147" s="1">
        <v>40249</v>
      </c>
      <c r="C1147">
        <v>0</v>
      </c>
      <c r="D1147">
        <v>55.76</v>
      </c>
      <c r="E1147">
        <v>2.6669999999999998</v>
      </c>
      <c r="F1147">
        <v>214.93289899999999</v>
      </c>
      <c r="G1147">
        <v>494145.8</v>
      </c>
      <c r="H1147" t="str">
        <f>TEXT(Ventas[[#This Row],[Fecha_venta]],"dd")</f>
        <v>12</v>
      </c>
      <c r="I1147" t="str">
        <f>TEXT(Ventas[[#This Row],[Fecha_venta]],"m")</f>
        <v>3</v>
      </c>
      <c r="J1147" t="str">
        <f>TEXT(Ventas[[#This Row],[Fecha_venta]],"yyyy")</f>
        <v>2010</v>
      </c>
    </row>
    <row r="1148" spans="1:10" x14ac:dyDescent="0.25">
      <c r="A1148">
        <v>9</v>
      </c>
      <c r="B1148" s="1">
        <v>40256</v>
      </c>
      <c r="C1148">
        <v>0</v>
      </c>
      <c r="D1148">
        <v>53.15</v>
      </c>
      <c r="E1148">
        <v>2.72</v>
      </c>
      <c r="F1148">
        <v>214.7597274</v>
      </c>
      <c r="G1148">
        <v>485744.61</v>
      </c>
      <c r="H1148" t="str">
        <f>TEXT(Ventas[[#This Row],[Fecha_venta]],"dd")</f>
        <v>19</v>
      </c>
      <c r="I1148" t="str">
        <f>TEXT(Ventas[[#This Row],[Fecha_venta]],"m")</f>
        <v>3</v>
      </c>
      <c r="J1148" t="str">
        <f>TEXT(Ventas[[#This Row],[Fecha_venta]],"yyyy")</f>
        <v>2010</v>
      </c>
    </row>
    <row r="1149" spans="1:10" x14ac:dyDescent="0.25">
      <c r="A1149">
        <v>9</v>
      </c>
      <c r="B1149" s="1">
        <v>40263</v>
      </c>
      <c r="C1149">
        <v>0</v>
      </c>
      <c r="D1149">
        <v>51.8</v>
      </c>
      <c r="E1149">
        <v>2.7320000000000002</v>
      </c>
      <c r="F1149">
        <v>214.55312269999999</v>
      </c>
      <c r="G1149">
        <v>484946.56</v>
      </c>
      <c r="H1149" t="str">
        <f>TEXT(Ventas[[#This Row],[Fecha_venta]],"dd")</f>
        <v>26</v>
      </c>
      <c r="I1149" t="str">
        <f>TEXT(Ventas[[#This Row],[Fecha_venta]],"m")</f>
        <v>3</v>
      </c>
      <c r="J1149" t="str">
        <f>TEXT(Ventas[[#This Row],[Fecha_venta]],"yyyy")</f>
        <v>2010</v>
      </c>
    </row>
    <row r="1150" spans="1:10" x14ac:dyDescent="0.25">
      <c r="A1150">
        <v>9</v>
      </c>
      <c r="B1150" s="1">
        <v>40270</v>
      </c>
      <c r="C1150">
        <v>0</v>
      </c>
      <c r="D1150">
        <v>65.209999999999994</v>
      </c>
      <c r="E1150">
        <v>2.7189999999999999</v>
      </c>
      <c r="F1150">
        <v>214.3465181</v>
      </c>
      <c r="G1150">
        <v>545206.31999999995</v>
      </c>
      <c r="H1150" t="str">
        <f>TEXT(Ventas[[#This Row],[Fecha_venta]],"dd")</f>
        <v>02</v>
      </c>
      <c r="I1150" t="str">
        <f>TEXT(Ventas[[#This Row],[Fecha_venta]],"m")</f>
        <v>4</v>
      </c>
      <c r="J1150" t="str">
        <f>TEXT(Ventas[[#This Row],[Fecha_venta]],"yyyy")</f>
        <v>2010</v>
      </c>
    </row>
    <row r="1151" spans="1:10" x14ac:dyDescent="0.25">
      <c r="A1151">
        <v>9</v>
      </c>
      <c r="B1151" s="1">
        <v>40277</v>
      </c>
      <c r="C1151">
        <v>0</v>
      </c>
      <c r="D1151">
        <v>64.95</v>
      </c>
      <c r="E1151">
        <v>2.77</v>
      </c>
      <c r="F1151">
        <v>214.13991350000001</v>
      </c>
      <c r="G1151">
        <v>529384.31000000006</v>
      </c>
      <c r="H1151" t="str">
        <f>TEXT(Ventas[[#This Row],[Fecha_venta]],"dd")</f>
        <v>09</v>
      </c>
      <c r="I1151" t="str">
        <f>TEXT(Ventas[[#This Row],[Fecha_venta]],"m")</f>
        <v>4</v>
      </c>
      <c r="J1151" t="str">
        <f>TEXT(Ventas[[#This Row],[Fecha_venta]],"yyyy")</f>
        <v>2010</v>
      </c>
    </row>
    <row r="1152" spans="1:10" x14ac:dyDescent="0.25">
      <c r="A1152">
        <v>9</v>
      </c>
      <c r="B1152" s="1">
        <v>40284</v>
      </c>
      <c r="C1152">
        <v>0</v>
      </c>
      <c r="D1152">
        <v>66.09</v>
      </c>
      <c r="E1152">
        <v>2.8079999999999998</v>
      </c>
      <c r="F1152">
        <v>214.00018170000001</v>
      </c>
      <c r="G1152">
        <v>485764.32</v>
      </c>
      <c r="H1152" t="str">
        <f>TEXT(Ventas[[#This Row],[Fecha_venta]],"dd")</f>
        <v>16</v>
      </c>
      <c r="I1152" t="str">
        <f>TEXT(Ventas[[#This Row],[Fecha_venta]],"m")</f>
        <v>4</v>
      </c>
      <c r="J1152" t="str">
        <f>TEXT(Ventas[[#This Row],[Fecha_venta]],"yyyy")</f>
        <v>2010</v>
      </c>
    </row>
    <row r="1153" spans="1:10" x14ac:dyDescent="0.25">
      <c r="A1153">
        <v>9</v>
      </c>
      <c r="B1153" s="1">
        <v>40291</v>
      </c>
      <c r="C1153">
        <v>0</v>
      </c>
      <c r="D1153">
        <v>61.26</v>
      </c>
      <c r="E1153">
        <v>2.7949999999999999</v>
      </c>
      <c r="F1153">
        <v>213.94961380000001</v>
      </c>
      <c r="G1153">
        <v>488683.57</v>
      </c>
      <c r="H1153" t="str">
        <f>TEXT(Ventas[[#This Row],[Fecha_venta]],"dd")</f>
        <v>23</v>
      </c>
      <c r="I1153" t="str">
        <f>TEXT(Ventas[[#This Row],[Fecha_venta]],"m")</f>
        <v>4</v>
      </c>
      <c r="J1153" t="str">
        <f>TEXT(Ventas[[#This Row],[Fecha_venta]],"yyyy")</f>
        <v>2010</v>
      </c>
    </row>
    <row r="1154" spans="1:10" x14ac:dyDescent="0.25">
      <c r="A1154">
        <v>9</v>
      </c>
      <c r="B1154" s="1">
        <v>40298</v>
      </c>
      <c r="C1154">
        <v>0</v>
      </c>
      <c r="D1154">
        <v>66.069999999999993</v>
      </c>
      <c r="E1154">
        <v>2.78</v>
      </c>
      <c r="F1154">
        <v>213.8990459</v>
      </c>
      <c r="G1154">
        <v>491723.42</v>
      </c>
      <c r="H1154" t="str">
        <f>TEXT(Ventas[[#This Row],[Fecha_venta]],"dd")</f>
        <v>30</v>
      </c>
      <c r="I1154" t="str">
        <f>TEXT(Ventas[[#This Row],[Fecha_venta]],"m")</f>
        <v>4</v>
      </c>
      <c r="J1154" t="str">
        <f>TEXT(Ventas[[#This Row],[Fecha_venta]],"yyyy")</f>
        <v>2010</v>
      </c>
    </row>
    <row r="1155" spans="1:10" x14ac:dyDescent="0.25">
      <c r="A1155">
        <v>9</v>
      </c>
      <c r="B1155" s="1">
        <v>40305</v>
      </c>
      <c r="C1155">
        <v>0</v>
      </c>
      <c r="D1155">
        <v>68.58</v>
      </c>
      <c r="E1155">
        <v>2.835</v>
      </c>
      <c r="F1155">
        <v>213.848478</v>
      </c>
      <c r="G1155">
        <v>526128.61</v>
      </c>
      <c r="H1155" t="str">
        <f>TEXT(Ventas[[#This Row],[Fecha_venta]],"dd")</f>
        <v>07</v>
      </c>
      <c r="I1155" t="str">
        <f>TEXT(Ventas[[#This Row],[Fecha_venta]],"m")</f>
        <v>5</v>
      </c>
      <c r="J1155" t="str">
        <f>TEXT(Ventas[[#This Row],[Fecha_venta]],"yyyy")</f>
        <v>2010</v>
      </c>
    </row>
    <row r="1156" spans="1:10" x14ac:dyDescent="0.25">
      <c r="A1156">
        <v>9</v>
      </c>
      <c r="B1156" s="1">
        <v>40312</v>
      </c>
      <c r="C1156">
        <v>0</v>
      </c>
      <c r="D1156">
        <v>70.53</v>
      </c>
      <c r="E1156">
        <v>2.8540000000000001</v>
      </c>
      <c r="F1156">
        <v>213.8469819</v>
      </c>
      <c r="G1156">
        <v>492792.8</v>
      </c>
      <c r="H1156" t="str">
        <f>TEXT(Ventas[[#This Row],[Fecha_venta]],"dd")</f>
        <v>14</v>
      </c>
      <c r="I1156" t="str">
        <f>TEXT(Ventas[[#This Row],[Fecha_venta]],"m")</f>
        <v>5</v>
      </c>
      <c r="J1156" t="str">
        <f>TEXT(Ventas[[#This Row],[Fecha_venta]],"yyyy")</f>
        <v>2010</v>
      </c>
    </row>
    <row r="1157" spans="1:10" x14ac:dyDescent="0.25">
      <c r="A1157">
        <v>9</v>
      </c>
      <c r="B1157" s="1">
        <v>40319</v>
      </c>
      <c r="C1157">
        <v>0</v>
      </c>
      <c r="D1157">
        <v>71.5</v>
      </c>
      <c r="E1157">
        <v>2.8260000000000001</v>
      </c>
      <c r="F1157">
        <v>214.13991619999999</v>
      </c>
      <c r="G1157">
        <v>506274.94</v>
      </c>
      <c r="H1157" t="str">
        <f>TEXT(Ventas[[#This Row],[Fecha_venta]],"dd")</f>
        <v>21</v>
      </c>
      <c r="I1157" t="str">
        <f>TEXT(Ventas[[#This Row],[Fecha_venta]],"m")</f>
        <v>5</v>
      </c>
      <c r="J1157" t="str">
        <f>TEXT(Ventas[[#This Row],[Fecha_venta]],"yyyy")</f>
        <v>2010</v>
      </c>
    </row>
    <row r="1158" spans="1:10" x14ac:dyDescent="0.25">
      <c r="A1158">
        <v>9</v>
      </c>
      <c r="B1158" s="1">
        <v>40326</v>
      </c>
      <c r="C1158">
        <v>0</v>
      </c>
      <c r="D1158">
        <v>77.12</v>
      </c>
      <c r="E1158">
        <v>2.7589999999999999</v>
      </c>
      <c r="F1158">
        <v>214.4328505</v>
      </c>
      <c r="G1158">
        <v>558143.53</v>
      </c>
      <c r="H1158" t="str">
        <f>TEXT(Ventas[[#This Row],[Fecha_venta]],"dd")</f>
        <v>28</v>
      </c>
      <c r="I1158" t="str">
        <f>TEXT(Ventas[[#This Row],[Fecha_venta]],"m")</f>
        <v>5</v>
      </c>
      <c r="J1158" t="str">
        <f>TEXT(Ventas[[#This Row],[Fecha_venta]],"yyyy")</f>
        <v>2010</v>
      </c>
    </row>
    <row r="1159" spans="1:10" x14ac:dyDescent="0.25">
      <c r="A1159">
        <v>9</v>
      </c>
      <c r="B1159" s="1">
        <v>40333</v>
      </c>
      <c r="C1159">
        <v>0</v>
      </c>
      <c r="D1159">
        <v>79.650000000000006</v>
      </c>
      <c r="E1159">
        <v>2.7050000000000001</v>
      </c>
      <c r="F1159">
        <v>214.72578480000001</v>
      </c>
      <c r="G1159">
        <v>586061.46</v>
      </c>
      <c r="H1159" t="str">
        <f>TEXT(Ventas[[#This Row],[Fecha_venta]],"dd")</f>
        <v>04</v>
      </c>
      <c r="I1159" t="str">
        <f>TEXT(Ventas[[#This Row],[Fecha_venta]],"m")</f>
        <v>6</v>
      </c>
      <c r="J1159" t="str">
        <f>TEXT(Ventas[[#This Row],[Fecha_venta]],"yyyy")</f>
        <v>2010</v>
      </c>
    </row>
    <row r="1160" spans="1:10" x14ac:dyDescent="0.25">
      <c r="A1160">
        <v>9</v>
      </c>
      <c r="B1160" s="1">
        <v>40340</v>
      </c>
      <c r="C1160">
        <v>0</v>
      </c>
      <c r="D1160">
        <v>83.75</v>
      </c>
      <c r="E1160">
        <v>2.6680000000000001</v>
      </c>
      <c r="F1160">
        <v>215.0187191</v>
      </c>
      <c r="G1160">
        <v>522715.68</v>
      </c>
      <c r="H1160" t="str">
        <f>TEXT(Ventas[[#This Row],[Fecha_venta]],"dd")</f>
        <v>11</v>
      </c>
      <c r="I1160" t="str">
        <f>TEXT(Ventas[[#This Row],[Fecha_venta]],"m")</f>
        <v>6</v>
      </c>
      <c r="J1160" t="str">
        <f>TEXT(Ventas[[#This Row],[Fecha_venta]],"yyyy")</f>
        <v>2010</v>
      </c>
    </row>
    <row r="1161" spans="1:10" x14ac:dyDescent="0.25">
      <c r="A1161">
        <v>9</v>
      </c>
      <c r="B1161" s="1">
        <v>40347</v>
      </c>
      <c r="C1161">
        <v>0</v>
      </c>
      <c r="D1161">
        <v>82.99</v>
      </c>
      <c r="E1161">
        <v>2.637</v>
      </c>
      <c r="F1161">
        <v>215.01664840000001</v>
      </c>
      <c r="G1161">
        <v>513073.87</v>
      </c>
      <c r="H1161" t="str">
        <f>TEXT(Ventas[[#This Row],[Fecha_venta]],"dd")</f>
        <v>18</v>
      </c>
      <c r="I1161" t="str">
        <f>TEXT(Ventas[[#This Row],[Fecha_venta]],"m")</f>
        <v>6</v>
      </c>
      <c r="J1161" t="str">
        <f>TEXT(Ventas[[#This Row],[Fecha_venta]],"yyyy")</f>
        <v>2010</v>
      </c>
    </row>
    <row r="1162" spans="1:10" x14ac:dyDescent="0.25">
      <c r="A1162">
        <v>9</v>
      </c>
      <c r="B1162" s="1">
        <v>40354</v>
      </c>
      <c r="C1162">
        <v>0</v>
      </c>
      <c r="D1162">
        <v>85.02</v>
      </c>
      <c r="E1162">
        <v>2.653</v>
      </c>
      <c r="F1162">
        <v>214.89657560000001</v>
      </c>
      <c r="G1162">
        <v>509263.28</v>
      </c>
      <c r="H1162" t="str">
        <f>TEXT(Ventas[[#This Row],[Fecha_venta]],"dd")</f>
        <v>25</v>
      </c>
      <c r="I1162" t="str">
        <f>TEXT(Ventas[[#This Row],[Fecha_venta]],"m")</f>
        <v>6</v>
      </c>
      <c r="J1162" t="str">
        <f>TEXT(Ventas[[#This Row],[Fecha_venta]],"yyyy")</f>
        <v>2010</v>
      </c>
    </row>
    <row r="1163" spans="1:10" x14ac:dyDescent="0.25">
      <c r="A1163">
        <v>9</v>
      </c>
      <c r="B1163" s="1">
        <v>40361</v>
      </c>
      <c r="C1163">
        <v>0</v>
      </c>
      <c r="D1163">
        <v>78.55</v>
      </c>
      <c r="E1163">
        <v>2.669</v>
      </c>
      <c r="F1163">
        <v>214.7765028</v>
      </c>
      <c r="G1163">
        <v>528832.54</v>
      </c>
      <c r="H1163" t="str">
        <f>TEXT(Ventas[[#This Row],[Fecha_venta]],"dd")</f>
        <v>02</v>
      </c>
      <c r="I1163" t="str">
        <f>TEXT(Ventas[[#This Row],[Fecha_venta]],"m")</f>
        <v>7</v>
      </c>
      <c r="J1163" t="str">
        <f>TEXT(Ventas[[#This Row],[Fecha_venta]],"yyyy")</f>
        <v>2010</v>
      </c>
    </row>
    <row r="1164" spans="1:10" x14ac:dyDescent="0.25">
      <c r="A1164">
        <v>9</v>
      </c>
      <c r="B1164" s="1">
        <v>40368</v>
      </c>
      <c r="C1164">
        <v>0</v>
      </c>
      <c r="D1164">
        <v>78.510000000000005</v>
      </c>
      <c r="E1164">
        <v>2.6419999999999999</v>
      </c>
      <c r="F1164">
        <v>214.65643009999999</v>
      </c>
      <c r="G1164">
        <v>485389.15</v>
      </c>
      <c r="H1164" t="str">
        <f>TEXT(Ventas[[#This Row],[Fecha_venta]],"dd")</f>
        <v>09</v>
      </c>
      <c r="I1164" t="str">
        <f>TEXT(Ventas[[#This Row],[Fecha_venta]],"m")</f>
        <v>7</v>
      </c>
      <c r="J1164" t="str">
        <f>TEXT(Ventas[[#This Row],[Fecha_venta]],"yyyy")</f>
        <v>2010</v>
      </c>
    </row>
    <row r="1165" spans="1:10" x14ac:dyDescent="0.25">
      <c r="A1165">
        <v>9</v>
      </c>
      <c r="B1165" s="1">
        <v>40375</v>
      </c>
      <c r="C1165">
        <v>0</v>
      </c>
      <c r="D1165">
        <v>82.93</v>
      </c>
      <c r="E1165">
        <v>2.6230000000000002</v>
      </c>
      <c r="F1165">
        <v>214.64744529999999</v>
      </c>
      <c r="G1165">
        <v>474030.51</v>
      </c>
      <c r="H1165" t="str">
        <f>TEXT(Ventas[[#This Row],[Fecha_venta]],"dd")</f>
        <v>16</v>
      </c>
      <c r="I1165" t="str">
        <f>TEXT(Ventas[[#This Row],[Fecha_venta]],"m")</f>
        <v>7</v>
      </c>
      <c r="J1165" t="str">
        <f>TEXT(Ventas[[#This Row],[Fecha_venta]],"yyyy")</f>
        <v>2010</v>
      </c>
    </row>
    <row r="1166" spans="1:10" x14ac:dyDescent="0.25">
      <c r="A1166">
        <v>9</v>
      </c>
      <c r="B1166" s="1">
        <v>40382</v>
      </c>
      <c r="C1166">
        <v>0</v>
      </c>
      <c r="D1166">
        <v>84.49</v>
      </c>
      <c r="E1166">
        <v>2.6080000000000001</v>
      </c>
      <c r="F1166">
        <v>214.7865779</v>
      </c>
      <c r="G1166">
        <v>462676.5</v>
      </c>
      <c r="H1166" t="str">
        <f>TEXT(Ventas[[#This Row],[Fecha_venta]],"dd")</f>
        <v>23</v>
      </c>
      <c r="I1166" t="str">
        <f>TEXT(Ventas[[#This Row],[Fecha_venta]],"m")</f>
        <v>7</v>
      </c>
      <c r="J1166" t="str">
        <f>TEXT(Ventas[[#This Row],[Fecha_venta]],"yyyy")</f>
        <v>2010</v>
      </c>
    </row>
    <row r="1167" spans="1:10" x14ac:dyDescent="0.25">
      <c r="A1167">
        <v>9</v>
      </c>
      <c r="B1167" s="1">
        <v>40389</v>
      </c>
      <c r="C1167">
        <v>0</v>
      </c>
      <c r="D1167">
        <v>79.83</v>
      </c>
      <c r="E1167">
        <v>2.64</v>
      </c>
      <c r="F1167">
        <v>214.92571050000001</v>
      </c>
      <c r="G1167">
        <v>468675.19</v>
      </c>
      <c r="H1167" t="str">
        <f>TEXT(Ventas[[#This Row],[Fecha_venta]],"dd")</f>
        <v>30</v>
      </c>
      <c r="I1167" t="str">
        <f>TEXT(Ventas[[#This Row],[Fecha_venta]],"m")</f>
        <v>7</v>
      </c>
      <c r="J1167" t="str">
        <f>TEXT(Ventas[[#This Row],[Fecha_venta]],"yyyy")</f>
        <v>2010</v>
      </c>
    </row>
    <row r="1168" spans="1:10" x14ac:dyDescent="0.25">
      <c r="A1168">
        <v>9</v>
      </c>
      <c r="B1168" s="1">
        <v>40396</v>
      </c>
      <c r="C1168">
        <v>0</v>
      </c>
      <c r="D1168">
        <v>87.09</v>
      </c>
      <c r="E1168">
        <v>2.6269999999999998</v>
      </c>
      <c r="F1168">
        <v>215.064843</v>
      </c>
      <c r="G1168">
        <v>522815.45</v>
      </c>
      <c r="H1168" t="str">
        <f>TEXT(Ventas[[#This Row],[Fecha_venta]],"dd")</f>
        <v>06</v>
      </c>
      <c r="I1168" t="str">
        <f>TEXT(Ventas[[#This Row],[Fecha_venta]],"m")</f>
        <v>8</v>
      </c>
      <c r="J1168" t="str">
        <f>TEXT(Ventas[[#This Row],[Fecha_venta]],"yyyy")</f>
        <v>2010</v>
      </c>
    </row>
    <row r="1169" spans="1:10" x14ac:dyDescent="0.25">
      <c r="A1169">
        <v>9</v>
      </c>
      <c r="B1169" s="1">
        <v>40403</v>
      </c>
      <c r="C1169">
        <v>0</v>
      </c>
      <c r="D1169">
        <v>86.85</v>
      </c>
      <c r="E1169">
        <v>2.6920000000000002</v>
      </c>
      <c r="F1169">
        <v>215.20397560000001</v>
      </c>
      <c r="G1169">
        <v>481897.98</v>
      </c>
      <c r="H1169" t="str">
        <f>TEXT(Ventas[[#This Row],[Fecha_venta]],"dd")</f>
        <v>13</v>
      </c>
      <c r="I1169" t="str">
        <f>TEXT(Ventas[[#This Row],[Fecha_venta]],"m")</f>
        <v>8</v>
      </c>
      <c r="J1169" t="str">
        <f>TEXT(Ventas[[#This Row],[Fecha_venta]],"yyyy")</f>
        <v>2010</v>
      </c>
    </row>
    <row r="1170" spans="1:10" x14ac:dyDescent="0.25">
      <c r="A1170">
        <v>9</v>
      </c>
      <c r="B1170" s="1">
        <v>40410</v>
      </c>
      <c r="C1170">
        <v>0</v>
      </c>
      <c r="D1170">
        <v>86.3</v>
      </c>
      <c r="E1170">
        <v>2.6640000000000001</v>
      </c>
      <c r="F1170">
        <v>215.1619646</v>
      </c>
      <c r="G1170">
        <v>499325.38</v>
      </c>
      <c r="H1170" t="str">
        <f>TEXT(Ventas[[#This Row],[Fecha_venta]],"dd")</f>
        <v>20</v>
      </c>
      <c r="I1170" t="str">
        <f>TEXT(Ventas[[#This Row],[Fecha_venta]],"m")</f>
        <v>8</v>
      </c>
      <c r="J1170" t="str">
        <f>TEXT(Ventas[[#This Row],[Fecha_venta]],"yyyy")</f>
        <v>2010</v>
      </c>
    </row>
    <row r="1171" spans="1:10" x14ac:dyDescent="0.25">
      <c r="A1171">
        <v>9</v>
      </c>
      <c r="B1171" s="1">
        <v>40417</v>
      </c>
      <c r="C1171">
        <v>0</v>
      </c>
      <c r="D1171">
        <v>84.01</v>
      </c>
      <c r="E1171">
        <v>2.6190000000000002</v>
      </c>
      <c r="F1171">
        <v>215.1199536</v>
      </c>
      <c r="G1171">
        <v>506789.66</v>
      </c>
      <c r="H1171" t="str">
        <f>TEXT(Ventas[[#This Row],[Fecha_venta]],"dd")</f>
        <v>27</v>
      </c>
      <c r="I1171" t="str">
        <f>TEXT(Ventas[[#This Row],[Fecha_venta]],"m")</f>
        <v>8</v>
      </c>
      <c r="J1171" t="str">
        <f>TEXT(Ventas[[#This Row],[Fecha_venta]],"yyyy")</f>
        <v>2010</v>
      </c>
    </row>
    <row r="1172" spans="1:10" x14ac:dyDescent="0.25">
      <c r="A1172">
        <v>9</v>
      </c>
      <c r="B1172" s="1">
        <v>40424</v>
      </c>
      <c r="C1172">
        <v>0</v>
      </c>
      <c r="D1172">
        <v>82.47</v>
      </c>
      <c r="E1172">
        <v>2.577</v>
      </c>
      <c r="F1172">
        <v>215.0779426</v>
      </c>
      <c r="G1172">
        <v>511049.06</v>
      </c>
      <c r="H1172" t="str">
        <f>TEXT(Ventas[[#This Row],[Fecha_venta]],"dd")</f>
        <v>03</v>
      </c>
      <c r="I1172" t="str">
        <f>TEXT(Ventas[[#This Row],[Fecha_venta]],"m")</f>
        <v>9</v>
      </c>
      <c r="J1172" t="str">
        <f>TEXT(Ventas[[#This Row],[Fecha_venta]],"yyyy")</f>
        <v>2010</v>
      </c>
    </row>
    <row r="1173" spans="1:10" x14ac:dyDescent="0.25">
      <c r="A1173">
        <v>9</v>
      </c>
      <c r="B1173" s="1">
        <v>40431</v>
      </c>
      <c r="C1173">
        <v>1</v>
      </c>
      <c r="D1173">
        <v>77.7</v>
      </c>
      <c r="E1173">
        <v>2.5649999999999999</v>
      </c>
      <c r="F1173">
        <v>215.0359315</v>
      </c>
      <c r="G1173">
        <v>484835.2</v>
      </c>
      <c r="H1173" t="str">
        <f>TEXT(Ventas[[#This Row],[Fecha_venta]],"dd")</f>
        <v>10</v>
      </c>
      <c r="I1173" t="str">
        <f>TEXT(Ventas[[#This Row],[Fecha_venta]],"m")</f>
        <v>9</v>
      </c>
      <c r="J1173" t="str">
        <f>TEXT(Ventas[[#This Row],[Fecha_venta]],"yyyy")</f>
        <v>2010</v>
      </c>
    </row>
    <row r="1174" spans="1:10" x14ac:dyDescent="0.25">
      <c r="A1174">
        <v>9</v>
      </c>
      <c r="B1174" s="1">
        <v>40438</v>
      </c>
      <c r="C1174">
        <v>0</v>
      </c>
      <c r="D1174">
        <v>81.19</v>
      </c>
      <c r="E1174">
        <v>2.5819999999999999</v>
      </c>
      <c r="F1174">
        <v>215.06152850000001</v>
      </c>
      <c r="G1174">
        <v>463448.59</v>
      </c>
      <c r="H1174" t="str">
        <f>TEXT(Ventas[[#This Row],[Fecha_venta]],"dd")</f>
        <v>17</v>
      </c>
      <c r="I1174" t="str">
        <f>TEXT(Ventas[[#This Row],[Fecha_venta]],"m")</f>
        <v>9</v>
      </c>
      <c r="J1174" t="str">
        <f>TEXT(Ventas[[#This Row],[Fecha_venta]],"yyyy")</f>
        <v>2010</v>
      </c>
    </row>
    <row r="1175" spans="1:10" x14ac:dyDescent="0.25">
      <c r="A1175">
        <v>9</v>
      </c>
      <c r="B1175" s="1">
        <v>40445</v>
      </c>
      <c r="C1175">
        <v>0</v>
      </c>
      <c r="D1175">
        <v>77.150000000000006</v>
      </c>
      <c r="E1175">
        <v>2.6240000000000001</v>
      </c>
      <c r="F1175">
        <v>215.13783129999999</v>
      </c>
      <c r="G1175">
        <v>452905.22</v>
      </c>
      <c r="H1175" t="str">
        <f>TEXT(Ventas[[#This Row],[Fecha_venta]],"dd")</f>
        <v>24</v>
      </c>
      <c r="I1175" t="str">
        <f>TEXT(Ventas[[#This Row],[Fecha_venta]],"m")</f>
        <v>9</v>
      </c>
      <c r="J1175" t="str">
        <f>TEXT(Ventas[[#This Row],[Fecha_venta]],"yyyy")</f>
        <v>2010</v>
      </c>
    </row>
    <row r="1176" spans="1:10" x14ac:dyDescent="0.25">
      <c r="A1176">
        <v>9</v>
      </c>
      <c r="B1176" s="1">
        <v>40452</v>
      </c>
      <c r="C1176">
        <v>0</v>
      </c>
      <c r="D1176">
        <v>69.08</v>
      </c>
      <c r="E1176">
        <v>2.6030000000000002</v>
      </c>
      <c r="F1176">
        <v>215.2141341</v>
      </c>
      <c r="G1176">
        <v>495692.19</v>
      </c>
      <c r="H1176" t="str">
        <f>TEXT(Ventas[[#This Row],[Fecha_venta]],"dd")</f>
        <v>01</v>
      </c>
      <c r="I1176" t="str">
        <f>TEXT(Ventas[[#This Row],[Fecha_venta]],"m")</f>
        <v>10</v>
      </c>
      <c r="J1176" t="str">
        <f>TEXT(Ventas[[#This Row],[Fecha_venta]],"yyyy")</f>
        <v>2010</v>
      </c>
    </row>
    <row r="1177" spans="1:10" x14ac:dyDescent="0.25">
      <c r="A1177">
        <v>9</v>
      </c>
      <c r="B1177" s="1">
        <v>40459</v>
      </c>
      <c r="C1177">
        <v>0</v>
      </c>
      <c r="D1177">
        <v>65.349999999999994</v>
      </c>
      <c r="E1177">
        <v>2.633</v>
      </c>
      <c r="F1177">
        <v>215.290437</v>
      </c>
      <c r="G1177">
        <v>505069.21</v>
      </c>
      <c r="H1177" t="str">
        <f>TEXT(Ventas[[#This Row],[Fecha_venta]],"dd")</f>
        <v>08</v>
      </c>
      <c r="I1177" t="str">
        <f>TEXT(Ventas[[#This Row],[Fecha_venta]],"m")</f>
        <v>10</v>
      </c>
      <c r="J1177" t="str">
        <f>TEXT(Ventas[[#This Row],[Fecha_venta]],"yyyy")</f>
        <v>2010</v>
      </c>
    </row>
    <row r="1178" spans="1:10" x14ac:dyDescent="0.25">
      <c r="A1178">
        <v>9</v>
      </c>
      <c r="B1178" s="1">
        <v>40466</v>
      </c>
      <c r="C1178">
        <v>0</v>
      </c>
      <c r="D1178">
        <v>67.36</v>
      </c>
      <c r="E1178">
        <v>2.72</v>
      </c>
      <c r="F1178">
        <v>215.35899169999999</v>
      </c>
      <c r="G1178">
        <v>454769.68</v>
      </c>
      <c r="H1178" t="str">
        <f>TEXT(Ventas[[#This Row],[Fecha_venta]],"dd")</f>
        <v>15</v>
      </c>
      <c r="I1178" t="str">
        <f>TEXT(Ventas[[#This Row],[Fecha_venta]],"m")</f>
        <v>10</v>
      </c>
      <c r="J1178" t="str">
        <f>TEXT(Ventas[[#This Row],[Fecha_venta]],"yyyy")</f>
        <v>2010</v>
      </c>
    </row>
    <row r="1179" spans="1:10" x14ac:dyDescent="0.25">
      <c r="A1179">
        <v>9</v>
      </c>
      <c r="B1179" s="1">
        <v>40473</v>
      </c>
      <c r="C1179">
        <v>0</v>
      </c>
      <c r="D1179">
        <v>69.989999999999995</v>
      </c>
      <c r="E1179">
        <v>2.7250000000000001</v>
      </c>
      <c r="F1179">
        <v>215.40817620000001</v>
      </c>
      <c r="G1179">
        <v>466322.76</v>
      </c>
      <c r="H1179" t="str">
        <f>TEXT(Ventas[[#This Row],[Fecha_venta]],"dd")</f>
        <v>22</v>
      </c>
      <c r="I1179" t="str">
        <f>TEXT(Ventas[[#This Row],[Fecha_venta]],"m")</f>
        <v>10</v>
      </c>
      <c r="J1179" t="str">
        <f>TEXT(Ventas[[#This Row],[Fecha_venta]],"yyyy")</f>
        <v>2010</v>
      </c>
    </row>
    <row r="1180" spans="1:10" x14ac:dyDescent="0.25">
      <c r="A1180">
        <v>9</v>
      </c>
      <c r="B1180" s="1">
        <v>40480</v>
      </c>
      <c r="C1180">
        <v>0</v>
      </c>
      <c r="D1180">
        <v>64.430000000000007</v>
      </c>
      <c r="E1180">
        <v>2.7160000000000002</v>
      </c>
      <c r="F1180">
        <v>215.45736070000001</v>
      </c>
      <c r="G1180">
        <v>508801.61</v>
      </c>
      <c r="H1180" t="str">
        <f>TEXT(Ventas[[#This Row],[Fecha_venta]],"dd")</f>
        <v>29</v>
      </c>
      <c r="I1180" t="str">
        <f>TEXT(Ventas[[#This Row],[Fecha_venta]],"m")</f>
        <v>10</v>
      </c>
      <c r="J1180" t="str">
        <f>TEXT(Ventas[[#This Row],[Fecha_venta]],"yyyy")</f>
        <v>2010</v>
      </c>
    </row>
    <row r="1181" spans="1:10" x14ac:dyDescent="0.25">
      <c r="A1181">
        <v>9</v>
      </c>
      <c r="B1181" s="1">
        <v>40487</v>
      </c>
      <c r="C1181">
        <v>0</v>
      </c>
      <c r="D1181">
        <v>58.69</v>
      </c>
      <c r="E1181">
        <v>2.6890000000000001</v>
      </c>
      <c r="F1181">
        <v>215.50654520000001</v>
      </c>
      <c r="G1181">
        <v>517869.97</v>
      </c>
      <c r="H1181" t="str">
        <f>TEXT(Ventas[[#This Row],[Fecha_venta]],"dd")</f>
        <v>05</v>
      </c>
      <c r="I1181" t="str">
        <f>TEXT(Ventas[[#This Row],[Fecha_venta]],"m")</f>
        <v>11</v>
      </c>
      <c r="J1181" t="str">
        <f>TEXT(Ventas[[#This Row],[Fecha_venta]],"yyyy")</f>
        <v>2010</v>
      </c>
    </row>
    <row r="1182" spans="1:10" x14ac:dyDescent="0.25">
      <c r="A1182">
        <v>9</v>
      </c>
      <c r="B1182" s="1">
        <v>40494</v>
      </c>
      <c r="C1182">
        <v>0</v>
      </c>
      <c r="D1182">
        <v>61.59</v>
      </c>
      <c r="E1182">
        <v>2.7280000000000002</v>
      </c>
      <c r="F1182">
        <v>215.5557297</v>
      </c>
      <c r="G1182">
        <v>520846.68</v>
      </c>
      <c r="H1182" t="str">
        <f>TEXT(Ventas[[#This Row],[Fecha_venta]],"dd")</f>
        <v>12</v>
      </c>
      <c r="I1182" t="str">
        <f>TEXT(Ventas[[#This Row],[Fecha_venta]],"m")</f>
        <v>11</v>
      </c>
      <c r="J1182" t="str">
        <f>TEXT(Ventas[[#This Row],[Fecha_venta]],"yyyy")</f>
        <v>2010</v>
      </c>
    </row>
    <row r="1183" spans="1:10" x14ac:dyDescent="0.25">
      <c r="A1183">
        <v>9</v>
      </c>
      <c r="B1183" s="1">
        <v>40501</v>
      </c>
      <c r="C1183">
        <v>0</v>
      </c>
      <c r="D1183">
        <v>49.96</v>
      </c>
      <c r="E1183">
        <v>2.7709999999999999</v>
      </c>
      <c r="F1183">
        <v>215.43728540000001</v>
      </c>
      <c r="G1183">
        <v>519823.3</v>
      </c>
      <c r="H1183" t="str">
        <f>TEXT(Ventas[[#This Row],[Fecha_venta]],"dd")</f>
        <v>19</v>
      </c>
      <c r="I1183" t="str">
        <f>TEXT(Ventas[[#This Row],[Fecha_venta]],"m")</f>
        <v>11</v>
      </c>
      <c r="J1183" t="str">
        <f>TEXT(Ventas[[#This Row],[Fecha_venta]],"yyyy")</f>
        <v>2010</v>
      </c>
    </row>
    <row r="1184" spans="1:10" x14ac:dyDescent="0.25">
      <c r="A1184">
        <v>9</v>
      </c>
      <c r="B1184" s="1">
        <v>40508</v>
      </c>
      <c r="C1184">
        <v>1</v>
      </c>
      <c r="D1184">
        <v>60.18</v>
      </c>
      <c r="E1184">
        <v>2.7349999999999999</v>
      </c>
      <c r="F1184">
        <v>215.2909028</v>
      </c>
      <c r="G1184">
        <v>768070.53</v>
      </c>
      <c r="H1184" t="str">
        <f>TEXT(Ventas[[#This Row],[Fecha_venta]],"dd")</f>
        <v>26</v>
      </c>
      <c r="I1184" t="str">
        <f>TEXT(Ventas[[#This Row],[Fecha_venta]],"m")</f>
        <v>11</v>
      </c>
      <c r="J1184" t="str">
        <f>TEXT(Ventas[[#This Row],[Fecha_venta]],"yyyy")</f>
        <v>2010</v>
      </c>
    </row>
    <row r="1185" spans="1:10" x14ac:dyDescent="0.25">
      <c r="A1185">
        <v>9</v>
      </c>
      <c r="B1185" s="1">
        <v>40515</v>
      </c>
      <c r="C1185">
        <v>0</v>
      </c>
      <c r="D1185">
        <v>49.89</v>
      </c>
      <c r="E1185">
        <v>2.7080000000000002</v>
      </c>
      <c r="F1185">
        <v>215.14452030000001</v>
      </c>
      <c r="G1185">
        <v>578164.81999999995</v>
      </c>
      <c r="H1185" t="str">
        <f>TEXT(Ventas[[#This Row],[Fecha_venta]],"dd")</f>
        <v>03</v>
      </c>
      <c r="I1185" t="str">
        <f>TEXT(Ventas[[#This Row],[Fecha_venta]],"m")</f>
        <v>12</v>
      </c>
      <c r="J1185" t="str">
        <f>TEXT(Ventas[[#This Row],[Fecha_venta]],"yyyy")</f>
        <v>2010</v>
      </c>
    </row>
    <row r="1186" spans="1:10" x14ac:dyDescent="0.25">
      <c r="A1186">
        <v>9</v>
      </c>
      <c r="B1186" s="1">
        <v>40522</v>
      </c>
      <c r="C1186">
        <v>0</v>
      </c>
      <c r="D1186">
        <v>46.1</v>
      </c>
      <c r="E1186">
        <v>2.843</v>
      </c>
      <c r="F1186">
        <v>214.99813779999999</v>
      </c>
      <c r="G1186">
        <v>618121.81999999995</v>
      </c>
      <c r="H1186" t="str">
        <f>TEXT(Ventas[[#This Row],[Fecha_venta]],"dd")</f>
        <v>10</v>
      </c>
      <c r="I1186" t="str">
        <f>TEXT(Ventas[[#This Row],[Fecha_venta]],"m")</f>
        <v>12</v>
      </c>
      <c r="J1186" t="str">
        <f>TEXT(Ventas[[#This Row],[Fecha_venta]],"yyyy")</f>
        <v>2010</v>
      </c>
    </row>
    <row r="1187" spans="1:10" x14ac:dyDescent="0.25">
      <c r="A1187">
        <v>9</v>
      </c>
      <c r="B1187" s="1">
        <v>40529</v>
      </c>
      <c r="C1187">
        <v>0</v>
      </c>
      <c r="D1187">
        <v>49.7</v>
      </c>
      <c r="E1187">
        <v>2.8690000000000002</v>
      </c>
      <c r="F1187">
        <v>214.93349370000001</v>
      </c>
      <c r="G1187">
        <v>685243.2</v>
      </c>
      <c r="H1187" t="str">
        <f>TEXT(Ventas[[#This Row],[Fecha_venta]],"dd")</f>
        <v>17</v>
      </c>
      <c r="I1187" t="str">
        <f>TEXT(Ventas[[#This Row],[Fecha_venta]],"m")</f>
        <v>12</v>
      </c>
      <c r="J1187" t="str">
        <f>TEXT(Ventas[[#This Row],[Fecha_venta]],"yyyy")</f>
        <v>2010</v>
      </c>
    </row>
    <row r="1188" spans="1:10" x14ac:dyDescent="0.25">
      <c r="A1188">
        <v>9</v>
      </c>
      <c r="B1188" s="1">
        <v>40536</v>
      </c>
      <c r="C1188">
        <v>0</v>
      </c>
      <c r="D1188">
        <v>50.93</v>
      </c>
      <c r="E1188">
        <v>2.8860000000000001</v>
      </c>
      <c r="F1188">
        <v>214.93015339999999</v>
      </c>
      <c r="G1188">
        <v>873347.55</v>
      </c>
      <c r="H1188" t="str">
        <f>TEXT(Ventas[[#This Row],[Fecha_venta]],"dd")</f>
        <v>24</v>
      </c>
      <c r="I1188" t="str">
        <f>TEXT(Ventas[[#This Row],[Fecha_venta]],"m")</f>
        <v>12</v>
      </c>
      <c r="J1188" t="str">
        <f>TEXT(Ventas[[#This Row],[Fecha_venta]],"yyyy")</f>
        <v>2010</v>
      </c>
    </row>
    <row r="1189" spans="1:10" x14ac:dyDescent="0.25">
      <c r="A1189">
        <v>9</v>
      </c>
      <c r="B1189" s="1">
        <v>40543</v>
      </c>
      <c r="C1189">
        <v>1</v>
      </c>
      <c r="D1189">
        <v>45.92</v>
      </c>
      <c r="E1189">
        <v>2.9430000000000001</v>
      </c>
      <c r="F1189">
        <v>214.9268131</v>
      </c>
      <c r="G1189">
        <v>459770.85</v>
      </c>
      <c r="H1189" t="str">
        <f>TEXT(Ventas[[#This Row],[Fecha_venta]],"dd")</f>
        <v>31</v>
      </c>
      <c r="I1189" t="str">
        <f>TEXT(Ventas[[#This Row],[Fecha_venta]],"m")</f>
        <v>12</v>
      </c>
      <c r="J1189" t="str">
        <f>TEXT(Ventas[[#This Row],[Fecha_venta]],"yyyy")</f>
        <v>2010</v>
      </c>
    </row>
    <row r="1190" spans="1:10" x14ac:dyDescent="0.25">
      <c r="A1190">
        <v>9</v>
      </c>
      <c r="B1190" s="1">
        <v>40550</v>
      </c>
      <c r="C1190">
        <v>0</v>
      </c>
      <c r="D1190">
        <v>41.82</v>
      </c>
      <c r="E1190">
        <v>2.976</v>
      </c>
      <c r="F1190">
        <v>214.92347290000001</v>
      </c>
      <c r="G1190">
        <v>490981.78</v>
      </c>
      <c r="H1190" t="str">
        <f>TEXT(Ventas[[#This Row],[Fecha_venta]],"dd")</f>
        <v>07</v>
      </c>
      <c r="I1190" t="str">
        <f>TEXT(Ventas[[#This Row],[Fecha_venta]],"m")</f>
        <v>1</v>
      </c>
      <c r="J1190" t="str">
        <f>TEXT(Ventas[[#This Row],[Fecha_venta]],"yyyy")</f>
        <v>2011</v>
      </c>
    </row>
    <row r="1191" spans="1:10" x14ac:dyDescent="0.25">
      <c r="A1191">
        <v>9</v>
      </c>
      <c r="B1191" s="1">
        <v>40557</v>
      </c>
      <c r="C1191">
        <v>0</v>
      </c>
      <c r="D1191">
        <v>36.43</v>
      </c>
      <c r="E1191">
        <v>2.9830000000000001</v>
      </c>
      <c r="F1191">
        <v>214.9749587</v>
      </c>
      <c r="G1191">
        <v>458086.69</v>
      </c>
      <c r="H1191" t="str">
        <f>TEXT(Ventas[[#This Row],[Fecha_venta]],"dd")</f>
        <v>14</v>
      </c>
      <c r="I1191" t="str">
        <f>TEXT(Ventas[[#This Row],[Fecha_venta]],"m")</f>
        <v>1</v>
      </c>
      <c r="J1191" t="str">
        <f>TEXT(Ventas[[#This Row],[Fecha_venta]],"yyyy")</f>
        <v>2011</v>
      </c>
    </row>
    <row r="1192" spans="1:10" x14ac:dyDescent="0.25">
      <c r="A1192">
        <v>9</v>
      </c>
      <c r="B1192" s="1">
        <v>40564</v>
      </c>
      <c r="C1192">
        <v>0</v>
      </c>
      <c r="D1192">
        <v>44.72</v>
      </c>
      <c r="E1192">
        <v>3.016</v>
      </c>
      <c r="F1192">
        <v>215.35540130000001</v>
      </c>
      <c r="G1192">
        <v>454021.69</v>
      </c>
      <c r="H1192" t="str">
        <f>TEXT(Ventas[[#This Row],[Fecha_venta]],"dd")</f>
        <v>21</v>
      </c>
      <c r="I1192" t="str">
        <f>TEXT(Ventas[[#This Row],[Fecha_venta]],"m")</f>
        <v>1</v>
      </c>
      <c r="J1192" t="str">
        <f>TEXT(Ventas[[#This Row],[Fecha_venta]],"yyyy")</f>
        <v>2011</v>
      </c>
    </row>
    <row r="1193" spans="1:10" x14ac:dyDescent="0.25">
      <c r="A1193">
        <v>9</v>
      </c>
      <c r="B1193" s="1">
        <v>40571</v>
      </c>
      <c r="C1193">
        <v>0</v>
      </c>
      <c r="D1193">
        <v>43.9</v>
      </c>
      <c r="E1193">
        <v>3.01</v>
      </c>
      <c r="F1193">
        <v>215.7358438</v>
      </c>
      <c r="G1193">
        <v>463561.48</v>
      </c>
      <c r="H1193" t="str">
        <f>TEXT(Ventas[[#This Row],[Fecha_venta]],"dd")</f>
        <v>28</v>
      </c>
      <c r="I1193" t="str">
        <f>TEXT(Ventas[[#This Row],[Fecha_venta]],"m")</f>
        <v>1</v>
      </c>
      <c r="J1193" t="str">
        <f>TEXT(Ventas[[#This Row],[Fecha_venta]],"yyyy")</f>
        <v>2011</v>
      </c>
    </row>
    <row r="1194" spans="1:10" x14ac:dyDescent="0.25">
      <c r="A1194">
        <v>9</v>
      </c>
      <c r="B1194" s="1">
        <v>40578</v>
      </c>
      <c r="C1194">
        <v>0</v>
      </c>
      <c r="D1194">
        <v>31.82</v>
      </c>
      <c r="E1194">
        <v>2.9889999999999999</v>
      </c>
      <c r="F1194">
        <v>216.11628640000001</v>
      </c>
      <c r="G1194">
        <v>544612.28</v>
      </c>
      <c r="H1194" t="str">
        <f>TEXT(Ventas[[#This Row],[Fecha_venta]],"dd")</f>
        <v>04</v>
      </c>
      <c r="I1194" t="str">
        <f>TEXT(Ventas[[#This Row],[Fecha_venta]],"m")</f>
        <v>2</v>
      </c>
      <c r="J1194" t="str">
        <f>TEXT(Ventas[[#This Row],[Fecha_venta]],"yyyy")</f>
        <v>2011</v>
      </c>
    </row>
    <row r="1195" spans="1:10" x14ac:dyDescent="0.25">
      <c r="A1195">
        <v>9</v>
      </c>
      <c r="B1195" s="1">
        <v>40585</v>
      </c>
      <c r="C1195">
        <v>1</v>
      </c>
      <c r="D1195">
        <v>34.130000000000003</v>
      </c>
      <c r="E1195">
        <v>3.0219999999999998</v>
      </c>
      <c r="F1195">
        <v>216.49672899999999</v>
      </c>
      <c r="G1195">
        <v>555279.02</v>
      </c>
      <c r="H1195" t="str">
        <f>TEXT(Ventas[[#This Row],[Fecha_venta]],"dd")</f>
        <v>11</v>
      </c>
      <c r="I1195" t="str">
        <f>TEXT(Ventas[[#This Row],[Fecha_venta]],"m")</f>
        <v>2</v>
      </c>
      <c r="J1195" t="str">
        <f>TEXT(Ventas[[#This Row],[Fecha_venta]],"yyyy")</f>
        <v>2011</v>
      </c>
    </row>
    <row r="1196" spans="1:10" x14ac:dyDescent="0.25">
      <c r="A1196">
        <v>9</v>
      </c>
      <c r="B1196" s="1">
        <v>40592</v>
      </c>
      <c r="C1196">
        <v>0</v>
      </c>
      <c r="D1196">
        <v>58.5</v>
      </c>
      <c r="E1196">
        <v>3.0449999999999999</v>
      </c>
      <c r="F1196">
        <v>216.81548559999999</v>
      </c>
      <c r="G1196">
        <v>610985.56000000006</v>
      </c>
      <c r="H1196" t="str">
        <f>TEXT(Ventas[[#This Row],[Fecha_venta]],"dd")</f>
        <v>18</v>
      </c>
      <c r="I1196" t="str">
        <f>TEXT(Ventas[[#This Row],[Fecha_venta]],"m")</f>
        <v>2</v>
      </c>
      <c r="J1196" t="str">
        <f>TEXT(Ventas[[#This Row],[Fecha_venta]],"yyyy")</f>
        <v>2011</v>
      </c>
    </row>
    <row r="1197" spans="1:10" x14ac:dyDescent="0.25">
      <c r="A1197">
        <v>9</v>
      </c>
      <c r="B1197" s="1">
        <v>40599</v>
      </c>
      <c r="C1197">
        <v>0</v>
      </c>
      <c r="D1197">
        <v>59.01</v>
      </c>
      <c r="E1197">
        <v>3.0649999999999999</v>
      </c>
      <c r="F1197">
        <v>217.1095679</v>
      </c>
      <c r="G1197">
        <v>513107.20000000001</v>
      </c>
      <c r="H1197" t="str">
        <f>TEXT(Ventas[[#This Row],[Fecha_venta]],"dd")</f>
        <v>25</v>
      </c>
      <c r="I1197" t="str">
        <f>TEXT(Ventas[[#This Row],[Fecha_venta]],"m")</f>
        <v>2</v>
      </c>
      <c r="J1197" t="str">
        <f>TEXT(Ventas[[#This Row],[Fecha_venta]],"yyyy")</f>
        <v>2011</v>
      </c>
    </row>
    <row r="1198" spans="1:10" x14ac:dyDescent="0.25">
      <c r="A1198">
        <v>9</v>
      </c>
      <c r="B1198" s="1">
        <v>40606</v>
      </c>
      <c r="C1198">
        <v>0</v>
      </c>
      <c r="D1198">
        <v>60.67</v>
      </c>
      <c r="E1198">
        <v>3.2879999999999998</v>
      </c>
      <c r="F1198">
        <v>217.40365030000001</v>
      </c>
      <c r="G1198">
        <v>542016.18000000005</v>
      </c>
      <c r="H1198" t="str">
        <f>TEXT(Ventas[[#This Row],[Fecha_venta]],"dd")</f>
        <v>04</v>
      </c>
      <c r="I1198" t="str">
        <f>TEXT(Ventas[[#This Row],[Fecha_venta]],"m")</f>
        <v>3</v>
      </c>
      <c r="J1198" t="str">
        <f>TEXT(Ventas[[#This Row],[Fecha_venta]],"yyyy")</f>
        <v>2011</v>
      </c>
    </row>
    <row r="1199" spans="1:10" x14ac:dyDescent="0.25">
      <c r="A1199">
        <v>9</v>
      </c>
      <c r="B1199" s="1">
        <v>40613</v>
      </c>
      <c r="C1199">
        <v>0</v>
      </c>
      <c r="D1199">
        <v>54.75</v>
      </c>
      <c r="E1199">
        <v>3.4590000000000001</v>
      </c>
      <c r="F1199">
        <v>217.69773259999999</v>
      </c>
      <c r="G1199">
        <v>517783.5</v>
      </c>
      <c r="H1199" t="str">
        <f>TEXT(Ventas[[#This Row],[Fecha_venta]],"dd")</f>
        <v>11</v>
      </c>
      <c r="I1199" t="str">
        <f>TEXT(Ventas[[#This Row],[Fecha_venta]],"m")</f>
        <v>3</v>
      </c>
      <c r="J1199" t="str">
        <f>TEXT(Ventas[[#This Row],[Fecha_venta]],"yyyy")</f>
        <v>2011</v>
      </c>
    </row>
    <row r="1200" spans="1:10" x14ac:dyDescent="0.25">
      <c r="A1200">
        <v>9</v>
      </c>
      <c r="B1200" s="1">
        <v>40620</v>
      </c>
      <c r="C1200">
        <v>0</v>
      </c>
      <c r="D1200">
        <v>63.82</v>
      </c>
      <c r="E1200">
        <v>3.488</v>
      </c>
      <c r="F1200">
        <v>217.95633710000001</v>
      </c>
      <c r="G1200">
        <v>515226.11</v>
      </c>
      <c r="H1200" t="str">
        <f>TEXT(Ventas[[#This Row],[Fecha_venta]],"dd")</f>
        <v>18</v>
      </c>
      <c r="I1200" t="str">
        <f>TEXT(Ventas[[#This Row],[Fecha_venta]],"m")</f>
        <v>3</v>
      </c>
      <c r="J1200" t="str">
        <f>TEXT(Ventas[[#This Row],[Fecha_venta]],"yyyy")</f>
        <v>2011</v>
      </c>
    </row>
    <row r="1201" spans="1:10" x14ac:dyDescent="0.25">
      <c r="A1201">
        <v>9</v>
      </c>
      <c r="B1201" s="1">
        <v>40627</v>
      </c>
      <c r="C1201">
        <v>0</v>
      </c>
      <c r="D1201">
        <v>68.790000000000006</v>
      </c>
      <c r="E1201">
        <v>3.4729999999999999</v>
      </c>
      <c r="F1201">
        <v>218.20075059999999</v>
      </c>
      <c r="G1201">
        <v>497488.4</v>
      </c>
      <c r="H1201" t="str">
        <f>TEXT(Ventas[[#This Row],[Fecha_venta]],"dd")</f>
        <v>25</v>
      </c>
      <c r="I1201" t="str">
        <f>TEXT(Ventas[[#This Row],[Fecha_venta]],"m")</f>
        <v>3</v>
      </c>
      <c r="J1201" t="str">
        <f>TEXT(Ventas[[#This Row],[Fecha_venta]],"yyyy")</f>
        <v>2011</v>
      </c>
    </row>
    <row r="1202" spans="1:10" x14ac:dyDescent="0.25">
      <c r="A1202">
        <v>9</v>
      </c>
      <c r="B1202" s="1">
        <v>40634</v>
      </c>
      <c r="C1202">
        <v>0</v>
      </c>
      <c r="D1202">
        <v>56.12</v>
      </c>
      <c r="E1202">
        <v>3.524</v>
      </c>
      <c r="F1202">
        <v>218.44516400000001</v>
      </c>
      <c r="G1202">
        <v>520962.14</v>
      </c>
      <c r="H1202" t="str">
        <f>TEXT(Ventas[[#This Row],[Fecha_venta]],"dd")</f>
        <v>01</v>
      </c>
      <c r="I1202" t="str">
        <f>TEXT(Ventas[[#This Row],[Fecha_venta]],"m")</f>
        <v>4</v>
      </c>
      <c r="J1202" t="str">
        <f>TEXT(Ventas[[#This Row],[Fecha_venta]],"yyyy")</f>
        <v>2011</v>
      </c>
    </row>
    <row r="1203" spans="1:10" x14ac:dyDescent="0.25">
      <c r="A1203">
        <v>9</v>
      </c>
      <c r="B1203" s="1">
        <v>40641</v>
      </c>
      <c r="C1203">
        <v>0</v>
      </c>
      <c r="D1203">
        <v>71.400000000000006</v>
      </c>
      <c r="E1203">
        <v>3.6219999999999999</v>
      </c>
      <c r="F1203">
        <v>218.68957750000001</v>
      </c>
      <c r="G1203">
        <v>561625.92000000004</v>
      </c>
      <c r="H1203" t="str">
        <f>TEXT(Ventas[[#This Row],[Fecha_venta]],"dd")</f>
        <v>08</v>
      </c>
      <c r="I1203" t="str">
        <f>TEXT(Ventas[[#This Row],[Fecha_venta]],"m")</f>
        <v>4</v>
      </c>
      <c r="J1203" t="str">
        <f>TEXT(Ventas[[#This Row],[Fecha_venta]],"yyyy")</f>
        <v>2011</v>
      </c>
    </row>
    <row r="1204" spans="1:10" x14ac:dyDescent="0.25">
      <c r="A1204">
        <v>9</v>
      </c>
      <c r="B1204" s="1">
        <v>40648</v>
      </c>
      <c r="C1204">
        <v>0</v>
      </c>
      <c r="D1204">
        <v>71.900000000000006</v>
      </c>
      <c r="E1204">
        <v>3.7429999999999999</v>
      </c>
      <c r="F1204">
        <v>218.91349349999999</v>
      </c>
      <c r="G1204">
        <v>528420.28</v>
      </c>
      <c r="H1204" t="str">
        <f>TEXT(Ventas[[#This Row],[Fecha_venta]],"dd")</f>
        <v>15</v>
      </c>
      <c r="I1204" t="str">
        <f>TEXT(Ventas[[#This Row],[Fecha_venta]],"m")</f>
        <v>4</v>
      </c>
      <c r="J1204" t="str">
        <f>TEXT(Ventas[[#This Row],[Fecha_venta]],"yyyy")</f>
        <v>2011</v>
      </c>
    </row>
    <row r="1205" spans="1:10" x14ac:dyDescent="0.25">
      <c r="A1205">
        <v>9</v>
      </c>
      <c r="B1205" s="1">
        <v>40655</v>
      </c>
      <c r="C1205">
        <v>0</v>
      </c>
      <c r="D1205">
        <v>72.349999999999994</v>
      </c>
      <c r="E1205">
        <v>3.8069999999999999</v>
      </c>
      <c r="F1205">
        <v>219.0861659</v>
      </c>
      <c r="G1205">
        <v>549502.11</v>
      </c>
      <c r="H1205" t="str">
        <f>TEXT(Ventas[[#This Row],[Fecha_venta]],"dd")</f>
        <v>22</v>
      </c>
      <c r="I1205" t="str">
        <f>TEXT(Ventas[[#This Row],[Fecha_venta]],"m")</f>
        <v>4</v>
      </c>
      <c r="J1205" t="str">
        <f>TEXT(Ventas[[#This Row],[Fecha_venta]],"yyyy")</f>
        <v>2011</v>
      </c>
    </row>
    <row r="1206" spans="1:10" x14ac:dyDescent="0.25">
      <c r="A1206">
        <v>9</v>
      </c>
      <c r="B1206" s="1">
        <v>40662</v>
      </c>
      <c r="C1206">
        <v>0</v>
      </c>
      <c r="D1206">
        <v>70.849999999999994</v>
      </c>
      <c r="E1206">
        <v>3.81</v>
      </c>
      <c r="F1206">
        <v>219.25883820000001</v>
      </c>
      <c r="G1206">
        <v>532226.19999999995</v>
      </c>
      <c r="H1206" t="str">
        <f>TEXT(Ventas[[#This Row],[Fecha_venta]],"dd")</f>
        <v>29</v>
      </c>
      <c r="I1206" t="str">
        <f>TEXT(Ventas[[#This Row],[Fecha_venta]],"m")</f>
        <v>4</v>
      </c>
      <c r="J1206" t="str">
        <f>TEXT(Ventas[[#This Row],[Fecha_venta]],"yyyy")</f>
        <v>2011</v>
      </c>
    </row>
    <row r="1207" spans="1:10" x14ac:dyDescent="0.25">
      <c r="A1207">
        <v>9</v>
      </c>
      <c r="B1207" s="1">
        <v>40669</v>
      </c>
      <c r="C1207">
        <v>0</v>
      </c>
      <c r="D1207">
        <v>62.2</v>
      </c>
      <c r="E1207">
        <v>3.9060000000000001</v>
      </c>
      <c r="F1207">
        <v>219.4315106</v>
      </c>
      <c r="G1207">
        <v>545251.1</v>
      </c>
      <c r="H1207" t="str">
        <f>TEXT(Ventas[[#This Row],[Fecha_venta]],"dd")</f>
        <v>06</v>
      </c>
      <c r="I1207" t="str">
        <f>TEXT(Ventas[[#This Row],[Fecha_venta]],"m")</f>
        <v>5</v>
      </c>
      <c r="J1207" t="str">
        <f>TEXT(Ventas[[#This Row],[Fecha_venta]],"yyyy")</f>
        <v>2011</v>
      </c>
    </row>
    <row r="1208" spans="1:10" x14ac:dyDescent="0.25">
      <c r="A1208">
        <v>9</v>
      </c>
      <c r="B1208" s="1">
        <v>40676</v>
      </c>
      <c r="C1208">
        <v>0</v>
      </c>
      <c r="D1208">
        <v>77.66</v>
      </c>
      <c r="E1208">
        <v>3.899</v>
      </c>
      <c r="F1208">
        <v>219.60418290000001</v>
      </c>
      <c r="G1208">
        <v>539126</v>
      </c>
      <c r="H1208" t="str">
        <f>TEXT(Ventas[[#This Row],[Fecha_venta]],"dd")</f>
        <v>13</v>
      </c>
      <c r="I1208" t="str">
        <f>TEXT(Ventas[[#This Row],[Fecha_venta]],"m")</f>
        <v>5</v>
      </c>
      <c r="J1208" t="str">
        <f>TEXT(Ventas[[#This Row],[Fecha_venta]],"yyyy")</f>
        <v>2011</v>
      </c>
    </row>
    <row r="1209" spans="1:10" x14ac:dyDescent="0.25">
      <c r="A1209">
        <v>9</v>
      </c>
      <c r="B1209" s="1">
        <v>40683</v>
      </c>
      <c r="C1209">
        <v>0</v>
      </c>
      <c r="D1209">
        <v>70.489999999999995</v>
      </c>
      <c r="E1209">
        <v>3.907</v>
      </c>
      <c r="F1209">
        <v>219.3622809</v>
      </c>
      <c r="G1209">
        <v>518266.9</v>
      </c>
      <c r="H1209" t="str">
        <f>TEXT(Ventas[[#This Row],[Fecha_venta]],"dd")</f>
        <v>20</v>
      </c>
      <c r="I1209" t="str">
        <f>TEXT(Ventas[[#This Row],[Fecha_venta]],"m")</f>
        <v>5</v>
      </c>
      <c r="J1209" t="str">
        <f>TEXT(Ventas[[#This Row],[Fecha_venta]],"yyyy")</f>
        <v>2011</v>
      </c>
    </row>
    <row r="1210" spans="1:10" x14ac:dyDescent="0.25">
      <c r="A1210">
        <v>9</v>
      </c>
      <c r="B1210" s="1">
        <v>40690</v>
      </c>
      <c r="C1210">
        <v>0</v>
      </c>
      <c r="D1210">
        <v>80.42</v>
      </c>
      <c r="E1210">
        <v>3.786</v>
      </c>
      <c r="F1210">
        <v>219.1203788</v>
      </c>
      <c r="G1210">
        <v>553834.04</v>
      </c>
      <c r="H1210" t="str">
        <f>TEXT(Ventas[[#This Row],[Fecha_venta]],"dd")</f>
        <v>27</v>
      </c>
      <c r="I1210" t="str">
        <f>TEXT(Ventas[[#This Row],[Fecha_venta]],"m")</f>
        <v>5</v>
      </c>
      <c r="J1210" t="str">
        <f>TEXT(Ventas[[#This Row],[Fecha_venta]],"yyyy")</f>
        <v>2011</v>
      </c>
    </row>
    <row r="1211" spans="1:10" x14ac:dyDescent="0.25">
      <c r="A1211">
        <v>9</v>
      </c>
      <c r="B1211" s="1">
        <v>40697</v>
      </c>
      <c r="C1211">
        <v>0</v>
      </c>
      <c r="D1211">
        <v>85.8</v>
      </c>
      <c r="E1211">
        <v>3.6989999999999998</v>
      </c>
      <c r="F1211">
        <v>218.87847679999999</v>
      </c>
      <c r="G1211">
        <v>587004.29</v>
      </c>
      <c r="H1211" t="str">
        <f>TEXT(Ventas[[#This Row],[Fecha_venta]],"dd")</f>
        <v>03</v>
      </c>
      <c r="I1211" t="str">
        <f>TEXT(Ventas[[#This Row],[Fecha_venta]],"m")</f>
        <v>6</v>
      </c>
      <c r="J1211" t="str">
        <f>TEXT(Ventas[[#This Row],[Fecha_venta]],"yyyy")</f>
        <v>2011</v>
      </c>
    </row>
    <row r="1212" spans="1:10" x14ac:dyDescent="0.25">
      <c r="A1212">
        <v>9</v>
      </c>
      <c r="B1212" s="1">
        <v>40704</v>
      </c>
      <c r="C1212">
        <v>0</v>
      </c>
      <c r="D1212">
        <v>85.81</v>
      </c>
      <c r="E1212">
        <v>3.6480000000000001</v>
      </c>
      <c r="F1212">
        <v>218.63657470000001</v>
      </c>
      <c r="G1212">
        <v>550076.31999999995</v>
      </c>
      <c r="H1212" t="str">
        <f>TEXT(Ventas[[#This Row],[Fecha_venta]],"dd")</f>
        <v>10</v>
      </c>
      <c r="I1212" t="str">
        <f>TEXT(Ventas[[#This Row],[Fecha_venta]],"m")</f>
        <v>6</v>
      </c>
      <c r="J1212" t="str">
        <f>TEXT(Ventas[[#This Row],[Fecha_venta]],"yyyy")</f>
        <v>2011</v>
      </c>
    </row>
    <row r="1213" spans="1:10" x14ac:dyDescent="0.25">
      <c r="A1213">
        <v>9</v>
      </c>
      <c r="B1213" s="1">
        <v>40711</v>
      </c>
      <c r="C1213">
        <v>0</v>
      </c>
      <c r="D1213">
        <v>89.15</v>
      </c>
      <c r="E1213">
        <v>3.637</v>
      </c>
      <c r="F1213">
        <v>218.5877333</v>
      </c>
      <c r="G1213">
        <v>558671.14</v>
      </c>
      <c r="H1213" t="str">
        <f>TEXT(Ventas[[#This Row],[Fecha_venta]],"dd")</f>
        <v>17</v>
      </c>
      <c r="I1213" t="str">
        <f>TEXT(Ventas[[#This Row],[Fecha_venta]],"m")</f>
        <v>6</v>
      </c>
      <c r="J1213" t="str">
        <f>TEXT(Ventas[[#This Row],[Fecha_venta]],"yyyy")</f>
        <v>2011</v>
      </c>
    </row>
    <row r="1214" spans="1:10" x14ac:dyDescent="0.25">
      <c r="A1214">
        <v>9</v>
      </c>
      <c r="B1214" s="1">
        <v>40718</v>
      </c>
      <c r="C1214">
        <v>0</v>
      </c>
      <c r="D1214">
        <v>86.74</v>
      </c>
      <c r="E1214">
        <v>3.5939999999999999</v>
      </c>
      <c r="F1214">
        <v>218.6836874</v>
      </c>
      <c r="G1214">
        <v>538745.93000000005</v>
      </c>
      <c r="H1214" t="str">
        <f>TEXT(Ventas[[#This Row],[Fecha_venta]],"dd")</f>
        <v>24</v>
      </c>
      <c r="I1214" t="str">
        <f>TEXT(Ventas[[#This Row],[Fecha_venta]],"m")</f>
        <v>6</v>
      </c>
      <c r="J1214" t="str">
        <f>TEXT(Ventas[[#This Row],[Fecha_venta]],"yyyy")</f>
        <v>2011</v>
      </c>
    </row>
    <row r="1215" spans="1:10" x14ac:dyDescent="0.25">
      <c r="A1215">
        <v>9</v>
      </c>
      <c r="B1215" s="1">
        <v>40725</v>
      </c>
      <c r="C1215">
        <v>0</v>
      </c>
      <c r="D1215">
        <v>89.14</v>
      </c>
      <c r="E1215">
        <v>3.524</v>
      </c>
      <c r="F1215">
        <v>218.7796415</v>
      </c>
      <c r="G1215">
        <v>537064.03</v>
      </c>
      <c r="H1215" t="str">
        <f>TEXT(Ventas[[#This Row],[Fecha_venta]],"dd")</f>
        <v>01</v>
      </c>
      <c r="I1215" t="str">
        <f>TEXT(Ventas[[#This Row],[Fecha_venta]],"m")</f>
        <v>7</v>
      </c>
      <c r="J1215" t="str">
        <f>TEXT(Ventas[[#This Row],[Fecha_venta]],"yyyy")</f>
        <v>2011</v>
      </c>
    </row>
    <row r="1216" spans="1:10" x14ac:dyDescent="0.25">
      <c r="A1216">
        <v>9</v>
      </c>
      <c r="B1216" s="1">
        <v>40732</v>
      </c>
      <c r="C1216">
        <v>0</v>
      </c>
      <c r="D1216">
        <v>89.04</v>
      </c>
      <c r="E1216">
        <v>3.48</v>
      </c>
      <c r="F1216">
        <v>218.8755955</v>
      </c>
      <c r="G1216">
        <v>535983.13</v>
      </c>
      <c r="H1216" t="str">
        <f>TEXT(Ventas[[#This Row],[Fecha_venta]],"dd")</f>
        <v>08</v>
      </c>
      <c r="I1216" t="str">
        <f>TEXT(Ventas[[#This Row],[Fecha_venta]],"m")</f>
        <v>7</v>
      </c>
      <c r="J1216" t="str">
        <f>TEXT(Ventas[[#This Row],[Fecha_venta]],"yyyy")</f>
        <v>2011</v>
      </c>
    </row>
    <row r="1217" spans="1:10" x14ac:dyDescent="0.25">
      <c r="A1217">
        <v>9</v>
      </c>
      <c r="B1217" s="1">
        <v>40739</v>
      </c>
      <c r="C1217">
        <v>0</v>
      </c>
      <c r="D1217">
        <v>90.45</v>
      </c>
      <c r="E1217">
        <v>3.5750000000000002</v>
      </c>
      <c r="F1217">
        <v>218.96072419999999</v>
      </c>
      <c r="G1217">
        <v>512834.04</v>
      </c>
      <c r="H1217" t="str">
        <f>TEXT(Ventas[[#This Row],[Fecha_venta]],"dd")</f>
        <v>15</v>
      </c>
      <c r="I1217" t="str">
        <f>TEXT(Ventas[[#This Row],[Fecha_venta]],"m")</f>
        <v>7</v>
      </c>
      <c r="J1217" t="str">
        <f>TEXT(Ventas[[#This Row],[Fecha_venta]],"yyyy")</f>
        <v>2011</v>
      </c>
    </row>
    <row r="1218" spans="1:10" x14ac:dyDescent="0.25">
      <c r="A1218">
        <v>9</v>
      </c>
      <c r="B1218" s="1">
        <v>40746</v>
      </c>
      <c r="C1218">
        <v>0</v>
      </c>
      <c r="D1218">
        <v>89.08</v>
      </c>
      <c r="E1218">
        <v>3.6509999999999998</v>
      </c>
      <c r="F1218">
        <v>219.0187895</v>
      </c>
      <c r="G1218">
        <v>491449.94</v>
      </c>
      <c r="H1218" t="str">
        <f>TEXT(Ventas[[#This Row],[Fecha_venta]],"dd")</f>
        <v>22</v>
      </c>
      <c r="I1218" t="str">
        <f>TEXT(Ventas[[#This Row],[Fecha_venta]],"m")</f>
        <v>7</v>
      </c>
      <c r="J1218" t="str">
        <f>TEXT(Ventas[[#This Row],[Fecha_venta]],"yyyy")</f>
        <v>2011</v>
      </c>
    </row>
    <row r="1219" spans="1:10" x14ac:dyDescent="0.25">
      <c r="A1219">
        <v>9</v>
      </c>
      <c r="B1219" s="1">
        <v>40753</v>
      </c>
      <c r="C1219">
        <v>0</v>
      </c>
      <c r="D1219">
        <v>91.1</v>
      </c>
      <c r="E1219">
        <v>3.6819999999999999</v>
      </c>
      <c r="F1219">
        <v>219.07685480000001</v>
      </c>
      <c r="G1219">
        <v>471449.98</v>
      </c>
      <c r="H1219" t="str">
        <f>TEXT(Ventas[[#This Row],[Fecha_venta]],"dd")</f>
        <v>29</v>
      </c>
      <c r="I1219" t="str">
        <f>TEXT(Ventas[[#This Row],[Fecha_venta]],"m")</f>
        <v>7</v>
      </c>
      <c r="J1219" t="str">
        <f>TEXT(Ventas[[#This Row],[Fecha_venta]],"yyyy")</f>
        <v>2011</v>
      </c>
    </row>
    <row r="1220" spans="1:10" x14ac:dyDescent="0.25">
      <c r="A1220">
        <v>9</v>
      </c>
      <c r="B1220" s="1">
        <v>40760</v>
      </c>
      <c r="C1220">
        <v>0</v>
      </c>
      <c r="D1220">
        <v>91.52</v>
      </c>
      <c r="E1220">
        <v>3.6840000000000002</v>
      </c>
      <c r="F1220">
        <v>219.13492009999999</v>
      </c>
      <c r="G1220">
        <v>554879.67000000004</v>
      </c>
      <c r="H1220" t="str">
        <f>TEXT(Ventas[[#This Row],[Fecha_venta]],"dd")</f>
        <v>05</v>
      </c>
      <c r="I1220" t="str">
        <f>TEXT(Ventas[[#This Row],[Fecha_venta]],"m")</f>
        <v>8</v>
      </c>
      <c r="J1220" t="str">
        <f>TEXT(Ventas[[#This Row],[Fecha_venta]],"yyyy")</f>
        <v>2011</v>
      </c>
    </row>
    <row r="1221" spans="1:10" x14ac:dyDescent="0.25">
      <c r="A1221">
        <v>9</v>
      </c>
      <c r="B1221" s="1">
        <v>40767</v>
      </c>
      <c r="C1221">
        <v>0</v>
      </c>
      <c r="D1221">
        <v>91.63</v>
      </c>
      <c r="E1221">
        <v>3.6379999999999999</v>
      </c>
      <c r="F1221">
        <v>219.1929854</v>
      </c>
      <c r="G1221">
        <v>520284.79</v>
      </c>
      <c r="H1221" t="str">
        <f>TEXT(Ventas[[#This Row],[Fecha_venta]],"dd")</f>
        <v>12</v>
      </c>
      <c r="I1221" t="str">
        <f>TEXT(Ventas[[#This Row],[Fecha_venta]],"m")</f>
        <v>8</v>
      </c>
      <c r="J1221" t="str">
        <f>TEXT(Ventas[[#This Row],[Fecha_venta]],"yyyy")</f>
        <v>2011</v>
      </c>
    </row>
    <row r="1222" spans="1:10" x14ac:dyDescent="0.25">
      <c r="A1222">
        <v>9</v>
      </c>
      <c r="B1222" s="1">
        <v>40774</v>
      </c>
      <c r="C1222">
        <v>0</v>
      </c>
      <c r="D1222">
        <v>85.8</v>
      </c>
      <c r="E1222">
        <v>3.5539999999999998</v>
      </c>
      <c r="F1222">
        <v>219.25561089999999</v>
      </c>
      <c r="G1222">
        <v>540819.43999999994</v>
      </c>
      <c r="H1222" t="str">
        <f>TEXT(Ventas[[#This Row],[Fecha_venta]],"dd")</f>
        <v>19</v>
      </c>
      <c r="I1222" t="str">
        <f>TEXT(Ventas[[#This Row],[Fecha_venta]],"m")</f>
        <v>8</v>
      </c>
      <c r="J1222" t="str">
        <f>TEXT(Ventas[[#This Row],[Fecha_venta]],"yyyy")</f>
        <v>2011</v>
      </c>
    </row>
    <row r="1223" spans="1:10" x14ac:dyDescent="0.25">
      <c r="A1223">
        <v>9</v>
      </c>
      <c r="B1223" s="1">
        <v>40781</v>
      </c>
      <c r="C1223">
        <v>0</v>
      </c>
      <c r="D1223">
        <v>88.95</v>
      </c>
      <c r="E1223">
        <v>3.5230000000000001</v>
      </c>
      <c r="F1223">
        <v>219.3189965</v>
      </c>
      <c r="G1223">
        <v>542663.53</v>
      </c>
      <c r="H1223" t="str">
        <f>TEXT(Ventas[[#This Row],[Fecha_venta]],"dd")</f>
        <v>26</v>
      </c>
      <c r="I1223" t="str">
        <f>TEXT(Ventas[[#This Row],[Fecha_venta]],"m")</f>
        <v>8</v>
      </c>
      <c r="J1223" t="str">
        <f>TEXT(Ventas[[#This Row],[Fecha_venta]],"yyyy")</f>
        <v>2011</v>
      </c>
    </row>
    <row r="1224" spans="1:10" x14ac:dyDescent="0.25">
      <c r="A1224">
        <v>9</v>
      </c>
      <c r="B1224" s="1">
        <v>40788</v>
      </c>
      <c r="C1224">
        <v>0</v>
      </c>
      <c r="D1224">
        <v>0</v>
      </c>
      <c r="E1224">
        <v>3.5329999999999999</v>
      </c>
      <c r="F1224">
        <v>219.38238200000001</v>
      </c>
      <c r="G1224">
        <v>544643.32999999996</v>
      </c>
      <c r="H1224" t="str">
        <f>TEXT(Ventas[[#This Row],[Fecha_venta]],"dd")</f>
        <v>02</v>
      </c>
      <c r="I1224" t="str">
        <f>TEXT(Ventas[[#This Row],[Fecha_venta]],"m")</f>
        <v>9</v>
      </c>
      <c r="J1224" t="str">
        <f>TEXT(Ventas[[#This Row],[Fecha_venta]],"yyyy")</f>
        <v>2011</v>
      </c>
    </row>
    <row r="1225" spans="1:10" x14ac:dyDescent="0.25">
      <c r="A1225">
        <v>9</v>
      </c>
      <c r="B1225" s="1">
        <v>40795</v>
      </c>
      <c r="C1225">
        <v>1</v>
      </c>
      <c r="D1225">
        <v>75.650000000000006</v>
      </c>
      <c r="E1225">
        <v>3.5459999999999998</v>
      </c>
      <c r="F1225">
        <v>219.44576749999999</v>
      </c>
      <c r="G1225">
        <v>528784.86</v>
      </c>
      <c r="H1225" t="str">
        <f>TEXT(Ventas[[#This Row],[Fecha_venta]],"dd")</f>
        <v>09</v>
      </c>
      <c r="I1225" t="str">
        <f>TEXT(Ventas[[#This Row],[Fecha_venta]],"m")</f>
        <v>9</v>
      </c>
      <c r="J1225" t="str">
        <f>TEXT(Ventas[[#This Row],[Fecha_venta]],"yyyy")</f>
        <v>2011</v>
      </c>
    </row>
    <row r="1226" spans="1:10" x14ac:dyDescent="0.25">
      <c r="A1226">
        <v>9</v>
      </c>
      <c r="B1226" s="1">
        <v>40802</v>
      </c>
      <c r="C1226">
        <v>0</v>
      </c>
      <c r="D1226">
        <v>77.95</v>
      </c>
      <c r="E1226">
        <v>3.5259999999999998</v>
      </c>
      <c r="F1226">
        <v>219.62978409999999</v>
      </c>
      <c r="G1226">
        <v>500274.03</v>
      </c>
      <c r="H1226" t="str">
        <f>TEXT(Ventas[[#This Row],[Fecha_venta]],"dd")</f>
        <v>16</v>
      </c>
      <c r="I1226" t="str">
        <f>TEXT(Ventas[[#This Row],[Fecha_venta]],"m")</f>
        <v>9</v>
      </c>
      <c r="J1226" t="str">
        <f>TEXT(Ventas[[#This Row],[Fecha_venta]],"yyyy")</f>
        <v>2011</v>
      </c>
    </row>
    <row r="1227" spans="1:10" x14ac:dyDescent="0.25">
      <c r="A1227">
        <v>9</v>
      </c>
      <c r="B1227" s="1">
        <v>40809</v>
      </c>
      <c r="C1227">
        <v>0</v>
      </c>
      <c r="D1227">
        <v>74.42</v>
      </c>
      <c r="E1227">
        <v>3.4670000000000001</v>
      </c>
      <c r="F1227">
        <v>219.9746423</v>
      </c>
      <c r="G1227">
        <v>506743.78</v>
      </c>
      <c r="H1227" t="str">
        <f>TEXT(Ventas[[#This Row],[Fecha_venta]],"dd")</f>
        <v>23</v>
      </c>
      <c r="I1227" t="str">
        <f>TEXT(Ventas[[#This Row],[Fecha_venta]],"m")</f>
        <v>9</v>
      </c>
      <c r="J1227" t="str">
        <f>TEXT(Ventas[[#This Row],[Fecha_venta]],"yyyy")</f>
        <v>2011</v>
      </c>
    </row>
    <row r="1228" spans="1:10" x14ac:dyDescent="0.25">
      <c r="A1228">
        <v>9</v>
      </c>
      <c r="B1228" s="1">
        <v>40816</v>
      </c>
      <c r="C1228">
        <v>0</v>
      </c>
      <c r="D1228">
        <v>78.45</v>
      </c>
      <c r="E1228">
        <v>3.355</v>
      </c>
      <c r="F1228">
        <v>220.31950040000001</v>
      </c>
      <c r="G1228">
        <v>508567.03999999998</v>
      </c>
      <c r="H1228" t="str">
        <f>TEXT(Ventas[[#This Row],[Fecha_venta]],"dd")</f>
        <v>30</v>
      </c>
      <c r="I1228" t="str">
        <f>TEXT(Ventas[[#This Row],[Fecha_venta]],"m")</f>
        <v>9</v>
      </c>
      <c r="J1228" t="str">
        <f>TEXT(Ventas[[#This Row],[Fecha_venta]],"yyyy")</f>
        <v>2011</v>
      </c>
    </row>
    <row r="1229" spans="1:10" x14ac:dyDescent="0.25">
      <c r="A1229">
        <v>9</v>
      </c>
      <c r="B1229" s="1">
        <v>40823</v>
      </c>
      <c r="C1229">
        <v>0</v>
      </c>
      <c r="D1229">
        <v>72.62</v>
      </c>
      <c r="E1229">
        <v>3.2850000000000001</v>
      </c>
      <c r="F1229">
        <v>220.66435849999999</v>
      </c>
      <c r="G1229">
        <v>553836.98</v>
      </c>
      <c r="H1229" t="str">
        <f>TEXT(Ventas[[#This Row],[Fecha_venta]],"dd")</f>
        <v>07</v>
      </c>
      <c r="I1229" t="str">
        <f>TEXT(Ventas[[#This Row],[Fecha_venta]],"m")</f>
        <v>10</v>
      </c>
      <c r="J1229" t="str">
        <f>TEXT(Ventas[[#This Row],[Fecha_venta]],"yyyy")</f>
        <v>2011</v>
      </c>
    </row>
    <row r="1230" spans="1:10" x14ac:dyDescent="0.25">
      <c r="A1230">
        <v>9</v>
      </c>
      <c r="B1230" s="1">
        <v>40830</v>
      </c>
      <c r="C1230">
        <v>0</v>
      </c>
      <c r="D1230">
        <v>67.27</v>
      </c>
      <c r="E1230">
        <v>3.274</v>
      </c>
      <c r="F1230">
        <v>220.98368489999999</v>
      </c>
      <c r="G1230">
        <v>529515.66</v>
      </c>
      <c r="H1230" t="str">
        <f>TEXT(Ventas[[#This Row],[Fecha_venta]],"dd")</f>
        <v>14</v>
      </c>
      <c r="I1230" t="str">
        <f>TEXT(Ventas[[#This Row],[Fecha_venta]],"m")</f>
        <v>10</v>
      </c>
      <c r="J1230" t="str">
        <f>TEXT(Ventas[[#This Row],[Fecha_venta]],"yyyy")</f>
        <v>2011</v>
      </c>
    </row>
    <row r="1231" spans="1:10" x14ac:dyDescent="0.25">
      <c r="A1231">
        <v>9</v>
      </c>
      <c r="B1231" s="1">
        <v>40837</v>
      </c>
      <c r="C1231">
        <v>0</v>
      </c>
      <c r="D1231">
        <v>65.459999999999994</v>
      </c>
      <c r="E1231">
        <v>3.3530000000000002</v>
      </c>
      <c r="F1231">
        <v>221.1498206</v>
      </c>
      <c r="G1231">
        <v>557075.21</v>
      </c>
      <c r="H1231" t="str">
        <f>TEXT(Ventas[[#This Row],[Fecha_venta]],"dd")</f>
        <v>21</v>
      </c>
      <c r="I1231" t="str">
        <f>TEXT(Ventas[[#This Row],[Fecha_venta]],"m")</f>
        <v>10</v>
      </c>
      <c r="J1231" t="str">
        <f>TEXT(Ventas[[#This Row],[Fecha_venta]],"yyyy")</f>
        <v>2011</v>
      </c>
    </row>
    <row r="1232" spans="1:10" x14ac:dyDescent="0.25">
      <c r="A1232">
        <v>9</v>
      </c>
      <c r="B1232" s="1">
        <v>40844</v>
      </c>
      <c r="C1232">
        <v>0</v>
      </c>
      <c r="D1232">
        <v>63.96</v>
      </c>
      <c r="E1232">
        <v>3.3719999999999999</v>
      </c>
      <c r="F1232">
        <v>221.31595630000001</v>
      </c>
      <c r="G1232">
        <v>548527.49</v>
      </c>
      <c r="H1232" t="str">
        <f>TEXT(Ventas[[#This Row],[Fecha_venta]],"dd")</f>
        <v>28</v>
      </c>
      <c r="I1232" t="str">
        <f>TEXT(Ventas[[#This Row],[Fecha_venta]],"m")</f>
        <v>10</v>
      </c>
      <c r="J1232" t="str">
        <f>TEXT(Ventas[[#This Row],[Fecha_venta]],"yyyy")</f>
        <v>2011</v>
      </c>
    </row>
    <row r="1233" spans="1:10" x14ac:dyDescent="0.25">
      <c r="A1233">
        <v>9</v>
      </c>
      <c r="B1233" s="1">
        <v>40851</v>
      </c>
      <c r="C1233">
        <v>0</v>
      </c>
      <c r="D1233">
        <v>54.46</v>
      </c>
      <c r="E1233">
        <v>3.3319999999999999</v>
      </c>
      <c r="F1233">
        <v>221.48209209999999</v>
      </c>
      <c r="G1233">
        <v>597855.06999999995</v>
      </c>
      <c r="H1233" t="str">
        <f>TEXT(Ventas[[#This Row],[Fecha_venta]],"dd")</f>
        <v>04</v>
      </c>
      <c r="I1233" t="str">
        <f>TEXT(Ventas[[#This Row],[Fecha_venta]],"m")</f>
        <v>11</v>
      </c>
      <c r="J1233" t="str">
        <f>TEXT(Ventas[[#This Row],[Fecha_venta]],"yyyy")</f>
        <v>2011</v>
      </c>
    </row>
    <row r="1234" spans="1:10" x14ac:dyDescent="0.25">
      <c r="A1234">
        <v>9</v>
      </c>
      <c r="B1234" s="1">
        <v>40858</v>
      </c>
      <c r="C1234">
        <v>0</v>
      </c>
      <c r="D1234">
        <v>58.28</v>
      </c>
      <c r="E1234">
        <v>3.2970000000000002</v>
      </c>
      <c r="F1234">
        <v>221.6482278</v>
      </c>
      <c r="G1234">
        <v>594574.12</v>
      </c>
      <c r="H1234" t="str">
        <f>TEXT(Ventas[[#This Row],[Fecha_venta]],"dd")</f>
        <v>11</v>
      </c>
      <c r="I1234" t="str">
        <f>TEXT(Ventas[[#This Row],[Fecha_venta]],"m")</f>
        <v>11</v>
      </c>
      <c r="J1234" t="str">
        <f>TEXT(Ventas[[#This Row],[Fecha_venta]],"yyyy")</f>
        <v>2011</v>
      </c>
    </row>
    <row r="1235" spans="1:10" x14ac:dyDescent="0.25">
      <c r="A1235">
        <v>9</v>
      </c>
      <c r="B1235" s="1">
        <v>40865</v>
      </c>
      <c r="C1235">
        <v>0</v>
      </c>
      <c r="D1235">
        <v>58.8</v>
      </c>
      <c r="E1235">
        <v>3.3079999999999998</v>
      </c>
      <c r="F1235">
        <v>221.88039230000001</v>
      </c>
      <c r="G1235">
        <v>542414.27</v>
      </c>
      <c r="H1235" t="str">
        <f>TEXT(Ventas[[#This Row],[Fecha_venta]],"dd")</f>
        <v>18</v>
      </c>
      <c r="I1235" t="str">
        <f>TEXT(Ventas[[#This Row],[Fecha_venta]],"m")</f>
        <v>11</v>
      </c>
      <c r="J1235" t="str">
        <f>TEXT(Ventas[[#This Row],[Fecha_venta]],"yyyy")</f>
        <v>2011</v>
      </c>
    </row>
    <row r="1236" spans="1:10" x14ac:dyDescent="0.25">
      <c r="A1236">
        <v>9</v>
      </c>
      <c r="B1236" s="1">
        <v>40872</v>
      </c>
      <c r="C1236">
        <v>1</v>
      </c>
      <c r="D1236">
        <v>54.32</v>
      </c>
      <c r="E1236">
        <v>3.2360000000000002</v>
      </c>
      <c r="F1236">
        <v>222.13896829999999</v>
      </c>
      <c r="G1236">
        <v>814753.5</v>
      </c>
      <c r="H1236" t="str">
        <f>TEXT(Ventas[[#This Row],[Fecha_venta]],"dd")</f>
        <v>25</v>
      </c>
      <c r="I1236" t="str">
        <f>TEXT(Ventas[[#This Row],[Fecha_venta]],"m")</f>
        <v>11</v>
      </c>
      <c r="J1236" t="str">
        <f>TEXT(Ventas[[#This Row],[Fecha_venta]],"yyyy")</f>
        <v>2011</v>
      </c>
    </row>
    <row r="1237" spans="1:10" x14ac:dyDescent="0.25">
      <c r="A1237">
        <v>9</v>
      </c>
      <c r="B1237" s="1">
        <v>40879</v>
      </c>
      <c r="C1237">
        <v>0</v>
      </c>
      <c r="D1237">
        <v>46.84</v>
      </c>
      <c r="E1237">
        <v>3.1720000000000002</v>
      </c>
      <c r="F1237">
        <v>222.39754429999999</v>
      </c>
      <c r="G1237">
        <v>613115.21</v>
      </c>
      <c r="H1237" t="str">
        <f>TEXT(Ventas[[#This Row],[Fecha_venta]],"dd")</f>
        <v>02</v>
      </c>
      <c r="I1237" t="str">
        <f>TEXT(Ventas[[#This Row],[Fecha_venta]],"m")</f>
        <v>12</v>
      </c>
      <c r="J1237" t="str">
        <f>TEXT(Ventas[[#This Row],[Fecha_venta]],"yyyy")</f>
        <v>2011</v>
      </c>
    </row>
    <row r="1238" spans="1:10" x14ac:dyDescent="0.25">
      <c r="A1238">
        <v>9</v>
      </c>
      <c r="B1238" s="1">
        <v>40886</v>
      </c>
      <c r="C1238">
        <v>0</v>
      </c>
      <c r="D1238">
        <v>37.65</v>
      </c>
      <c r="E1238">
        <v>3.1579999999999999</v>
      </c>
      <c r="F1238">
        <v>222.6561203</v>
      </c>
      <c r="G1238">
        <v>630327.28</v>
      </c>
      <c r="H1238" t="str">
        <f>TEXT(Ventas[[#This Row],[Fecha_venta]],"dd")</f>
        <v>09</v>
      </c>
      <c r="I1238" t="str">
        <f>TEXT(Ventas[[#This Row],[Fecha_venta]],"m")</f>
        <v>12</v>
      </c>
      <c r="J1238" t="str">
        <f>TEXT(Ventas[[#This Row],[Fecha_venta]],"yyyy")</f>
        <v>2011</v>
      </c>
    </row>
    <row r="1239" spans="1:10" x14ac:dyDescent="0.25">
      <c r="A1239">
        <v>9</v>
      </c>
      <c r="B1239" s="1">
        <v>40893</v>
      </c>
      <c r="C1239">
        <v>0</v>
      </c>
      <c r="D1239">
        <v>47.31</v>
      </c>
      <c r="E1239">
        <v>3.1589999999999998</v>
      </c>
      <c r="F1239">
        <v>222.88254839999999</v>
      </c>
      <c r="G1239">
        <v>705557.97</v>
      </c>
      <c r="H1239" t="str">
        <f>TEXT(Ventas[[#This Row],[Fecha_venta]],"dd")</f>
        <v>16</v>
      </c>
      <c r="I1239" t="str">
        <f>TEXT(Ventas[[#This Row],[Fecha_venta]],"m")</f>
        <v>12</v>
      </c>
      <c r="J1239" t="str">
        <f>TEXT(Ventas[[#This Row],[Fecha_venta]],"yyyy")</f>
        <v>2011</v>
      </c>
    </row>
    <row r="1240" spans="1:10" x14ac:dyDescent="0.25">
      <c r="A1240">
        <v>9</v>
      </c>
      <c r="B1240" s="1">
        <v>40900</v>
      </c>
      <c r="C1240">
        <v>0</v>
      </c>
      <c r="D1240">
        <v>44.43</v>
      </c>
      <c r="E1240">
        <v>3.1120000000000001</v>
      </c>
      <c r="F1240">
        <v>223.0661125</v>
      </c>
      <c r="G1240">
        <v>905324.68</v>
      </c>
      <c r="H1240" t="str">
        <f>TEXT(Ventas[[#This Row],[Fecha_venta]],"dd")</f>
        <v>23</v>
      </c>
      <c r="I1240" t="str">
        <f>TEXT(Ventas[[#This Row],[Fecha_venta]],"m")</f>
        <v>12</v>
      </c>
      <c r="J1240" t="str">
        <f>TEXT(Ventas[[#This Row],[Fecha_venta]],"yyyy")</f>
        <v>2011</v>
      </c>
    </row>
    <row r="1241" spans="1:10" x14ac:dyDescent="0.25">
      <c r="A1241">
        <v>9</v>
      </c>
      <c r="B1241" s="1">
        <v>40907</v>
      </c>
      <c r="C1241">
        <v>1</v>
      </c>
      <c r="D1241">
        <v>43.41</v>
      </c>
      <c r="E1241">
        <v>3.129</v>
      </c>
      <c r="F1241">
        <v>223.24967659999999</v>
      </c>
      <c r="G1241">
        <v>549788.36</v>
      </c>
      <c r="H1241" t="str">
        <f>TEXT(Ventas[[#This Row],[Fecha_venta]],"dd")</f>
        <v>30</v>
      </c>
      <c r="I1241" t="str">
        <f>TEXT(Ventas[[#This Row],[Fecha_venta]],"m")</f>
        <v>12</v>
      </c>
      <c r="J1241" t="str">
        <f>TEXT(Ventas[[#This Row],[Fecha_venta]],"yyyy")</f>
        <v>2011</v>
      </c>
    </row>
    <row r="1242" spans="1:10" x14ac:dyDescent="0.25">
      <c r="A1242">
        <v>9</v>
      </c>
      <c r="B1242" s="1">
        <v>40914</v>
      </c>
      <c r="C1242">
        <v>0</v>
      </c>
      <c r="D1242">
        <v>47.54</v>
      </c>
      <c r="E1242">
        <v>3.157</v>
      </c>
      <c r="F1242">
        <v>223.43324079999999</v>
      </c>
      <c r="G1242">
        <v>519585.67</v>
      </c>
      <c r="H1242" t="str">
        <f>TEXT(Ventas[[#This Row],[Fecha_venta]],"dd")</f>
        <v>06</v>
      </c>
      <c r="I1242" t="str">
        <f>TEXT(Ventas[[#This Row],[Fecha_venta]],"m")</f>
        <v>1</v>
      </c>
      <c r="J1242" t="str">
        <f>TEXT(Ventas[[#This Row],[Fecha_venta]],"yyyy")</f>
        <v>2012</v>
      </c>
    </row>
    <row r="1243" spans="1:10" x14ac:dyDescent="0.25">
      <c r="A1243">
        <v>9</v>
      </c>
      <c r="B1243" s="1">
        <v>40921</v>
      </c>
      <c r="C1243">
        <v>0</v>
      </c>
      <c r="D1243">
        <v>42.44</v>
      </c>
      <c r="E1243">
        <v>3.2610000000000001</v>
      </c>
      <c r="F1243">
        <v>223.61680490000001</v>
      </c>
      <c r="G1243">
        <v>474964.6</v>
      </c>
      <c r="H1243" t="str">
        <f>TEXT(Ventas[[#This Row],[Fecha_venta]],"dd")</f>
        <v>13</v>
      </c>
      <c r="I1243" t="str">
        <f>TEXT(Ventas[[#This Row],[Fecha_venta]],"m")</f>
        <v>1</v>
      </c>
      <c r="J1243" t="str">
        <f>TEXT(Ventas[[#This Row],[Fecha_venta]],"yyyy")</f>
        <v>2012</v>
      </c>
    </row>
    <row r="1244" spans="1:10" x14ac:dyDescent="0.25">
      <c r="A1244">
        <v>9</v>
      </c>
      <c r="B1244" s="1">
        <v>40928</v>
      </c>
      <c r="C1244">
        <v>0</v>
      </c>
      <c r="D1244">
        <v>51.56</v>
      </c>
      <c r="E1244">
        <v>3.2679999999999998</v>
      </c>
      <c r="F1244">
        <v>223.71142879999999</v>
      </c>
      <c r="G1244">
        <v>480130.04</v>
      </c>
      <c r="H1244" t="str">
        <f>TEXT(Ventas[[#This Row],[Fecha_venta]],"dd")</f>
        <v>20</v>
      </c>
      <c r="I1244" t="str">
        <f>TEXT(Ventas[[#This Row],[Fecha_venta]],"m")</f>
        <v>1</v>
      </c>
      <c r="J1244" t="str">
        <f>TEXT(Ventas[[#This Row],[Fecha_venta]],"yyyy")</f>
        <v>2012</v>
      </c>
    </row>
    <row r="1245" spans="1:10" x14ac:dyDescent="0.25">
      <c r="A1245">
        <v>9</v>
      </c>
      <c r="B1245" s="1">
        <v>40935</v>
      </c>
      <c r="C1245">
        <v>0</v>
      </c>
      <c r="D1245">
        <v>49.38</v>
      </c>
      <c r="E1245">
        <v>3.29</v>
      </c>
      <c r="F1245">
        <v>223.80605270000001</v>
      </c>
      <c r="G1245">
        <v>482451.21</v>
      </c>
      <c r="H1245" t="str">
        <f>TEXT(Ventas[[#This Row],[Fecha_venta]],"dd")</f>
        <v>27</v>
      </c>
      <c r="I1245" t="str">
        <f>TEXT(Ventas[[#This Row],[Fecha_venta]],"m")</f>
        <v>1</v>
      </c>
      <c r="J1245" t="str">
        <f>TEXT(Ventas[[#This Row],[Fecha_venta]],"yyyy")</f>
        <v>2012</v>
      </c>
    </row>
    <row r="1246" spans="1:10" x14ac:dyDescent="0.25">
      <c r="A1246">
        <v>9</v>
      </c>
      <c r="B1246" s="1">
        <v>40942</v>
      </c>
      <c r="C1246">
        <v>0</v>
      </c>
      <c r="D1246">
        <v>54.43</v>
      </c>
      <c r="E1246">
        <v>3.36</v>
      </c>
      <c r="F1246">
        <v>223.9006766</v>
      </c>
      <c r="G1246">
        <v>549967.89</v>
      </c>
      <c r="H1246" t="str">
        <f>TEXT(Ventas[[#This Row],[Fecha_venta]],"dd")</f>
        <v>03</v>
      </c>
      <c r="I1246" t="str">
        <f>TEXT(Ventas[[#This Row],[Fecha_venta]],"m")</f>
        <v>2</v>
      </c>
      <c r="J1246" t="str">
        <f>TEXT(Ventas[[#This Row],[Fecha_venta]],"yyyy")</f>
        <v>2012</v>
      </c>
    </row>
    <row r="1247" spans="1:10" x14ac:dyDescent="0.25">
      <c r="A1247">
        <v>9</v>
      </c>
      <c r="B1247" s="1">
        <v>40949</v>
      </c>
      <c r="C1247">
        <v>1</v>
      </c>
      <c r="D1247">
        <v>44.03</v>
      </c>
      <c r="E1247">
        <v>3.4089999999999998</v>
      </c>
      <c r="F1247">
        <v>223.99530060000001</v>
      </c>
      <c r="G1247">
        <v>609736.12</v>
      </c>
      <c r="H1247" t="str">
        <f>TEXT(Ventas[[#This Row],[Fecha_venta]],"dd")</f>
        <v>10</v>
      </c>
      <c r="I1247" t="str">
        <f>TEXT(Ventas[[#This Row],[Fecha_venta]],"m")</f>
        <v>2</v>
      </c>
      <c r="J1247" t="str">
        <f>TEXT(Ventas[[#This Row],[Fecha_venta]],"yyyy")</f>
        <v>2012</v>
      </c>
    </row>
    <row r="1248" spans="1:10" x14ac:dyDescent="0.25">
      <c r="A1248">
        <v>9</v>
      </c>
      <c r="B1248" s="1">
        <v>40956</v>
      </c>
      <c r="C1248">
        <v>0</v>
      </c>
      <c r="D1248">
        <v>43.81</v>
      </c>
      <c r="E1248">
        <v>3.51</v>
      </c>
      <c r="F1248">
        <v>224.1588663</v>
      </c>
      <c r="G1248">
        <v>658965.05000000005</v>
      </c>
      <c r="H1248" t="str">
        <f>TEXT(Ventas[[#This Row],[Fecha_venta]],"dd")</f>
        <v>17</v>
      </c>
      <c r="I1248" t="str">
        <f>TEXT(Ventas[[#This Row],[Fecha_venta]],"m")</f>
        <v>2</v>
      </c>
      <c r="J1248" t="str">
        <f>TEXT(Ventas[[#This Row],[Fecha_venta]],"yyyy")</f>
        <v>2012</v>
      </c>
    </row>
    <row r="1249" spans="1:10" x14ac:dyDescent="0.25">
      <c r="A1249">
        <v>9</v>
      </c>
      <c r="B1249" s="1">
        <v>40963</v>
      </c>
      <c r="C1249">
        <v>0</v>
      </c>
      <c r="D1249">
        <v>53.67</v>
      </c>
      <c r="E1249">
        <v>3.5550000000000002</v>
      </c>
      <c r="F1249">
        <v>224.37413839999999</v>
      </c>
      <c r="G1249">
        <v>563578.79</v>
      </c>
      <c r="H1249" t="str">
        <f>TEXT(Ventas[[#This Row],[Fecha_venta]],"dd")</f>
        <v>24</v>
      </c>
      <c r="I1249" t="str">
        <f>TEXT(Ventas[[#This Row],[Fecha_venta]],"m")</f>
        <v>2</v>
      </c>
      <c r="J1249" t="str">
        <f>TEXT(Ventas[[#This Row],[Fecha_venta]],"yyyy")</f>
        <v>2012</v>
      </c>
    </row>
    <row r="1250" spans="1:10" x14ac:dyDescent="0.25">
      <c r="A1250">
        <v>9</v>
      </c>
      <c r="B1250" s="1">
        <v>40970</v>
      </c>
      <c r="C1250">
        <v>0</v>
      </c>
      <c r="D1250">
        <v>57.2</v>
      </c>
      <c r="E1250">
        <v>3.63</v>
      </c>
      <c r="F1250">
        <v>224.58941039999999</v>
      </c>
      <c r="G1250">
        <v>619498.28</v>
      </c>
      <c r="H1250" t="str">
        <f>TEXT(Ventas[[#This Row],[Fecha_venta]],"dd")</f>
        <v>02</v>
      </c>
      <c r="I1250" t="str">
        <f>TEXT(Ventas[[#This Row],[Fecha_venta]],"m")</f>
        <v>3</v>
      </c>
      <c r="J1250" t="str">
        <f>TEXT(Ventas[[#This Row],[Fecha_venta]],"yyyy")</f>
        <v>2012</v>
      </c>
    </row>
    <row r="1251" spans="1:10" x14ac:dyDescent="0.25">
      <c r="A1251">
        <v>9</v>
      </c>
      <c r="B1251" s="1">
        <v>40977</v>
      </c>
      <c r="C1251">
        <v>0</v>
      </c>
      <c r="D1251">
        <v>54.03</v>
      </c>
      <c r="E1251">
        <v>3.669</v>
      </c>
      <c r="F1251">
        <v>224.80468250000001</v>
      </c>
      <c r="G1251">
        <v>574955.94999999995</v>
      </c>
      <c r="H1251" t="str">
        <f>TEXT(Ventas[[#This Row],[Fecha_venta]],"dd")</f>
        <v>09</v>
      </c>
      <c r="I1251" t="str">
        <f>TEXT(Ventas[[#This Row],[Fecha_venta]],"m")</f>
        <v>3</v>
      </c>
      <c r="J1251" t="str">
        <f>TEXT(Ventas[[#This Row],[Fecha_venta]],"yyyy")</f>
        <v>2012</v>
      </c>
    </row>
    <row r="1252" spans="1:10" x14ac:dyDescent="0.25">
      <c r="A1252">
        <v>9</v>
      </c>
      <c r="B1252" s="1">
        <v>40984</v>
      </c>
      <c r="C1252">
        <v>0</v>
      </c>
      <c r="D1252">
        <v>59.94</v>
      </c>
      <c r="E1252">
        <v>3.734</v>
      </c>
      <c r="F1252">
        <v>224.9594902</v>
      </c>
      <c r="G1252">
        <v>550373.56999999995</v>
      </c>
      <c r="H1252" t="str">
        <f>TEXT(Ventas[[#This Row],[Fecha_venta]],"dd")</f>
        <v>16</v>
      </c>
      <c r="I1252" t="str">
        <f>TEXT(Ventas[[#This Row],[Fecha_venta]],"m")</f>
        <v>3</v>
      </c>
      <c r="J1252" t="str">
        <f>TEXT(Ventas[[#This Row],[Fecha_venta]],"yyyy")</f>
        <v>2012</v>
      </c>
    </row>
    <row r="1253" spans="1:10" x14ac:dyDescent="0.25">
      <c r="A1253">
        <v>9</v>
      </c>
      <c r="B1253" s="1">
        <v>40991</v>
      </c>
      <c r="C1253">
        <v>0</v>
      </c>
      <c r="D1253">
        <v>58.79</v>
      </c>
      <c r="E1253">
        <v>3.7869999999999999</v>
      </c>
      <c r="F1253">
        <v>225.0336786</v>
      </c>
      <c r="G1253">
        <v>550791.31999999995</v>
      </c>
      <c r="H1253" t="str">
        <f>TEXT(Ventas[[#This Row],[Fecha_venta]],"dd")</f>
        <v>23</v>
      </c>
      <c r="I1253" t="str">
        <f>TEXT(Ventas[[#This Row],[Fecha_venta]],"m")</f>
        <v>3</v>
      </c>
      <c r="J1253" t="str">
        <f>TEXT(Ventas[[#This Row],[Fecha_venta]],"yyyy")</f>
        <v>2012</v>
      </c>
    </row>
    <row r="1254" spans="1:10" x14ac:dyDescent="0.25">
      <c r="A1254">
        <v>9</v>
      </c>
      <c r="B1254" s="1">
        <v>40998</v>
      </c>
      <c r="C1254">
        <v>0</v>
      </c>
      <c r="D1254">
        <v>67.87</v>
      </c>
      <c r="E1254">
        <v>3.8450000000000002</v>
      </c>
      <c r="F1254">
        <v>225.107867</v>
      </c>
      <c r="G1254">
        <v>574985.37</v>
      </c>
      <c r="H1254" t="str">
        <f>TEXT(Ventas[[#This Row],[Fecha_venta]],"dd")</f>
        <v>30</v>
      </c>
      <c r="I1254" t="str">
        <f>TEXT(Ventas[[#This Row],[Fecha_venta]],"m")</f>
        <v>3</v>
      </c>
      <c r="J1254" t="str">
        <f>TEXT(Ventas[[#This Row],[Fecha_venta]],"yyyy")</f>
        <v>2012</v>
      </c>
    </row>
    <row r="1255" spans="1:10" x14ac:dyDescent="0.25">
      <c r="A1255">
        <v>9</v>
      </c>
      <c r="B1255" s="1">
        <v>41005</v>
      </c>
      <c r="C1255">
        <v>0</v>
      </c>
      <c r="D1255">
        <v>68.83</v>
      </c>
      <c r="E1255">
        <v>3.891</v>
      </c>
      <c r="F1255">
        <v>225.18205549999999</v>
      </c>
      <c r="G1255">
        <v>677885.99</v>
      </c>
      <c r="H1255" t="str">
        <f>TEXT(Ventas[[#This Row],[Fecha_venta]],"dd")</f>
        <v>06</v>
      </c>
      <c r="I1255" t="str">
        <f>TEXT(Ventas[[#This Row],[Fecha_venta]],"m")</f>
        <v>4</v>
      </c>
      <c r="J1255" t="str">
        <f>TEXT(Ventas[[#This Row],[Fecha_venta]],"yyyy")</f>
        <v>2012</v>
      </c>
    </row>
    <row r="1256" spans="1:10" x14ac:dyDescent="0.25">
      <c r="A1256">
        <v>9</v>
      </c>
      <c r="B1256" s="1">
        <v>41012</v>
      </c>
      <c r="C1256">
        <v>0</v>
      </c>
      <c r="D1256">
        <v>69.19</v>
      </c>
      <c r="E1256">
        <v>3.891</v>
      </c>
      <c r="F1256">
        <v>225.25624389999999</v>
      </c>
      <c r="G1256">
        <v>578539.86</v>
      </c>
      <c r="H1256" t="str">
        <f>TEXT(Ventas[[#This Row],[Fecha_venta]],"dd")</f>
        <v>13</v>
      </c>
      <c r="I1256" t="str">
        <f>TEXT(Ventas[[#This Row],[Fecha_venta]],"m")</f>
        <v>4</v>
      </c>
      <c r="J1256" t="str">
        <f>TEXT(Ventas[[#This Row],[Fecha_venta]],"yyyy")</f>
        <v>2012</v>
      </c>
    </row>
    <row r="1257" spans="1:10" x14ac:dyDescent="0.25">
      <c r="A1257">
        <v>9</v>
      </c>
      <c r="B1257" s="1">
        <v>41019</v>
      </c>
      <c r="C1257">
        <v>0</v>
      </c>
      <c r="D1257">
        <v>68.040000000000006</v>
      </c>
      <c r="E1257">
        <v>3.8769999999999998</v>
      </c>
      <c r="F1257">
        <v>225.3117488</v>
      </c>
      <c r="G1257">
        <v>542819.03</v>
      </c>
      <c r="H1257" t="str">
        <f>TEXT(Ventas[[#This Row],[Fecha_venta]],"dd")</f>
        <v>20</v>
      </c>
      <c r="I1257" t="str">
        <f>TEXT(Ventas[[#This Row],[Fecha_venta]],"m")</f>
        <v>4</v>
      </c>
      <c r="J1257" t="str">
        <f>TEXT(Ventas[[#This Row],[Fecha_venta]],"yyyy")</f>
        <v>2012</v>
      </c>
    </row>
    <row r="1258" spans="1:10" x14ac:dyDescent="0.25">
      <c r="A1258">
        <v>9</v>
      </c>
      <c r="B1258" s="1">
        <v>41026</v>
      </c>
      <c r="C1258">
        <v>0</v>
      </c>
      <c r="D1258">
        <v>73.069999999999993</v>
      </c>
      <c r="E1258">
        <v>3.8140000000000001</v>
      </c>
      <c r="F1258">
        <v>225.36725369999999</v>
      </c>
      <c r="G1258">
        <v>550414.99</v>
      </c>
      <c r="H1258" t="str">
        <f>TEXT(Ventas[[#This Row],[Fecha_venta]],"dd")</f>
        <v>27</v>
      </c>
      <c r="I1258" t="str">
        <f>TEXT(Ventas[[#This Row],[Fecha_venta]],"m")</f>
        <v>4</v>
      </c>
      <c r="J1258" t="str">
        <f>TEXT(Ventas[[#This Row],[Fecha_venta]],"yyyy")</f>
        <v>2012</v>
      </c>
    </row>
    <row r="1259" spans="1:10" x14ac:dyDescent="0.25">
      <c r="A1259">
        <v>9</v>
      </c>
      <c r="B1259" s="1">
        <v>41033</v>
      </c>
      <c r="C1259">
        <v>0</v>
      </c>
      <c r="D1259">
        <v>78.98</v>
      </c>
      <c r="E1259">
        <v>3.7490000000000001</v>
      </c>
      <c r="F1259">
        <v>225.42275849999999</v>
      </c>
      <c r="G1259">
        <v>586289.07999999996</v>
      </c>
      <c r="H1259" t="str">
        <f>TEXT(Ventas[[#This Row],[Fecha_venta]],"dd")</f>
        <v>04</v>
      </c>
      <c r="I1259" t="str">
        <f>TEXT(Ventas[[#This Row],[Fecha_venta]],"m")</f>
        <v>5</v>
      </c>
      <c r="J1259" t="str">
        <f>TEXT(Ventas[[#This Row],[Fecha_venta]],"yyyy")</f>
        <v>2012</v>
      </c>
    </row>
    <row r="1260" spans="1:10" x14ac:dyDescent="0.25">
      <c r="A1260">
        <v>9</v>
      </c>
      <c r="B1260" s="1">
        <v>41040</v>
      </c>
      <c r="C1260">
        <v>0</v>
      </c>
      <c r="D1260">
        <v>70.94</v>
      </c>
      <c r="E1260">
        <v>3.6880000000000002</v>
      </c>
      <c r="F1260">
        <v>225.4782634</v>
      </c>
      <c r="G1260">
        <v>592572.30000000005</v>
      </c>
      <c r="H1260" t="str">
        <f>TEXT(Ventas[[#This Row],[Fecha_venta]],"dd")</f>
        <v>11</v>
      </c>
      <c r="I1260" t="str">
        <f>TEXT(Ventas[[#This Row],[Fecha_venta]],"m")</f>
        <v>5</v>
      </c>
      <c r="J1260" t="str">
        <f>TEXT(Ventas[[#This Row],[Fecha_venta]],"yyyy")</f>
        <v>2012</v>
      </c>
    </row>
    <row r="1261" spans="1:10" x14ac:dyDescent="0.25">
      <c r="A1261">
        <v>9</v>
      </c>
      <c r="B1261" s="1">
        <v>41047</v>
      </c>
      <c r="C1261">
        <v>0</v>
      </c>
      <c r="D1261">
        <v>69.52</v>
      </c>
      <c r="E1261">
        <v>3.63</v>
      </c>
      <c r="F1261">
        <v>225.49424980000001</v>
      </c>
      <c r="G1261">
        <v>571463.93000000005</v>
      </c>
      <c r="H1261" t="str">
        <f>TEXT(Ventas[[#This Row],[Fecha_venta]],"dd")</f>
        <v>18</v>
      </c>
      <c r="I1261" t="str">
        <f>TEXT(Ventas[[#This Row],[Fecha_venta]],"m")</f>
        <v>5</v>
      </c>
      <c r="J1261" t="str">
        <f>TEXT(Ventas[[#This Row],[Fecha_venta]],"yyyy")</f>
        <v>2012</v>
      </c>
    </row>
    <row r="1262" spans="1:10" x14ac:dyDescent="0.25">
      <c r="A1262">
        <v>9</v>
      </c>
      <c r="B1262" s="1">
        <v>41054</v>
      </c>
      <c r="C1262">
        <v>0</v>
      </c>
      <c r="D1262">
        <v>79.69</v>
      </c>
      <c r="E1262">
        <v>3.5609999999999999</v>
      </c>
      <c r="F1262">
        <v>225.49442880000001</v>
      </c>
      <c r="G1262">
        <v>547226</v>
      </c>
      <c r="H1262" t="str">
        <f>TEXT(Ventas[[#This Row],[Fecha_venta]],"dd")</f>
        <v>25</v>
      </c>
      <c r="I1262" t="str">
        <f>TEXT(Ventas[[#This Row],[Fecha_venta]],"m")</f>
        <v>5</v>
      </c>
      <c r="J1262" t="str">
        <f>TEXT(Ventas[[#This Row],[Fecha_venta]],"yyyy")</f>
        <v>2012</v>
      </c>
    </row>
    <row r="1263" spans="1:10" x14ac:dyDescent="0.25">
      <c r="A1263">
        <v>9</v>
      </c>
      <c r="B1263" s="1">
        <v>41061</v>
      </c>
      <c r="C1263">
        <v>0</v>
      </c>
      <c r="D1263">
        <v>80.260000000000005</v>
      </c>
      <c r="E1263">
        <v>3.5009999999999999</v>
      </c>
      <c r="F1263">
        <v>225.49460780000001</v>
      </c>
      <c r="G1263">
        <v>583648.59</v>
      </c>
      <c r="H1263" t="str">
        <f>TEXT(Ventas[[#This Row],[Fecha_venta]],"dd")</f>
        <v>01</v>
      </c>
      <c r="I1263" t="str">
        <f>TEXT(Ventas[[#This Row],[Fecha_venta]],"m")</f>
        <v>6</v>
      </c>
      <c r="J1263" t="str">
        <f>TEXT(Ventas[[#This Row],[Fecha_venta]],"yyyy")</f>
        <v>2012</v>
      </c>
    </row>
    <row r="1264" spans="1:10" x14ac:dyDescent="0.25">
      <c r="A1264">
        <v>9</v>
      </c>
      <c r="B1264" s="1">
        <v>41068</v>
      </c>
      <c r="C1264">
        <v>0</v>
      </c>
      <c r="D1264">
        <v>78.91</v>
      </c>
      <c r="E1264">
        <v>3.452</v>
      </c>
      <c r="F1264">
        <v>225.49478680000001</v>
      </c>
      <c r="G1264">
        <v>582525.42000000004</v>
      </c>
      <c r="H1264" t="str">
        <f>TEXT(Ventas[[#This Row],[Fecha_venta]],"dd")</f>
        <v>08</v>
      </c>
      <c r="I1264" t="str">
        <f>TEXT(Ventas[[#This Row],[Fecha_venta]],"m")</f>
        <v>6</v>
      </c>
      <c r="J1264" t="str">
        <f>TEXT(Ventas[[#This Row],[Fecha_venta]],"yyyy")</f>
        <v>2012</v>
      </c>
    </row>
    <row r="1265" spans="1:10" x14ac:dyDescent="0.25">
      <c r="A1265">
        <v>9</v>
      </c>
      <c r="B1265" s="1">
        <v>41075</v>
      </c>
      <c r="C1265">
        <v>0</v>
      </c>
      <c r="D1265">
        <v>82.21</v>
      </c>
      <c r="E1265">
        <v>3.3929999999999998</v>
      </c>
      <c r="F1265">
        <v>225.50706339999999</v>
      </c>
      <c r="G1265">
        <v>564606.1</v>
      </c>
      <c r="H1265" t="str">
        <f>TEXT(Ventas[[#This Row],[Fecha_venta]],"dd")</f>
        <v>15</v>
      </c>
      <c r="I1265" t="str">
        <f>TEXT(Ventas[[#This Row],[Fecha_venta]],"m")</f>
        <v>6</v>
      </c>
      <c r="J1265" t="str">
        <f>TEXT(Ventas[[#This Row],[Fecha_venta]],"yyyy")</f>
        <v>2012</v>
      </c>
    </row>
    <row r="1266" spans="1:10" x14ac:dyDescent="0.25">
      <c r="A1266">
        <v>9</v>
      </c>
      <c r="B1266" s="1">
        <v>41082</v>
      </c>
      <c r="C1266">
        <v>0</v>
      </c>
      <c r="D1266">
        <v>81.05</v>
      </c>
      <c r="E1266">
        <v>3.3460000000000001</v>
      </c>
      <c r="F1266">
        <v>225.5495841</v>
      </c>
      <c r="G1266">
        <v>562173.12</v>
      </c>
      <c r="H1266" t="str">
        <f>TEXT(Ventas[[#This Row],[Fecha_venta]],"dd")</f>
        <v>22</v>
      </c>
      <c r="I1266" t="str">
        <f>TEXT(Ventas[[#This Row],[Fecha_venta]],"m")</f>
        <v>6</v>
      </c>
      <c r="J1266" t="str">
        <f>TEXT(Ventas[[#This Row],[Fecha_venta]],"yyyy")</f>
        <v>2012</v>
      </c>
    </row>
    <row r="1267" spans="1:10" x14ac:dyDescent="0.25">
      <c r="A1267">
        <v>9</v>
      </c>
      <c r="B1267" s="1">
        <v>41089</v>
      </c>
      <c r="C1267">
        <v>0</v>
      </c>
      <c r="D1267">
        <v>87.18</v>
      </c>
      <c r="E1267">
        <v>3.286</v>
      </c>
      <c r="F1267">
        <v>225.59210490000001</v>
      </c>
      <c r="G1267">
        <v>544770.69999999995</v>
      </c>
      <c r="H1267" t="str">
        <f>TEXT(Ventas[[#This Row],[Fecha_venta]],"dd")</f>
        <v>29</v>
      </c>
      <c r="I1267" t="str">
        <f>TEXT(Ventas[[#This Row],[Fecha_venta]],"m")</f>
        <v>6</v>
      </c>
      <c r="J1267" t="str">
        <f>TEXT(Ventas[[#This Row],[Fecha_venta]],"yyyy")</f>
        <v>2012</v>
      </c>
    </row>
    <row r="1268" spans="1:10" x14ac:dyDescent="0.25">
      <c r="A1268">
        <v>9</v>
      </c>
      <c r="B1268" s="1">
        <v>41096</v>
      </c>
      <c r="C1268">
        <v>0</v>
      </c>
      <c r="D1268">
        <v>84.15</v>
      </c>
      <c r="E1268">
        <v>3.2269999999999999</v>
      </c>
      <c r="F1268">
        <v>225.63462559999999</v>
      </c>
      <c r="G1268">
        <v>578790.36</v>
      </c>
      <c r="H1268" t="str">
        <f>TEXT(Ventas[[#This Row],[Fecha_venta]],"dd")</f>
        <v>06</v>
      </c>
      <c r="I1268" t="str">
        <f>TEXT(Ventas[[#This Row],[Fecha_venta]],"m")</f>
        <v>7</v>
      </c>
      <c r="J1268" t="str">
        <f>TEXT(Ventas[[#This Row],[Fecha_venta]],"yyyy")</f>
        <v>2012</v>
      </c>
    </row>
    <row r="1269" spans="1:10" x14ac:dyDescent="0.25">
      <c r="A1269">
        <v>9</v>
      </c>
      <c r="B1269" s="1">
        <v>41103</v>
      </c>
      <c r="C1269">
        <v>0</v>
      </c>
      <c r="D1269">
        <v>82.39</v>
      </c>
      <c r="E1269">
        <v>3.2559999999999998</v>
      </c>
      <c r="F1269">
        <v>225.6771463</v>
      </c>
      <c r="G1269">
        <v>536537.64</v>
      </c>
      <c r="H1269" t="str">
        <f>TEXT(Ventas[[#This Row],[Fecha_venta]],"dd")</f>
        <v>13</v>
      </c>
      <c r="I1269" t="str">
        <f>TEXT(Ventas[[#This Row],[Fecha_venta]],"m")</f>
        <v>7</v>
      </c>
      <c r="J1269" t="str">
        <f>TEXT(Ventas[[#This Row],[Fecha_venta]],"yyyy")</f>
        <v>2012</v>
      </c>
    </row>
    <row r="1270" spans="1:10" x14ac:dyDescent="0.25">
      <c r="A1270">
        <v>9</v>
      </c>
      <c r="B1270" s="1">
        <v>41110</v>
      </c>
      <c r="C1270">
        <v>0</v>
      </c>
      <c r="D1270">
        <v>83.39</v>
      </c>
      <c r="E1270">
        <v>3.3109999999999999</v>
      </c>
      <c r="F1270">
        <v>225.68711210000001</v>
      </c>
      <c r="G1270">
        <v>513991.57</v>
      </c>
      <c r="H1270" t="str">
        <f>TEXT(Ventas[[#This Row],[Fecha_venta]],"dd")</f>
        <v>20</v>
      </c>
      <c r="I1270" t="str">
        <f>TEXT(Ventas[[#This Row],[Fecha_venta]],"m")</f>
        <v>7</v>
      </c>
      <c r="J1270" t="str">
        <f>TEXT(Ventas[[#This Row],[Fecha_venta]],"yyyy")</f>
        <v>2012</v>
      </c>
    </row>
    <row r="1271" spans="1:10" x14ac:dyDescent="0.25">
      <c r="A1271">
        <v>9</v>
      </c>
      <c r="B1271" s="1">
        <v>41117</v>
      </c>
      <c r="C1271">
        <v>0</v>
      </c>
      <c r="D1271">
        <v>86.41</v>
      </c>
      <c r="E1271">
        <v>3.407</v>
      </c>
      <c r="F1271">
        <v>225.69707790000001</v>
      </c>
      <c r="G1271">
        <v>495951</v>
      </c>
      <c r="H1271" t="str">
        <f>TEXT(Ventas[[#This Row],[Fecha_venta]],"dd")</f>
        <v>27</v>
      </c>
      <c r="I1271" t="str">
        <f>TEXT(Ventas[[#This Row],[Fecha_venta]],"m")</f>
        <v>7</v>
      </c>
      <c r="J1271" t="str">
        <f>TEXT(Ventas[[#This Row],[Fecha_venta]],"yyyy")</f>
        <v>2012</v>
      </c>
    </row>
    <row r="1272" spans="1:10" x14ac:dyDescent="0.25">
      <c r="A1272">
        <v>9</v>
      </c>
      <c r="B1272" s="1">
        <v>41124</v>
      </c>
      <c r="C1272">
        <v>0</v>
      </c>
      <c r="D1272">
        <v>90.23</v>
      </c>
      <c r="E1272">
        <v>3.4169999999999998</v>
      </c>
      <c r="F1272">
        <v>225.70704370000001</v>
      </c>
      <c r="G1272">
        <v>533887.54</v>
      </c>
      <c r="H1272" t="str">
        <f>TEXT(Ventas[[#This Row],[Fecha_venta]],"dd")</f>
        <v>03</v>
      </c>
      <c r="I1272" t="str">
        <f>TEXT(Ventas[[#This Row],[Fecha_venta]],"m")</f>
        <v>8</v>
      </c>
      <c r="J1272" t="str">
        <f>TEXT(Ventas[[#This Row],[Fecha_venta]],"yyyy")</f>
        <v>2012</v>
      </c>
    </row>
    <row r="1273" spans="1:10" x14ac:dyDescent="0.25">
      <c r="A1273">
        <v>9</v>
      </c>
      <c r="B1273" s="1">
        <v>41131</v>
      </c>
      <c r="C1273">
        <v>0</v>
      </c>
      <c r="D1273">
        <v>88.66</v>
      </c>
      <c r="E1273">
        <v>3.4940000000000002</v>
      </c>
      <c r="F1273">
        <v>225.71700939999999</v>
      </c>
      <c r="G1273">
        <v>538713.47</v>
      </c>
      <c r="H1273" t="str">
        <f>TEXT(Ventas[[#This Row],[Fecha_venta]],"dd")</f>
        <v>10</v>
      </c>
      <c r="I1273" t="str">
        <f>TEXT(Ventas[[#This Row],[Fecha_venta]],"m")</f>
        <v>8</v>
      </c>
      <c r="J1273" t="str">
        <f>TEXT(Ventas[[#This Row],[Fecha_venta]],"yyyy")</f>
        <v>2012</v>
      </c>
    </row>
    <row r="1274" spans="1:10" x14ac:dyDescent="0.25">
      <c r="A1274">
        <v>9</v>
      </c>
      <c r="B1274" s="1">
        <v>41138</v>
      </c>
      <c r="C1274">
        <v>0</v>
      </c>
      <c r="D1274">
        <v>86.37</v>
      </c>
      <c r="E1274">
        <v>3.5710000000000002</v>
      </c>
      <c r="F1274">
        <v>225.79953230000001</v>
      </c>
      <c r="G1274">
        <v>535153.47</v>
      </c>
      <c r="H1274" t="str">
        <f>TEXT(Ventas[[#This Row],[Fecha_venta]],"dd")</f>
        <v>17</v>
      </c>
      <c r="I1274" t="str">
        <f>TEXT(Ventas[[#This Row],[Fecha_venta]],"m")</f>
        <v>8</v>
      </c>
      <c r="J1274" t="str">
        <f>TEXT(Ventas[[#This Row],[Fecha_venta]],"yyyy")</f>
        <v>2012</v>
      </c>
    </row>
    <row r="1275" spans="1:10" x14ac:dyDescent="0.25">
      <c r="A1275">
        <v>9</v>
      </c>
      <c r="B1275" s="1">
        <v>41145</v>
      </c>
      <c r="C1275">
        <v>0</v>
      </c>
      <c r="D1275">
        <v>77.900000000000006</v>
      </c>
      <c r="E1275">
        <v>3.62</v>
      </c>
      <c r="F1275">
        <v>225.93647290000001</v>
      </c>
      <c r="G1275">
        <v>572887.78</v>
      </c>
      <c r="H1275" t="str">
        <f>TEXT(Ventas[[#This Row],[Fecha_venta]],"dd")</f>
        <v>24</v>
      </c>
      <c r="I1275" t="str">
        <f>TEXT(Ventas[[#This Row],[Fecha_venta]],"m")</f>
        <v>8</v>
      </c>
      <c r="J1275" t="str">
        <f>TEXT(Ventas[[#This Row],[Fecha_venta]],"yyyy")</f>
        <v>2012</v>
      </c>
    </row>
    <row r="1276" spans="1:10" x14ac:dyDescent="0.25">
      <c r="A1276">
        <v>9</v>
      </c>
      <c r="B1276" s="1">
        <v>41152</v>
      </c>
      <c r="C1276">
        <v>0</v>
      </c>
      <c r="D1276">
        <v>80.709999999999994</v>
      </c>
      <c r="E1276">
        <v>3.6379999999999999</v>
      </c>
      <c r="F1276">
        <v>226.07341349999999</v>
      </c>
      <c r="G1276">
        <v>576879.15</v>
      </c>
      <c r="H1276" t="str">
        <f>TEXT(Ventas[[#This Row],[Fecha_venta]],"dd")</f>
        <v>31</v>
      </c>
      <c r="I1276" t="str">
        <f>TEXT(Ventas[[#This Row],[Fecha_venta]],"m")</f>
        <v>8</v>
      </c>
      <c r="J1276" t="str">
        <f>TEXT(Ventas[[#This Row],[Fecha_venta]],"yyyy")</f>
        <v>2012</v>
      </c>
    </row>
    <row r="1277" spans="1:10" x14ac:dyDescent="0.25">
      <c r="A1277">
        <v>9</v>
      </c>
      <c r="B1277" s="1">
        <v>41159</v>
      </c>
      <c r="C1277">
        <v>1</v>
      </c>
      <c r="D1277">
        <v>87.93</v>
      </c>
      <c r="E1277">
        <v>3.73</v>
      </c>
      <c r="F1277">
        <v>226.21035409999999</v>
      </c>
      <c r="G1277">
        <v>565812.29</v>
      </c>
      <c r="H1277" t="str">
        <f>TEXT(Ventas[[#This Row],[Fecha_venta]],"dd")</f>
        <v>07</v>
      </c>
      <c r="I1277" t="str">
        <f>TEXT(Ventas[[#This Row],[Fecha_venta]],"m")</f>
        <v>9</v>
      </c>
      <c r="J1277" t="str">
        <f>TEXT(Ventas[[#This Row],[Fecha_venta]],"yyyy")</f>
        <v>2012</v>
      </c>
    </row>
    <row r="1278" spans="1:10" x14ac:dyDescent="0.25">
      <c r="A1278">
        <v>9</v>
      </c>
      <c r="B1278" s="1">
        <v>41166</v>
      </c>
      <c r="C1278">
        <v>0</v>
      </c>
      <c r="D1278">
        <v>73.55</v>
      </c>
      <c r="E1278">
        <v>3.7170000000000001</v>
      </c>
      <c r="F1278">
        <v>226.35675449999999</v>
      </c>
      <c r="G1278">
        <v>523427.35</v>
      </c>
      <c r="H1278" t="str">
        <f>TEXT(Ventas[[#This Row],[Fecha_venta]],"dd")</f>
        <v>14</v>
      </c>
      <c r="I1278" t="str">
        <f>TEXT(Ventas[[#This Row],[Fecha_venta]],"m")</f>
        <v>9</v>
      </c>
      <c r="J1278" t="str">
        <f>TEXT(Ventas[[#This Row],[Fecha_venta]],"yyyy")</f>
        <v>2012</v>
      </c>
    </row>
    <row r="1279" spans="1:10" x14ac:dyDescent="0.25">
      <c r="A1279">
        <v>9</v>
      </c>
      <c r="B1279" s="1">
        <v>41173</v>
      </c>
      <c r="C1279">
        <v>0</v>
      </c>
      <c r="D1279">
        <v>69.92</v>
      </c>
      <c r="E1279">
        <v>3.7210000000000001</v>
      </c>
      <c r="F1279">
        <v>226.5599138</v>
      </c>
      <c r="G1279">
        <v>533756.88</v>
      </c>
      <c r="H1279" t="str">
        <f>TEXT(Ventas[[#This Row],[Fecha_venta]],"dd")</f>
        <v>21</v>
      </c>
      <c r="I1279" t="str">
        <f>TEXT(Ventas[[#This Row],[Fecha_venta]],"m")</f>
        <v>9</v>
      </c>
      <c r="J1279" t="str">
        <f>TEXT(Ventas[[#This Row],[Fecha_venta]],"yyyy")</f>
        <v>2012</v>
      </c>
    </row>
    <row r="1280" spans="1:10" x14ac:dyDescent="0.25">
      <c r="A1280">
        <v>9</v>
      </c>
      <c r="B1280" s="1">
        <v>41180</v>
      </c>
      <c r="C1280">
        <v>0</v>
      </c>
      <c r="D1280">
        <v>76.8</v>
      </c>
      <c r="E1280">
        <v>3.6659999999999999</v>
      </c>
      <c r="F1280">
        <v>226.76307320000001</v>
      </c>
      <c r="G1280">
        <v>516361.06</v>
      </c>
      <c r="H1280" t="str">
        <f>TEXT(Ventas[[#This Row],[Fecha_venta]],"dd")</f>
        <v>28</v>
      </c>
      <c r="I1280" t="str">
        <f>TEXT(Ventas[[#This Row],[Fecha_venta]],"m")</f>
        <v>9</v>
      </c>
      <c r="J1280" t="str">
        <f>TEXT(Ventas[[#This Row],[Fecha_venta]],"yyyy")</f>
        <v>2012</v>
      </c>
    </row>
    <row r="1281" spans="1:10" x14ac:dyDescent="0.25">
      <c r="A1281">
        <v>9</v>
      </c>
      <c r="B1281" s="1">
        <v>41187</v>
      </c>
      <c r="C1281">
        <v>0</v>
      </c>
      <c r="D1281">
        <v>66.61</v>
      </c>
      <c r="E1281">
        <v>3.617</v>
      </c>
      <c r="F1281">
        <v>226.96623249999999</v>
      </c>
      <c r="G1281">
        <v>606755.30000000005</v>
      </c>
      <c r="H1281" t="str">
        <f>TEXT(Ventas[[#This Row],[Fecha_venta]],"dd")</f>
        <v>05</v>
      </c>
      <c r="I1281" t="str">
        <f>TEXT(Ventas[[#This Row],[Fecha_venta]],"m")</f>
        <v>10</v>
      </c>
      <c r="J1281" t="str">
        <f>TEXT(Ventas[[#This Row],[Fecha_venta]],"yyyy")</f>
        <v>2012</v>
      </c>
    </row>
    <row r="1282" spans="1:10" x14ac:dyDescent="0.25">
      <c r="A1282">
        <v>9</v>
      </c>
      <c r="B1282" s="1">
        <v>41194</v>
      </c>
      <c r="C1282">
        <v>0</v>
      </c>
      <c r="D1282">
        <v>60.09</v>
      </c>
      <c r="E1282">
        <v>3.601</v>
      </c>
      <c r="F1282">
        <v>227.16939189999999</v>
      </c>
      <c r="G1282">
        <v>558464.80000000005</v>
      </c>
      <c r="H1282" t="str">
        <f>TEXT(Ventas[[#This Row],[Fecha_venta]],"dd")</f>
        <v>12</v>
      </c>
      <c r="I1282" t="str">
        <f>TEXT(Ventas[[#This Row],[Fecha_venta]],"m")</f>
        <v>10</v>
      </c>
      <c r="J1282" t="str">
        <f>TEXT(Ventas[[#This Row],[Fecha_venta]],"yyyy")</f>
        <v>2012</v>
      </c>
    </row>
    <row r="1283" spans="1:10" x14ac:dyDescent="0.25">
      <c r="A1283">
        <v>9</v>
      </c>
      <c r="B1283" s="1">
        <v>41201</v>
      </c>
      <c r="C1283">
        <v>0</v>
      </c>
      <c r="D1283">
        <v>68.010000000000005</v>
      </c>
      <c r="E1283">
        <v>3.5939999999999999</v>
      </c>
      <c r="F1283">
        <v>227.21428800000001</v>
      </c>
      <c r="G1283">
        <v>542009.46</v>
      </c>
      <c r="H1283" t="str">
        <f>TEXT(Ventas[[#This Row],[Fecha_venta]],"dd")</f>
        <v>19</v>
      </c>
      <c r="I1283" t="str">
        <f>TEXT(Ventas[[#This Row],[Fecha_venta]],"m")</f>
        <v>10</v>
      </c>
      <c r="J1283" t="str">
        <f>TEXT(Ventas[[#This Row],[Fecha_venta]],"yyyy")</f>
        <v>2012</v>
      </c>
    </row>
    <row r="1284" spans="1:10" x14ac:dyDescent="0.25">
      <c r="A1284">
        <v>9</v>
      </c>
      <c r="B1284" s="1">
        <v>41208</v>
      </c>
      <c r="C1284">
        <v>0</v>
      </c>
      <c r="D1284">
        <v>69.52</v>
      </c>
      <c r="E1284">
        <v>3.5059999999999998</v>
      </c>
      <c r="F1284">
        <v>227.23280679999999</v>
      </c>
      <c r="G1284">
        <v>549731.49</v>
      </c>
      <c r="H1284" t="str">
        <f>TEXT(Ventas[[#This Row],[Fecha_venta]],"dd")</f>
        <v>26</v>
      </c>
      <c r="I1284" t="str">
        <f>TEXT(Ventas[[#This Row],[Fecha_venta]],"m")</f>
        <v>10</v>
      </c>
      <c r="J1284" t="str">
        <f>TEXT(Ventas[[#This Row],[Fecha_venta]],"yyyy")</f>
        <v>2012</v>
      </c>
    </row>
    <row r="1285" spans="1:10" x14ac:dyDescent="0.25">
      <c r="A1285">
        <v>10</v>
      </c>
      <c r="B1285" s="1">
        <v>40214</v>
      </c>
      <c r="C1285">
        <v>0</v>
      </c>
      <c r="D1285">
        <v>54.34</v>
      </c>
      <c r="E1285">
        <v>2.9620000000000002</v>
      </c>
      <c r="F1285">
        <v>126.4420645</v>
      </c>
      <c r="G1285">
        <v>2193048.75</v>
      </c>
      <c r="H1285" t="str">
        <f>TEXT(Ventas[[#This Row],[Fecha_venta]],"dd")</f>
        <v>05</v>
      </c>
      <c r="I1285" t="str">
        <f>TEXT(Ventas[[#This Row],[Fecha_venta]],"m")</f>
        <v>2</v>
      </c>
      <c r="J1285" t="str">
        <f>TEXT(Ventas[[#This Row],[Fecha_venta]],"yyyy")</f>
        <v>2010</v>
      </c>
    </row>
    <row r="1286" spans="1:10" x14ac:dyDescent="0.25">
      <c r="A1286">
        <v>10</v>
      </c>
      <c r="B1286" s="1">
        <v>40221</v>
      </c>
      <c r="C1286">
        <v>1</v>
      </c>
      <c r="D1286">
        <v>49.96</v>
      </c>
      <c r="E1286">
        <v>2.8279999999999998</v>
      </c>
      <c r="F1286">
        <v>126.49625810000001</v>
      </c>
      <c r="G1286">
        <v>2176028.52</v>
      </c>
      <c r="H1286" t="str">
        <f>TEXT(Ventas[[#This Row],[Fecha_venta]],"dd")</f>
        <v>12</v>
      </c>
      <c r="I1286" t="str">
        <f>TEXT(Ventas[[#This Row],[Fecha_venta]],"m")</f>
        <v>2</v>
      </c>
      <c r="J1286" t="str">
        <f>TEXT(Ventas[[#This Row],[Fecha_venta]],"yyyy")</f>
        <v>2010</v>
      </c>
    </row>
    <row r="1287" spans="1:10" x14ac:dyDescent="0.25">
      <c r="A1287">
        <v>10</v>
      </c>
      <c r="B1287" s="1">
        <v>40228</v>
      </c>
      <c r="C1287">
        <v>0</v>
      </c>
      <c r="D1287">
        <v>58.22</v>
      </c>
      <c r="E1287">
        <v>2.915</v>
      </c>
      <c r="F1287">
        <v>126.5262857</v>
      </c>
      <c r="G1287">
        <v>2113432.58</v>
      </c>
      <c r="H1287" t="str">
        <f>TEXT(Ventas[[#This Row],[Fecha_venta]],"dd")</f>
        <v>19</v>
      </c>
      <c r="I1287" t="str">
        <f>TEXT(Ventas[[#This Row],[Fecha_venta]],"m")</f>
        <v>2</v>
      </c>
      <c r="J1287" t="str">
        <f>TEXT(Ventas[[#This Row],[Fecha_venta]],"yyyy")</f>
        <v>2010</v>
      </c>
    </row>
    <row r="1288" spans="1:10" x14ac:dyDescent="0.25">
      <c r="A1288">
        <v>10</v>
      </c>
      <c r="B1288" s="1">
        <v>40235</v>
      </c>
      <c r="C1288">
        <v>0</v>
      </c>
      <c r="D1288">
        <v>52.77</v>
      </c>
      <c r="E1288">
        <v>2.8250000000000002</v>
      </c>
      <c r="F1288">
        <v>126.5522857</v>
      </c>
      <c r="G1288">
        <v>2006774.96</v>
      </c>
      <c r="H1288" t="str">
        <f>TEXT(Ventas[[#This Row],[Fecha_venta]],"dd")</f>
        <v>26</v>
      </c>
      <c r="I1288" t="str">
        <f>TEXT(Ventas[[#This Row],[Fecha_venta]],"m")</f>
        <v>2</v>
      </c>
      <c r="J1288" t="str">
        <f>TEXT(Ventas[[#This Row],[Fecha_venta]],"yyyy")</f>
        <v>2010</v>
      </c>
    </row>
    <row r="1289" spans="1:10" x14ac:dyDescent="0.25">
      <c r="A1289">
        <v>10</v>
      </c>
      <c r="B1289" s="1">
        <v>40242</v>
      </c>
      <c r="C1289">
        <v>0</v>
      </c>
      <c r="D1289">
        <v>55.92</v>
      </c>
      <c r="E1289">
        <v>2.8769999999999998</v>
      </c>
      <c r="F1289">
        <v>126.5782857</v>
      </c>
      <c r="G1289">
        <v>1987090.09</v>
      </c>
      <c r="H1289" t="str">
        <f>TEXT(Ventas[[#This Row],[Fecha_venta]],"dd")</f>
        <v>05</v>
      </c>
      <c r="I1289" t="str">
        <f>TEXT(Ventas[[#This Row],[Fecha_venta]],"m")</f>
        <v>3</v>
      </c>
      <c r="J1289" t="str">
        <f>TEXT(Ventas[[#This Row],[Fecha_venta]],"yyyy")</f>
        <v>2010</v>
      </c>
    </row>
    <row r="1290" spans="1:10" x14ac:dyDescent="0.25">
      <c r="A1290">
        <v>10</v>
      </c>
      <c r="B1290" s="1">
        <v>40249</v>
      </c>
      <c r="C1290">
        <v>0</v>
      </c>
      <c r="D1290">
        <v>52.33</v>
      </c>
      <c r="E1290">
        <v>3.0339999999999998</v>
      </c>
      <c r="F1290">
        <v>126.60428570000001</v>
      </c>
      <c r="G1290">
        <v>1941346.13</v>
      </c>
      <c r="H1290" t="str">
        <f>TEXT(Ventas[[#This Row],[Fecha_venta]],"dd")</f>
        <v>12</v>
      </c>
      <c r="I1290" t="str">
        <f>TEXT(Ventas[[#This Row],[Fecha_venta]],"m")</f>
        <v>3</v>
      </c>
      <c r="J1290" t="str">
        <f>TEXT(Ventas[[#This Row],[Fecha_venta]],"yyyy")</f>
        <v>2010</v>
      </c>
    </row>
    <row r="1291" spans="1:10" x14ac:dyDescent="0.25">
      <c r="A1291">
        <v>10</v>
      </c>
      <c r="B1291" s="1">
        <v>40256</v>
      </c>
      <c r="C1291">
        <v>0</v>
      </c>
      <c r="D1291">
        <v>61.46</v>
      </c>
      <c r="E1291">
        <v>3.0539999999999998</v>
      </c>
      <c r="F1291">
        <v>126.6066452</v>
      </c>
      <c r="G1291">
        <v>1946875.06</v>
      </c>
      <c r="H1291" t="str">
        <f>TEXT(Ventas[[#This Row],[Fecha_venta]],"dd")</f>
        <v>19</v>
      </c>
      <c r="I1291" t="str">
        <f>TEXT(Ventas[[#This Row],[Fecha_venta]],"m")</f>
        <v>3</v>
      </c>
      <c r="J1291" t="str">
        <f>TEXT(Ventas[[#This Row],[Fecha_venta]],"yyyy")</f>
        <v>2010</v>
      </c>
    </row>
    <row r="1292" spans="1:10" x14ac:dyDescent="0.25">
      <c r="A1292">
        <v>10</v>
      </c>
      <c r="B1292" s="1">
        <v>40263</v>
      </c>
      <c r="C1292">
        <v>0</v>
      </c>
      <c r="D1292">
        <v>60.05</v>
      </c>
      <c r="E1292">
        <v>2.98</v>
      </c>
      <c r="F1292">
        <v>126.6050645</v>
      </c>
      <c r="G1292">
        <v>1893532.46</v>
      </c>
      <c r="H1292" t="str">
        <f>TEXT(Ventas[[#This Row],[Fecha_venta]],"dd")</f>
        <v>26</v>
      </c>
      <c r="I1292" t="str">
        <f>TEXT(Ventas[[#This Row],[Fecha_venta]],"m")</f>
        <v>3</v>
      </c>
      <c r="J1292" t="str">
        <f>TEXT(Ventas[[#This Row],[Fecha_venta]],"yyyy")</f>
        <v>2010</v>
      </c>
    </row>
    <row r="1293" spans="1:10" x14ac:dyDescent="0.25">
      <c r="A1293">
        <v>10</v>
      </c>
      <c r="B1293" s="1">
        <v>40270</v>
      </c>
      <c r="C1293">
        <v>0</v>
      </c>
      <c r="D1293">
        <v>63.66</v>
      </c>
      <c r="E1293">
        <v>3.0859999999999999</v>
      </c>
      <c r="F1293">
        <v>126.6034839</v>
      </c>
      <c r="G1293">
        <v>2138651.9700000002</v>
      </c>
      <c r="H1293" t="str">
        <f>TEXT(Ventas[[#This Row],[Fecha_venta]],"dd")</f>
        <v>02</v>
      </c>
      <c r="I1293" t="str">
        <f>TEXT(Ventas[[#This Row],[Fecha_venta]],"m")</f>
        <v>4</v>
      </c>
      <c r="J1293" t="str">
        <f>TEXT(Ventas[[#This Row],[Fecha_venta]],"yyyy")</f>
        <v>2010</v>
      </c>
    </row>
    <row r="1294" spans="1:10" x14ac:dyDescent="0.25">
      <c r="A1294">
        <v>10</v>
      </c>
      <c r="B1294" s="1">
        <v>40277</v>
      </c>
      <c r="C1294">
        <v>0</v>
      </c>
      <c r="D1294">
        <v>65.290000000000006</v>
      </c>
      <c r="E1294">
        <v>3.004</v>
      </c>
      <c r="F1294">
        <v>126.6019032</v>
      </c>
      <c r="G1294">
        <v>2041069.37</v>
      </c>
      <c r="H1294" t="str">
        <f>TEXT(Ventas[[#This Row],[Fecha_venta]],"dd")</f>
        <v>09</v>
      </c>
      <c r="I1294" t="str">
        <f>TEXT(Ventas[[#This Row],[Fecha_venta]],"m")</f>
        <v>4</v>
      </c>
      <c r="J1294" t="str">
        <f>TEXT(Ventas[[#This Row],[Fecha_venta]],"yyyy")</f>
        <v>2010</v>
      </c>
    </row>
    <row r="1295" spans="1:10" x14ac:dyDescent="0.25">
      <c r="A1295">
        <v>10</v>
      </c>
      <c r="B1295" s="1">
        <v>40284</v>
      </c>
      <c r="C1295">
        <v>0</v>
      </c>
      <c r="D1295">
        <v>69.739999999999995</v>
      </c>
      <c r="E1295">
        <v>3.109</v>
      </c>
      <c r="F1295">
        <v>126.5621</v>
      </c>
      <c r="G1295">
        <v>1826241.44</v>
      </c>
      <c r="H1295" t="str">
        <f>TEXT(Ventas[[#This Row],[Fecha_venta]],"dd")</f>
        <v>16</v>
      </c>
      <c r="I1295" t="str">
        <f>TEXT(Ventas[[#This Row],[Fecha_venta]],"m")</f>
        <v>4</v>
      </c>
      <c r="J1295" t="str">
        <f>TEXT(Ventas[[#This Row],[Fecha_venta]],"yyyy")</f>
        <v>2010</v>
      </c>
    </row>
    <row r="1296" spans="1:10" x14ac:dyDescent="0.25">
      <c r="A1296">
        <v>10</v>
      </c>
      <c r="B1296" s="1">
        <v>40291</v>
      </c>
      <c r="C1296">
        <v>0</v>
      </c>
      <c r="D1296">
        <v>66.42</v>
      </c>
      <c r="E1296">
        <v>3.05</v>
      </c>
      <c r="F1296">
        <v>126.4713333</v>
      </c>
      <c r="G1296">
        <v>1829521.83</v>
      </c>
      <c r="H1296" t="str">
        <f>TEXT(Ventas[[#This Row],[Fecha_venta]],"dd")</f>
        <v>23</v>
      </c>
      <c r="I1296" t="str">
        <f>TEXT(Ventas[[#This Row],[Fecha_venta]],"m")</f>
        <v>4</v>
      </c>
      <c r="J1296" t="str">
        <f>TEXT(Ventas[[#This Row],[Fecha_venta]],"yyyy")</f>
        <v>2010</v>
      </c>
    </row>
    <row r="1297" spans="1:10" x14ac:dyDescent="0.25">
      <c r="A1297">
        <v>10</v>
      </c>
      <c r="B1297" s="1">
        <v>40298</v>
      </c>
      <c r="C1297">
        <v>0</v>
      </c>
      <c r="D1297">
        <v>69.760000000000005</v>
      </c>
      <c r="E1297">
        <v>3.105</v>
      </c>
      <c r="F1297">
        <v>126.3805667</v>
      </c>
      <c r="G1297">
        <v>1790694.59</v>
      </c>
      <c r="H1297" t="str">
        <f>TEXT(Ventas[[#This Row],[Fecha_venta]],"dd")</f>
        <v>30</v>
      </c>
      <c r="I1297" t="str">
        <f>TEXT(Ventas[[#This Row],[Fecha_venta]],"m")</f>
        <v>4</v>
      </c>
      <c r="J1297" t="str">
        <f>TEXT(Ventas[[#This Row],[Fecha_venta]],"yyyy")</f>
        <v>2010</v>
      </c>
    </row>
    <row r="1298" spans="1:10" x14ac:dyDescent="0.25">
      <c r="A1298">
        <v>10</v>
      </c>
      <c r="B1298" s="1">
        <v>40305</v>
      </c>
      <c r="C1298">
        <v>0</v>
      </c>
      <c r="D1298">
        <v>71.06</v>
      </c>
      <c r="E1298">
        <v>3.1269999999999998</v>
      </c>
      <c r="F1298">
        <v>126.2898</v>
      </c>
      <c r="G1298">
        <v>1921432.16</v>
      </c>
      <c r="H1298" t="str">
        <f>TEXT(Ventas[[#This Row],[Fecha_venta]],"dd")</f>
        <v>07</v>
      </c>
      <c r="I1298" t="str">
        <f>TEXT(Ventas[[#This Row],[Fecha_venta]],"m")</f>
        <v>5</v>
      </c>
      <c r="J1298" t="str">
        <f>TEXT(Ventas[[#This Row],[Fecha_venta]],"yyyy")</f>
        <v>2010</v>
      </c>
    </row>
    <row r="1299" spans="1:10" x14ac:dyDescent="0.25">
      <c r="A1299">
        <v>10</v>
      </c>
      <c r="B1299" s="1">
        <v>40312</v>
      </c>
      <c r="C1299">
        <v>0</v>
      </c>
      <c r="D1299">
        <v>73.88</v>
      </c>
      <c r="E1299">
        <v>3.145</v>
      </c>
      <c r="F1299">
        <v>126.2085484</v>
      </c>
      <c r="G1299">
        <v>1808056.41</v>
      </c>
      <c r="H1299" t="str">
        <f>TEXT(Ventas[[#This Row],[Fecha_venta]],"dd")</f>
        <v>14</v>
      </c>
      <c r="I1299" t="str">
        <f>TEXT(Ventas[[#This Row],[Fecha_venta]],"m")</f>
        <v>5</v>
      </c>
      <c r="J1299" t="str">
        <f>TEXT(Ventas[[#This Row],[Fecha_venta]],"yyyy")</f>
        <v>2010</v>
      </c>
    </row>
    <row r="1300" spans="1:10" x14ac:dyDescent="0.25">
      <c r="A1300">
        <v>10</v>
      </c>
      <c r="B1300" s="1">
        <v>40319</v>
      </c>
      <c r="C1300">
        <v>0</v>
      </c>
      <c r="D1300">
        <v>78.319999999999993</v>
      </c>
      <c r="E1300">
        <v>3.12</v>
      </c>
      <c r="F1300">
        <v>126.1843871</v>
      </c>
      <c r="G1300">
        <v>1847613.58</v>
      </c>
      <c r="H1300" t="str">
        <f>TEXT(Ventas[[#This Row],[Fecha_venta]],"dd")</f>
        <v>21</v>
      </c>
      <c r="I1300" t="str">
        <f>TEXT(Ventas[[#This Row],[Fecha_venta]],"m")</f>
        <v>5</v>
      </c>
      <c r="J1300" t="str">
        <f>TEXT(Ventas[[#This Row],[Fecha_venta]],"yyyy")</f>
        <v>2010</v>
      </c>
    </row>
    <row r="1301" spans="1:10" x14ac:dyDescent="0.25">
      <c r="A1301">
        <v>10</v>
      </c>
      <c r="B1301" s="1">
        <v>40326</v>
      </c>
      <c r="C1301">
        <v>0</v>
      </c>
      <c r="D1301">
        <v>76.67</v>
      </c>
      <c r="E1301">
        <v>3.0579999999999998</v>
      </c>
      <c r="F1301">
        <v>126.16022580000001</v>
      </c>
      <c r="G1301">
        <v>1904618.17</v>
      </c>
      <c r="H1301" t="str">
        <f>TEXT(Ventas[[#This Row],[Fecha_venta]],"dd")</f>
        <v>28</v>
      </c>
      <c r="I1301" t="str">
        <f>TEXT(Ventas[[#This Row],[Fecha_venta]],"m")</f>
        <v>5</v>
      </c>
      <c r="J1301" t="str">
        <f>TEXT(Ventas[[#This Row],[Fecha_venta]],"yyyy")</f>
        <v>2010</v>
      </c>
    </row>
    <row r="1302" spans="1:10" x14ac:dyDescent="0.25">
      <c r="A1302">
        <v>10</v>
      </c>
      <c r="B1302" s="1">
        <v>40333</v>
      </c>
      <c r="C1302">
        <v>0</v>
      </c>
      <c r="D1302">
        <v>82.82</v>
      </c>
      <c r="E1302">
        <v>2.9409999999999998</v>
      </c>
      <c r="F1302">
        <v>126.1360645</v>
      </c>
      <c r="G1302">
        <v>1931406.28</v>
      </c>
      <c r="H1302" t="str">
        <f>TEXT(Ventas[[#This Row],[Fecha_venta]],"dd")</f>
        <v>04</v>
      </c>
      <c r="I1302" t="str">
        <f>TEXT(Ventas[[#This Row],[Fecha_venta]],"m")</f>
        <v>6</v>
      </c>
      <c r="J1302" t="str">
        <f>TEXT(Ventas[[#This Row],[Fecha_venta]],"yyyy")</f>
        <v>2010</v>
      </c>
    </row>
    <row r="1303" spans="1:10" x14ac:dyDescent="0.25">
      <c r="A1303">
        <v>10</v>
      </c>
      <c r="B1303" s="1">
        <v>40340</v>
      </c>
      <c r="C1303">
        <v>0</v>
      </c>
      <c r="D1303">
        <v>89.67</v>
      </c>
      <c r="E1303">
        <v>3.0569999999999999</v>
      </c>
      <c r="F1303">
        <v>126.1119032</v>
      </c>
      <c r="G1303">
        <v>1827521.71</v>
      </c>
      <c r="H1303" t="str">
        <f>TEXT(Ventas[[#This Row],[Fecha_venta]],"dd")</f>
        <v>11</v>
      </c>
      <c r="I1303" t="str">
        <f>TEXT(Ventas[[#This Row],[Fecha_venta]],"m")</f>
        <v>6</v>
      </c>
      <c r="J1303" t="str">
        <f>TEXT(Ventas[[#This Row],[Fecha_venta]],"yyyy")</f>
        <v>2010</v>
      </c>
    </row>
    <row r="1304" spans="1:10" x14ac:dyDescent="0.25">
      <c r="A1304">
        <v>10</v>
      </c>
      <c r="B1304" s="1">
        <v>40347</v>
      </c>
      <c r="C1304">
        <v>0</v>
      </c>
      <c r="D1304">
        <v>83.49</v>
      </c>
      <c r="E1304">
        <v>2.9350000000000001</v>
      </c>
      <c r="F1304">
        <v>126.114</v>
      </c>
      <c r="G1304">
        <v>1837636.24</v>
      </c>
      <c r="H1304" t="str">
        <f>TEXT(Ventas[[#This Row],[Fecha_venta]],"dd")</f>
        <v>18</v>
      </c>
      <c r="I1304" t="str">
        <f>TEXT(Ventas[[#This Row],[Fecha_venta]],"m")</f>
        <v>6</v>
      </c>
      <c r="J1304" t="str">
        <f>TEXT(Ventas[[#This Row],[Fecha_venta]],"yyyy")</f>
        <v>2010</v>
      </c>
    </row>
    <row r="1305" spans="1:10" x14ac:dyDescent="0.25">
      <c r="A1305">
        <v>10</v>
      </c>
      <c r="B1305" s="1">
        <v>40354</v>
      </c>
      <c r="C1305">
        <v>0</v>
      </c>
      <c r="D1305">
        <v>90.32</v>
      </c>
      <c r="E1305">
        <v>3.0840000000000001</v>
      </c>
      <c r="F1305">
        <v>126.1266</v>
      </c>
      <c r="G1305">
        <v>1768172.31</v>
      </c>
      <c r="H1305" t="str">
        <f>TEXT(Ventas[[#This Row],[Fecha_venta]],"dd")</f>
        <v>25</v>
      </c>
      <c r="I1305" t="str">
        <f>TEXT(Ventas[[#This Row],[Fecha_venta]],"m")</f>
        <v>6</v>
      </c>
      <c r="J1305" t="str">
        <f>TEXT(Ventas[[#This Row],[Fecha_venta]],"yyyy")</f>
        <v>2010</v>
      </c>
    </row>
    <row r="1306" spans="1:10" x14ac:dyDescent="0.25">
      <c r="A1306">
        <v>10</v>
      </c>
      <c r="B1306" s="1">
        <v>40361</v>
      </c>
      <c r="C1306">
        <v>0</v>
      </c>
      <c r="D1306">
        <v>92.89</v>
      </c>
      <c r="E1306">
        <v>2.9780000000000002</v>
      </c>
      <c r="F1306">
        <v>126.1392</v>
      </c>
      <c r="G1306">
        <v>1845893.87</v>
      </c>
      <c r="H1306" t="str">
        <f>TEXT(Ventas[[#This Row],[Fecha_venta]],"dd")</f>
        <v>02</v>
      </c>
      <c r="I1306" t="str">
        <f>TEXT(Ventas[[#This Row],[Fecha_venta]],"m")</f>
        <v>7</v>
      </c>
      <c r="J1306" t="str">
        <f>TEXT(Ventas[[#This Row],[Fecha_venta]],"yyyy")</f>
        <v>2010</v>
      </c>
    </row>
    <row r="1307" spans="1:10" x14ac:dyDescent="0.25">
      <c r="A1307">
        <v>10</v>
      </c>
      <c r="B1307" s="1">
        <v>40368</v>
      </c>
      <c r="C1307">
        <v>0</v>
      </c>
      <c r="D1307">
        <v>91.03</v>
      </c>
      <c r="E1307">
        <v>3.1</v>
      </c>
      <c r="F1307">
        <v>126.15179999999999</v>
      </c>
      <c r="G1307">
        <v>1769793.37</v>
      </c>
      <c r="H1307" t="str">
        <f>TEXT(Ventas[[#This Row],[Fecha_venta]],"dd")</f>
        <v>09</v>
      </c>
      <c r="I1307" t="str">
        <f>TEXT(Ventas[[#This Row],[Fecha_venta]],"m")</f>
        <v>7</v>
      </c>
      <c r="J1307" t="str">
        <f>TEXT(Ventas[[#This Row],[Fecha_venta]],"yyyy")</f>
        <v>2010</v>
      </c>
    </row>
    <row r="1308" spans="1:10" x14ac:dyDescent="0.25">
      <c r="A1308">
        <v>10</v>
      </c>
      <c r="B1308" s="1">
        <v>40375</v>
      </c>
      <c r="C1308">
        <v>0</v>
      </c>
      <c r="D1308">
        <v>91.8</v>
      </c>
      <c r="E1308">
        <v>2.9710000000000001</v>
      </c>
      <c r="F1308">
        <v>126.1498065</v>
      </c>
      <c r="G1308">
        <v>1828052.47</v>
      </c>
      <c r="H1308" t="str">
        <f>TEXT(Ventas[[#This Row],[Fecha_venta]],"dd")</f>
        <v>16</v>
      </c>
      <c r="I1308" t="str">
        <f>TEXT(Ventas[[#This Row],[Fecha_venta]],"m")</f>
        <v>7</v>
      </c>
      <c r="J1308" t="str">
        <f>TEXT(Ventas[[#This Row],[Fecha_venta]],"yyyy")</f>
        <v>2010</v>
      </c>
    </row>
    <row r="1309" spans="1:10" x14ac:dyDescent="0.25">
      <c r="A1309">
        <v>10</v>
      </c>
      <c r="B1309" s="1">
        <v>40382</v>
      </c>
      <c r="C1309">
        <v>0</v>
      </c>
      <c r="D1309">
        <v>88.44</v>
      </c>
      <c r="E1309">
        <v>3.1120000000000001</v>
      </c>
      <c r="F1309">
        <v>126.1283548</v>
      </c>
      <c r="G1309">
        <v>1831676.03</v>
      </c>
      <c r="H1309" t="str">
        <f>TEXT(Ventas[[#This Row],[Fecha_venta]],"dd")</f>
        <v>23</v>
      </c>
      <c r="I1309" t="str">
        <f>TEXT(Ventas[[#This Row],[Fecha_venta]],"m")</f>
        <v>7</v>
      </c>
      <c r="J1309" t="str">
        <f>TEXT(Ventas[[#This Row],[Fecha_venta]],"yyyy")</f>
        <v>2010</v>
      </c>
    </row>
    <row r="1310" spans="1:10" x14ac:dyDescent="0.25">
      <c r="A1310">
        <v>10</v>
      </c>
      <c r="B1310" s="1">
        <v>40389</v>
      </c>
      <c r="C1310">
        <v>0</v>
      </c>
      <c r="D1310">
        <v>85.03</v>
      </c>
      <c r="E1310">
        <v>3.0169999999999999</v>
      </c>
      <c r="F1310">
        <v>126.1069032</v>
      </c>
      <c r="G1310">
        <v>1832664.03</v>
      </c>
      <c r="H1310" t="str">
        <f>TEXT(Ventas[[#This Row],[Fecha_venta]],"dd")</f>
        <v>30</v>
      </c>
      <c r="I1310" t="str">
        <f>TEXT(Ventas[[#This Row],[Fecha_venta]],"m")</f>
        <v>7</v>
      </c>
      <c r="J1310" t="str">
        <f>TEXT(Ventas[[#This Row],[Fecha_venta]],"yyyy")</f>
        <v>2010</v>
      </c>
    </row>
    <row r="1311" spans="1:10" x14ac:dyDescent="0.25">
      <c r="A1311">
        <v>10</v>
      </c>
      <c r="B1311" s="1">
        <v>40396</v>
      </c>
      <c r="C1311">
        <v>0</v>
      </c>
      <c r="D1311">
        <v>86.13</v>
      </c>
      <c r="E1311">
        <v>3.1230000000000002</v>
      </c>
      <c r="F1311">
        <v>126.0854516</v>
      </c>
      <c r="G1311">
        <v>1949236.09</v>
      </c>
      <c r="H1311" t="str">
        <f>TEXT(Ventas[[#This Row],[Fecha_venta]],"dd")</f>
        <v>06</v>
      </c>
      <c r="I1311" t="str">
        <f>TEXT(Ventas[[#This Row],[Fecha_venta]],"m")</f>
        <v>8</v>
      </c>
      <c r="J1311" t="str">
        <f>TEXT(Ventas[[#This Row],[Fecha_venta]],"yyyy")</f>
        <v>2010</v>
      </c>
    </row>
    <row r="1312" spans="1:10" x14ac:dyDescent="0.25">
      <c r="A1312">
        <v>10</v>
      </c>
      <c r="B1312" s="1">
        <v>40403</v>
      </c>
      <c r="C1312">
        <v>0</v>
      </c>
      <c r="D1312">
        <v>88.37</v>
      </c>
      <c r="E1312">
        <v>3.0489999999999999</v>
      </c>
      <c r="F1312">
        <v>126.06399999999999</v>
      </c>
      <c r="G1312">
        <v>1962996.7</v>
      </c>
      <c r="H1312" t="str">
        <f>TEXT(Ventas[[#This Row],[Fecha_venta]],"dd")</f>
        <v>13</v>
      </c>
      <c r="I1312" t="str">
        <f>TEXT(Ventas[[#This Row],[Fecha_venta]],"m")</f>
        <v>8</v>
      </c>
      <c r="J1312" t="str">
        <f>TEXT(Ventas[[#This Row],[Fecha_venta]],"yyyy")</f>
        <v>2010</v>
      </c>
    </row>
    <row r="1313" spans="1:10" x14ac:dyDescent="0.25">
      <c r="A1313">
        <v>10</v>
      </c>
      <c r="B1313" s="1">
        <v>40410</v>
      </c>
      <c r="C1313">
        <v>0</v>
      </c>
      <c r="D1313">
        <v>89.88</v>
      </c>
      <c r="E1313">
        <v>3.0409999999999999</v>
      </c>
      <c r="F1313">
        <v>126.0766452</v>
      </c>
      <c r="G1313">
        <v>1983190.56</v>
      </c>
      <c r="H1313" t="str">
        <f>TEXT(Ventas[[#This Row],[Fecha_venta]],"dd")</f>
        <v>20</v>
      </c>
      <c r="I1313" t="str">
        <f>TEXT(Ventas[[#This Row],[Fecha_venta]],"m")</f>
        <v>8</v>
      </c>
      <c r="J1313" t="str">
        <f>TEXT(Ventas[[#This Row],[Fecha_venta]],"yyyy")</f>
        <v>2010</v>
      </c>
    </row>
    <row r="1314" spans="1:10" x14ac:dyDescent="0.25">
      <c r="A1314">
        <v>10</v>
      </c>
      <c r="B1314" s="1">
        <v>40417</v>
      </c>
      <c r="C1314">
        <v>0</v>
      </c>
      <c r="D1314">
        <v>84.99</v>
      </c>
      <c r="E1314">
        <v>3.0219999999999998</v>
      </c>
      <c r="F1314">
        <v>126.0892903</v>
      </c>
      <c r="G1314">
        <v>1727565.42</v>
      </c>
      <c r="H1314" t="str">
        <f>TEXT(Ventas[[#This Row],[Fecha_venta]],"dd")</f>
        <v>27</v>
      </c>
      <c r="I1314" t="str">
        <f>TEXT(Ventas[[#This Row],[Fecha_venta]],"m")</f>
        <v>8</v>
      </c>
      <c r="J1314" t="str">
        <f>TEXT(Ventas[[#This Row],[Fecha_venta]],"yyyy")</f>
        <v>2010</v>
      </c>
    </row>
    <row r="1315" spans="1:10" x14ac:dyDescent="0.25">
      <c r="A1315">
        <v>10</v>
      </c>
      <c r="B1315" s="1">
        <v>40424</v>
      </c>
      <c r="C1315">
        <v>0</v>
      </c>
      <c r="D1315">
        <v>83.8</v>
      </c>
      <c r="E1315">
        <v>3.0870000000000002</v>
      </c>
      <c r="F1315">
        <v>126.1019355</v>
      </c>
      <c r="G1315">
        <v>1766331.45</v>
      </c>
      <c r="H1315" t="str">
        <f>TEXT(Ventas[[#This Row],[Fecha_venta]],"dd")</f>
        <v>03</v>
      </c>
      <c r="I1315" t="str">
        <f>TEXT(Ventas[[#This Row],[Fecha_venta]],"m")</f>
        <v>9</v>
      </c>
      <c r="J1315" t="str">
        <f>TEXT(Ventas[[#This Row],[Fecha_venta]],"yyyy")</f>
        <v>2010</v>
      </c>
    </row>
    <row r="1316" spans="1:10" x14ac:dyDescent="0.25">
      <c r="A1316">
        <v>10</v>
      </c>
      <c r="B1316" s="1">
        <v>40431</v>
      </c>
      <c r="C1316">
        <v>1</v>
      </c>
      <c r="D1316">
        <v>84.04</v>
      </c>
      <c r="E1316">
        <v>2.9609999999999999</v>
      </c>
      <c r="F1316">
        <v>126.1145806</v>
      </c>
      <c r="G1316">
        <v>1720530.23</v>
      </c>
      <c r="H1316" t="str">
        <f>TEXT(Ventas[[#This Row],[Fecha_venta]],"dd")</f>
        <v>10</v>
      </c>
      <c r="I1316" t="str">
        <f>TEXT(Ventas[[#This Row],[Fecha_venta]],"m")</f>
        <v>9</v>
      </c>
      <c r="J1316" t="str">
        <f>TEXT(Ventas[[#This Row],[Fecha_venta]],"yyyy")</f>
        <v>2010</v>
      </c>
    </row>
    <row r="1317" spans="1:10" x14ac:dyDescent="0.25">
      <c r="A1317">
        <v>10</v>
      </c>
      <c r="B1317" s="1">
        <v>40438</v>
      </c>
      <c r="C1317">
        <v>0</v>
      </c>
      <c r="D1317">
        <v>85.52</v>
      </c>
      <c r="E1317">
        <v>3.028</v>
      </c>
      <c r="F1317">
        <v>126.1454667</v>
      </c>
      <c r="G1317">
        <v>1716755.78</v>
      </c>
      <c r="H1317" t="str">
        <f>TEXT(Ventas[[#This Row],[Fecha_venta]],"dd")</f>
        <v>17</v>
      </c>
      <c r="I1317" t="str">
        <f>TEXT(Ventas[[#This Row],[Fecha_venta]],"m")</f>
        <v>9</v>
      </c>
      <c r="J1317" t="str">
        <f>TEXT(Ventas[[#This Row],[Fecha_venta]],"yyyy")</f>
        <v>2010</v>
      </c>
    </row>
    <row r="1318" spans="1:10" x14ac:dyDescent="0.25">
      <c r="A1318">
        <v>10</v>
      </c>
      <c r="B1318" s="1">
        <v>40445</v>
      </c>
      <c r="C1318">
        <v>0</v>
      </c>
      <c r="D1318">
        <v>85.75</v>
      </c>
      <c r="E1318">
        <v>2.9390000000000001</v>
      </c>
      <c r="F1318">
        <v>126.1900333</v>
      </c>
      <c r="G1318">
        <v>1655036.75</v>
      </c>
      <c r="H1318" t="str">
        <f>TEXT(Ventas[[#This Row],[Fecha_venta]],"dd")</f>
        <v>24</v>
      </c>
      <c r="I1318" t="str">
        <f>TEXT(Ventas[[#This Row],[Fecha_venta]],"m")</f>
        <v>9</v>
      </c>
      <c r="J1318" t="str">
        <f>TEXT(Ventas[[#This Row],[Fecha_venta]],"yyyy")</f>
        <v>2010</v>
      </c>
    </row>
    <row r="1319" spans="1:10" x14ac:dyDescent="0.25">
      <c r="A1319">
        <v>10</v>
      </c>
      <c r="B1319" s="1">
        <v>40452</v>
      </c>
      <c r="C1319">
        <v>0</v>
      </c>
      <c r="D1319">
        <v>86.01</v>
      </c>
      <c r="E1319">
        <v>3.0009999999999999</v>
      </c>
      <c r="F1319">
        <v>126.2346</v>
      </c>
      <c r="G1319">
        <v>1645892.97</v>
      </c>
      <c r="H1319" t="str">
        <f>TEXT(Ventas[[#This Row],[Fecha_venta]],"dd")</f>
        <v>01</v>
      </c>
      <c r="I1319" t="str">
        <f>TEXT(Ventas[[#This Row],[Fecha_venta]],"m")</f>
        <v>10</v>
      </c>
      <c r="J1319" t="str">
        <f>TEXT(Ventas[[#This Row],[Fecha_venta]],"yyyy")</f>
        <v>2010</v>
      </c>
    </row>
    <row r="1320" spans="1:10" x14ac:dyDescent="0.25">
      <c r="A1320">
        <v>10</v>
      </c>
      <c r="B1320" s="1">
        <v>40459</v>
      </c>
      <c r="C1320">
        <v>0</v>
      </c>
      <c r="D1320">
        <v>77.040000000000006</v>
      </c>
      <c r="E1320">
        <v>2.9239999999999999</v>
      </c>
      <c r="F1320">
        <v>126.2791667</v>
      </c>
      <c r="G1320">
        <v>1772192.42</v>
      </c>
      <c r="H1320" t="str">
        <f>TEXT(Ventas[[#This Row],[Fecha_venta]],"dd")</f>
        <v>08</v>
      </c>
      <c r="I1320" t="str">
        <f>TEXT(Ventas[[#This Row],[Fecha_venta]],"m")</f>
        <v>10</v>
      </c>
      <c r="J1320" t="str">
        <f>TEXT(Ventas[[#This Row],[Fecha_venta]],"yyyy")</f>
        <v>2010</v>
      </c>
    </row>
    <row r="1321" spans="1:10" x14ac:dyDescent="0.25">
      <c r="A1321">
        <v>10</v>
      </c>
      <c r="B1321" s="1">
        <v>40466</v>
      </c>
      <c r="C1321">
        <v>0</v>
      </c>
      <c r="D1321">
        <v>75.48</v>
      </c>
      <c r="E1321">
        <v>3.08</v>
      </c>
      <c r="F1321">
        <v>126.32667739999999</v>
      </c>
      <c r="G1321">
        <v>1703850.25</v>
      </c>
      <c r="H1321" t="str">
        <f>TEXT(Ventas[[#This Row],[Fecha_venta]],"dd")</f>
        <v>15</v>
      </c>
      <c r="I1321" t="str">
        <f>TEXT(Ventas[[#This Row],[Fecha_venta]],"m")</f>
        <v>10</v>
      </c>
      <c r="J1321" t="str">
        <f>TEXT(Ventas[[#This Row],[Fecha_venta]],"yyyy")</f>
        <v>2010</v>
      </c>
    </row>
    <row r="1322" spans="1:10" x14ac:dyDescent="0.25">
      <c r="A1322">
        <v>10</v>
      </c>
      <c r="B1322" s="1">
        <v>40473</v>
      </c>
      <c r="C1322">
        <v>0</v>
      </c>
      <c r="D1322">
        <v>68.12</v>
      </c>
      <c r="E1322">
        <v>3.0139999999999998</v>
      </c>
      <c r="F1322">
        <v>126.3815484</v>
      </c>
      <c r="G1322">
        <v>1740234.06</v>
      </c>
      <c r="H1322" t="str">
        <f>TEXT(Ventas[[#This Row],[Fecha_venta]],"dd")</f>
        <v>22</v>
      </c>
      <c r="I1322" t="str">
        <f>TEXT(Ventas[[#This Row],[Fecha_venta]],"m")</f>
        <v>10</v>
      </c>
      <c r="J1322" t="str">
        <f>TEXT(Ventas[[#This Row],[Fecha_venta]],"yyyy")</f>
        <v>2010</v>
      </c>
    </row>
    <row r="1323" spans="1:10" x14ac:dyDescent="0.25">
      <c r="A1323">
        <v>10</v>
      </c>
      <c r="B1323" s="1">
        <v>40480</v>
      </c>
      <c r="C1323">
        <v>0</v>
      </c>
      <c r="D1323">
        <v>68.760000000000005</v>
      </c>
      <c r="E1323">
        <v>3.13</v>
      </c>
      <c r="F1323">
        <v>126.43641940000001</v>
      </c>
      <c r="G1323">
        <v>1741308.56</v>
      </c>
      <c r="H1323" t="str">
        <f>TEXT(Ventas[[#This Row],[Fecha_venta]],"dd")</f>
        <v>29</v>
      </c>
      <c r="I1323" t="str">
        <f>TEXT(Ventas[[#This Row],[Fecha_venta]],"m")</f>
        <v>10</v>
      </c>
      <c r="J1323" t="str">
        <f>TEXT(Ventas[[#This Row],[Fecha_venta]],"yyyy")</f>
        <v>2010</v>
      </c>
    </row>
    <row r="1324" spans="1:10" x14ac:dyDescent="0.25">
      <c r="A1324">
        <v>10</v>
      </c>
      <c r="B1324" s="1">
        <v>40487</v>
      </c>
      <c r="C1324">
        <v>0</v>
      </c>
      <c r="D1324">
        <v>71.040000000000006</v>
      </c>
      <c r="E1324">
        <v>1</v>
      </c>
      <c r="F1324">
        <v>126.4912903</v>
      </c>
      <c r="G1324">
        <v>1832211.96</v>
      </c>
      <c r="H1324" t="str">
        <f>TEXT(Ventas[[#This Row],[Fecha_venta]],"dd")</f>
        <v>05</v>
      </c>
      <c r="I1324" t="str">
        <f>TEXT(Ventas[[#This Row],[Fecha_venta]],"m")</f>
        <v>11</v>
      </c>
      <c r="J1324" t="str">
        <f>TEXT(Ventas[[#This Row],[Fecha_venta]],"yyyy")</f>
        <v>2010</v>
      </c>
    </row>
    <row r="1325" spans="1:10" x14ac:dyDescent="0.25">
      <c r="A1325">
        <v>10</v>
      </c>
      <c r="B1325" s="1">
        <v>40494</v>
      </c>
      <c r="C1325">
        <v>0</v>
      </c>
      <c r="D1325">
        <v>61.24</v>
      </c>
      <c r="E1325">
        <v>3.13</v>
      </c>
      <c r="F1325">
        <v>126.54616129999999</v>
      </c>
      <c r="G1325">
        <v>1895901.59</v>
      </c>
      <c r="H1325" t="str">
        <f>TEXT(Ventas[[#This Row],[Fecha_venta]],"dd")</f>
        <v>12</v>
      </c>
      <c r="I1325" t="str">
        <f>TEXT(Ventas[[#This Row],[Fecha_venta]],"m")</f>
        <v>11</v>
      </c>
      <c r="J1325" t="str">
        <f>TEXT(Ventas[[#This Row],[Fecha_venta]],"yyyy")</f>
        <v>2010</v>
      </c>
    </row>
    <row r="1326" spans="1:10" x14ac:dyDescent="0.25">
      <c r="A1326">
        <v>10</v>
      </c>
      <c r="B1326" s="1">
        <v>40501</v>
      </c>
      <c r="C1326">
        <v>0</v>
      </c>
      <c r="D1326">
        <v>58.83</v>
      </c>
      <c r="E1326">
        <v>3.0470000000000002</v>
      </c>
      <c r="F1326">
        <v>126.60720000000001</v>
      </c>
      <c r="G1326">
        <v>1949177.13</v>
      </c>
      <c r="H1326" t="str">
        <f>TEXT(Ventas[[#This Row],[Fecha_venta]],"dd")</f>
        <v>19</v>
      </c>
      <c r="I1326" t="str">
        <f>TEXT(Ventas[[#This Row],[Fecha_venta]],"m")</f>
        <v>11</v>
      </c>
      <c r="J1326" t="str">
        <f>TEXT(Ventas[[#This Row],[Fecha_venta]],"yyyy")</f>
        <v>2010</v>
      </c>
    </row>
    <row r="1327" spans="1:10" x14ac:dyDescent="0.25">
      <c r="A1327">
        <v>10</v>
      </c>
      <c r="B1327" s="1">
        <v>40508</v>
      </c>
      <c r="C1327">
        <v>1</v>
      </c>
      <c r="D1327">
        <v>55.33</v>
      </c>
      <c r="E1327">
        <v>3.1619999999999999</v>
      </c>
      <c r="F1327">
        <v>126.66926669999999</v>
      </c>
      <c r="G1327">
        <v>2939946.38</v>
      </c>
      <c r="H1327" t="str">
        <f>TEXT(Ventas[[#This Row],[Fecha_venta]],"dd")</f>
        <v>26</v>
      </c>
      <c r="I1327" t="str">
        <f>TEXT(Ventas[[#This Row],[Fecha_venta]],"m")</f>
        <v>11</v>
      </c>
      <c r="J1327" t="str">
        <f>TEXT(Ventas[[#This Row],[Fecha_venta]],"yyyy")</f>
        <v>2010</v>
      </c>
    </row>
    <row r="1328" spans="1:10" x14ac:dyDescent="0.25">
      <c r="A1328">
        <v>10</v>
      </c>
      <c r="B1328" s="1">
        <v>40515</v>
      </c>
      <c r="C1328">
        <v>0</v>
      </c>
      <c r="D1328">
        <v>51.17</v>
      </c>
      <c r="E1328">
        <v>3.0409999999999999</v>
      </c>
      <c r="F1328">
        <v>126.7313333</v>
      </c>
      <c r="G1328">
        <v>2251206.64</v>
      </c>
      <c r="H1328" t="str">
        <f>TEXT(Ventas[[#This Row],[Fecha_venta]],"dd")</f>
        <v>03</v>
      </c>
      <c r="I1328" t="str">
        <f>TEXT(Ventas[[#This Row],[Fecha_venta]],"m")</f>
        <v>12</v>
      </c>
      <c r="J1328" t="str">
        <f>TEXT(Ventas[[#This Row],[Fecha_venta]],"yyyy")</f>
        <v>2010</v>
      </c>
    </row>
    <row r="1329" spans="1:10" x14ac:dyDescent="0.25">
      <c r="A1329">
        <v>10</v>
      </c>
      <c r="B1329" s="1">
        <v>40522</v>
      </c>
      <c r="C1329">
        <v>0</v>
      </c>
      <c r="D1329">
        <v>60.51</v>
      </c>
      <c r="E1329">
        <v>3.0910000000000002</v>
      </c>
      <c r="F1329">
        <v>126.79340000000001</v>
      </c>
      <c r="G1329">
        <v>2411790.21</v>
      </c>
      <c r="H1329" t="str">
        <f>TEXT(Ventas[[#This Row],[Fecha_venta]],"dd")</f>
        <v>10</v>
      </c>
      <c r="I1329" t="str">
        <f>TEXT(Ventas[[#This Row],[Fecha_venta]],"m")</f>
        <v>12</v>
      </c>
      <c r="J1329" t="str">
        <f>TEXT(Ventas[[#This Row],[Fecha_venta]],"yyyy")</f>
        <v>2010</v>
      </c>
    </row>
    <row r="1330" spans="1:10" x14ac:dyDescent="0.25">
      <c r="A1330">
        <v>10</v>
      </c>
      <c r="B1330" s="1">
        <v>40529</v>
      </c>
      <c r="C1330">
        <v>0</v>
      </c>
      <c r="D1330">
        <v>59.15</v>
      </c>
      <c r="E1330">
        <v>3.125</v>
      </c>
      <c r="F1330">
        <v>126.8794839</v>
      </c>
      <c r="G1330">
        <v>2811646.85</v>
      </c>
      <c r="H1330" t="str">
        <f>TEXT(Ventas[[#This Row],[Fecha_venta]],"dd")</f>
        <v>17</v>
      </c>
      <c r="I1330" t="str">
        <f>TEXT(Ventas[[#This Row],[Fecha_venta]],"m")</f>
        <v>12</v>
      </c>
      <c r="J1330" t="str">
        <f>TEXT(Ventas[[#This Row],[Fecha_venta]],"yyyy")</f>
        <v>2010</v>
      </c>
    </row>
    <row r="1331" spans="1:10" x14ac:dyDescent="0.25">
      <c r="A1331">
        <v>10</v>
      </c>
      <c r="B1331" s="1">
        <v>40536</v>
      </c>
      <c r="C1331">
        <v>0</v>
      </c>
      <c r="D1331">
        <v>57.06</v>
      </c>
      <c r="E1331">
        <v>3.2360000000000002</v>
      </c>
      <c r="F1331">
        <v>126.9835806</v>
      </c>
      <c r="G1331">
        <v>3749057.69</v>
      </c>
      <c r="H1331" t="str">
        <f>TEXT(Ventas[[#This Row],[Fecha_venta]],"dd")</f>
        <v>24</v>
      </c>
      <c r="I1331" t="str">
        <f>TEXT(Ventas[[#This Row],[Fecha_venta]],"m")</f>
        <v>12</v>
      </c>
      <c r="J1331" t="str">
        <f>TEXT(Ventas[[#This Row],[Fecha_venta]],"yyyy")</f>
        <v>2010</v>
      </c>
    </row>
    <row r="1332" spans="1:10" x14ac:dyDescent="0.25">
      <c r="A1332">
        <v>10</v>
      </c>
      <c r="B1332" s="1">
        <v>40543</v>
      </c>
      <c r="C1332">
        <v>1</v>
      </c>
      <c r="D1332">
        <v>49.67</v>
      </c>
      <c r="E1332">
        <v>3.1480000000000001</v>
      </c>
      <c r="F1332">
        <v>127.0876774</v>
      </c>
      <c r="G1332">
        <v>1707298.14</v>
      </c>
      <c r="H1332" t="str">
        <f>TEXT(Ventas[[#This Row],[Fecha_venta]],"dd")</f>
        <v>31</v>
      </c>
      <c r="I1332" t="str">
        <f>TEXT(Ventas[[#This Row],[Fecha_venta]],"m")</f>
        <v>12</v>
      </c>
      <c r="J1332" t="str">
        <f>TEXT(Ventas[[#This Row],[Fecha_venta]],"yyyy")</f>
        <v>2010</v>
      </c>
    </row>
    <row r="1333" spans="1:10" x14ac:dyDescent="0.25">
      <c r="A1333">
        <v>10</v>
      </c>
      <c r="B1333" s="1">
        <v>40550</v>
      </c>
      <c r="C1333">
        <v>0</v>
      </c>
      <c r="D1333">
        <v>43.43</v>
      </c>
      <c r="E1333">
        <v>3.2869999999999999</v>
      </c>
      <c r="F1333">
        <v>127.1917742</v>
      </c>
      <c r="G1333">
        <v>1714309.9</v>
      </c>
      <c r="H1333" t="str">
        <f>TEXT(Ventas[[#This Row],[Fecha_venta]],"dd")</f>
        <v>07</v>
      </c>
      <c r="I1333" t="str">
        <f>TEXT(Ventas[[#This Row],[Fecha_venta]],"m")</f>
        <v>1</v>
      </c>
      <c r="J1333" t="str">
        <f>TEXT(Ventas[[#This Row],[Fecha_venta]],"yyyy")</f>
        <v>2011</v>
      </c>
    </row>
    <row r="1334" spans="1:10" x14ac:dyDescent="0.25">
      <c r="A1334">
        <v>10</v>
      </c>
      <c r="B1334" s="1">
        <v>40557</v>
      </c>
      <c r="C1334">
        <v>0</v>
      </c>
      <c r="D1334">
        <v>49.98</v>
      </c>
      <c r="E1334">
        <v>3.3119999999999998</v>
      </c>
      <c r="F1334">
        <v>127.30093549999999</v>
      </c>
      <c r="G1334">
        <v>1710803.59</v>
      </c>
      <c r="H1334" t="str">
        <f>TEXT(Ventas[[#This Row],[Fecha_venta]],"dd")</f>
        <v>14</v>
      </c>
      <c r="I1334" t="str">
        <f>TEXT(Ventas[[#This Row],[Fecha_venta]],"m")</f>
        <v>1</v>
      </c>
      <c r="J1334" t="str">
        <f>TEXT(Ventas[[#This Row],[Fecha_venta]],"yyyy")</f>
        <v>2011</v>
      </c>
    </row>
    <row r="1335" spans="1:10" x14ac:dyDescent="0.25">
      <c r="A1335">
        <v>10</v>
      </c>
      <c r="B1335" s="1">
        <v>40564</v>
      </c>
      <c r="C1335">
        <v>0</v>
      </c>
      <c r="D1335">
        <v>56.75</v>
      </c>
      <c r="E1335">
        <v>3.3359999999999999</v>
      </c>
      <c r="F1335">
        <v>127.4404839</v>
      </c>
      <c r="G1335">
        <v>1677556.18</v>
      </c>
      <c r="H1335" t="str">
        <f>TEXT(Ventas[[#This Row],[Fecha_venta]],"dd")</f>
        <v>21</v>
      </c>
      <c r="I1335" t="str">
        <f>TEXT(Ventas[[#This Row],[Fecha_venta]],"m")</f>
        <v>1</v>
      </c>
      <c r="J1335" t="str">
        <f>TEXT(Ventas[[#This Row],[Fecha_venta]],"yyyy")</f>
        <v>2011</v>
      </c>
    </row>
    <row r="1336" spans="1:10" x14ac:dyDescent="0.25">
      <c r="A1336">
        <v>10</v>
      </c>
      <c r="B1336" s="1">
        <v>40571</v>
      </c>
      <c r="C1336">
        <v>0</v>
      </c>
      <c r="D1336">
        <v>53.03</v>
      </c>
      <c r="E1336">
        <v>3.2309999999999999</v>
      </c>
      <c r="F1336">
        <v>127.5800323</v>
      </c>
      <c r="G1336">
        <v>1715769.05</v>
      </c>
      <c r="H1336" t="str">
        <f>TEXT(Ventas[[#This Row],[Fecha_venta]],"dd")</f>
        <v>28</v>
      </c>
      <c r="I1336" t="str">
        <f>TEXT(Ventas[[#This Row],[Fecha_venta]],"m")</f>
        <v>1</v>
      </c>
      <c r="J1336" t="str">
        <f>TEXT(Ventas[[#This Row],[Fecha_venta]],"yyyy")</f>
        <v>2011</v>
      </c>
    </row>
    <row r="1337" spans="1:10" x14ac:dyDescent="0.25">
      <c r="A1337">
        <v>10</v>
      </c>
      <c r="B1337" s="1">
        <v>40578</v>
      </c>
      <c r="C1337">
        <v>0</v>
      </c>
      <c r="D1337">
        <v>44.88</v>
      </c>
      <c r="E1337">
        <v>3.3479999999999999</v>
      </c>
      <c r="F1337">
        <v>127.7195806</v>
      </c>
      <c r="G1337">
        <v>1968045.91</v>
      </c>
      <c r="H1337" t="str">
        <f>TEXT(Ventas[[#This Row],[Fecha_venta]],"dd")</f>
        <v>04</v>
      </c>
      <c r="I1337" t="str">
        <f>TEXT(Ventas[[#This Row],[Fecha_venta]],"m")</f>
        <v>2</v>
      </c>
      <c r="J1337" t="str">
        <f>TEXT(Ventas[[#This Row],[Fecha_venta]],"yyyy")</f>
        <v>2011</v>
      </c>
    </row>
    <row r="1338" spans="1:10" x14ac:dyDescent="0.25">
      <c r="A1338">
        <v>10</v>
      </c>
      <c r="B1338" s="1">
        <v>40585</v>
      </c>
      <c r="C1338">
        <v>1</v>
      </c>
      <c r="D1338">
        <v>51.51</v>
      </c>
      <c r="E1338">
        <v>3.3809999999999998</v>
      </c>
      <c r="F1338">
        <v>127.859129</v>
      </c>
      <c r="G1338">
        <v>2115408.31</v>
      </c>
      <c r="H1338" t="str">
        <f>TEXT(Ventas[[#This Row],[Fecha_venta]],"dd")</f>
        <v>11</v>
      </c>
      <c r="I1338" t="str">
        <f>TEXT(Ventas[[#This Row],[Fecha_venta]],"m")</f>
        <v>2</v>
      </c>
      <c r="J1338" t="str">
        <f>TEXT(Ventas[[#This Row],[Fecha_venta]],"yyyy")</f>
        <v>2011</v>
      </c>
    </row>
    <row r="1339" spans="1:10" x14ac:dyDescent="0.25">
      <c r="A1339">
        <v>10</v>
      </c>
      <c r="B1339" s="1">
        <v>40592</v>
      </c>
      <c r="C1339">
        <v>0</v>
      </c>
      <c r="D1339">
        <v>61.77</v>
      </c>
      <c r="E1339">
        <v>3.43</v>
      </c>
      <c r="F1339">
        <v>127.99525</v>
      </c>
      <c r="G1339">
        <v>2106934.5499999998</v>
      </c>
      <c r="H1339" t="str">
        <f>TEXT(Ventas[[#This Row],[Fecha_venta]],"dd")</f>
        <v>18</v>
      </c>
      <c r="I1339" t="str">
        <f>TEXT(Ventas[[#This Row],[Fecha_venta]],"m")</f>
        <v>2</v>
      </c>
      <c r="J1339" t="str">
        <f>TEXT(Ventas[[#This Row],[Fecha_venta]],"yyyy")</f>
        <v>2011</v>
      </c>
    </row>
    <row r="1340" spans="1:10" x14ac:dyDescent="0.25">
      <c r="A1340">
        <v>10</v>
      </c>
      <c r="B1340" s="1">
        <v>40599</v>
      </c>
      <c r="C1340">
        <v>0</v>
      </c>
      <c r="D1340">
        <v>53.59</v>
      </c>
      <c r="E1340">
        <v>3.3980000000000001</v>
      </c>
      <c r="F1340">
        <v>128.13</v>
      </c>
      <c r="G1340">
        <v>1967996.71</v>
      </c>
      <c r="H1340" t="str">
        <f>TEXT(Ventas[[#This Row],[Fecha_venta]],"dd")</f>
        <v>25</v>
      </c>
      <c r="I1340" t="str">
        <f>TEXT(Ventas[[#This Row],[Fecha_venta]],"m")</f>
        <v>2</v>
      </c>
      <c r="J1340" t="str">
        <f>TEXT(Ventas[[#This Row],[Fecha_venta]],"yyyy")</f>
        <v>2011</v>
      </c>
    </row>
    <row r="1341" spans="1:10" x14ac:dyDescent="0.25">
      <c r="A1341">
        <v>10</v>
      </c>
      <c r="B1341" s="1">
        <v>40606</v>
      </c>
      <c r="C1341">
        <v>0</v>
      </c>
      <c r="D1341">
        <v>56.96</v>
      </c>
      <c r="E1341">
        <v>3.6739999999999999</v>
      </c>
      <c r="F1341">
        <v>128.26474999999999</v>
      </c>
      <c r="G1341">
        <v>1958003.19</v>
      </c>
      <c r="H1341" t="str">
        <f>TEXT(Ventas[[#This Row],[Fecha_venta]],"dd")</f>
        <v>04</v>
      </c>
      <c r="I1341" t="str">
        <f>TEXT(Ventas[[#This Row],[Fecha_venta]],"m")</f>
        <v>3</v>
      </c>
      <c r="J1341" t="str">
        <f>TEXT(Ventas[[#This Row],[Fecha_venta]],"yyyy")</f>
        <v>2011</v>
      </c>
    </row>
    <row r="1342" spans="1:10" x14ac:dyDescent="0.25">
      <c r="A1342">
        <v>10</v>
      </c>
      <c r="B1342" s="1">
        <v>40613</v>
      </c>
      <c r="C1342">
        <v>0</v>
      </c>
      <c r="D1342">
        <v>64.22</v>
      </c>
      <c r="E1342">
        <v>3.63</v>
      </c>
      <c r="F1342">
        <v>128.39949999999999</v>
      </c>
      <c r="G1342">
        <v>1933469.15</v>
      </c>
      <c r="H1342" t="str">
        <f>TEXT(Ventas[[#This Row],[Fecha_venta]],"dd")</f>
        <v>11</v>
      </c>
      <c r="I1342" t="str">
        <f>TEXT(Ventas[[#This Row],[Fecha_venta]],"m")</f>
        <v>3</v>
      </c>
      <c r="J1342" t="str">
        <f>TEXT(Ventas[[#This Row],[Fecha_venta]],"yyyy")</f>
        <v>2011</v>
      </c>
    </row>
    <row r="1343" spans="1:10" x14ac:dyDescent="0.25">
      <c r="A1343">
        <v>10</v>
      </c>
      <c r="B1343" s="1">
        <v>40620</v>
      </c>
      <c r="C1343">
        <v>0</v>
      </c>
      <c r="D1343">
        <v>70.12</v>
      </c>
      <c r="E1343">
        <v>3.8919999999999999</v>
      </c>
      <c r="F1343">
        <v>128.5121935</v>
      </c>
      <c r="G1343">
        <v>1884734.31</v>
      </c>
      <c r="H1343" t="str">
        <f>TEXT(Ventas[[#This Row],[Fecha_venta]],"dd")</f>
        <v>18</v>
      </c>
      <c r="I1343" t="str">
        <f>TEXT(Ventas[[#This Row],[Fecha_venta]],"m")</f>
        <v>3</v>
      </c>
      <c r="J1343" t="str">
        <f>TEXT(Ventas[[#This Row],[Fecha_venta]],"yyyy")</f>
        <v>2011</v>
      </c>
    </row>
    <row r="1344" spans="1:10" x14ac:dyDescent="0.25">
      <c r="A1344">
        <v>10</v>
      </c>
      <c r="B1344" s="1">
        <v>40627</v>
      </c>
      <c r="C1344">
        <v>0</v>
      </c>
      <c r="D1344">
        <v>62.53</v>
      </c>
      <c r="E1344">
        <v>3.7160000000000002</v>
      </c>
      <c r="F1344">
        <v>128.61606449999999</v>
      </c>
      <c r="G1344">
        <v>1815798.85</v>
      </c>
      <c r="H1344" t="str">
        <f>TEXT(Ventas[[#This Row],[Fecha_venta]],"dd")</f>
        <v>25</v>
      </c>
      <c r="I1344" t="str">
        <f>TEXT(Ventas[[#This Row],[Fecha_venta]],"m")</f>
        <v>3</v>
      </c>
      <c r="J1344" t="str">
        <f>TEXT(Ventas[[#This Row],[Fecha_venta]],"yyyy")</f>
        <v>2011</v>
      </c>
    </row>
    <row r="1345" spans="1:10" x14ac:dyDescent="0.25">
      <c r="A1345">
        <v>10</v>
      </c>
      <c r="B1345" s="1">
        <v>40634</v>
      </c>
      <c r="C1345">
        <v>0</v>
      </c>
      <c r="D1345">
        <v>67.64</v>
      </c>
      <c r="E1345">
        <v>3.7719999999999998</v>
      </c>
      <c r="F1345">
        <v>128.71993549999999</v>
      </c>
      <c r="G1345">
        <v>1827733.18</v>
      </c>
      <c r="H1345" t="str">
        <f>TEXT(Ventas[[#This Row],[Fecha_venta]],"dd")</f>
        <v>01</v>
      </c>
      <c r="I1345" t="str">
        <f>TEXT(Ventas[[#This Row],[Fecha_venta]],"m")</f>
        <v>4</v>
      </c>
      <c r="J1345" t="str">
        <f>TEXT(Ventas[[#This Row],[Fecha_venta]],"yyyy")</f>
        <v>2011</v>
      </c>
    </row>
    <row r="1346" spans="1:10" x14ac:dyDescent="0.25">
      <c r="A1346">
        <v>10</v>
      </c>
      <c r="B1346" s="1">
        <v>40641</v>
      </c>
      <c r="C1346">
        <v>0</v>
      </c>
      <c r="D1346">
        <v>73.03</v>
      </c>
      <c r="E1346">
        <v>3.8180000000000001</v>
      </c>
      <c r="F1346">
        <v>128.82380649999999</v>
      </c>
      <c r="G1346">
        <v>1870720.73</v>
      </c>
      <c r="H1346" t="str">
        <f>TEXT(Ventas[[#This Row],[Fecha_venta]],"dd")</f>
        <v>08</v>
      </c>
      <c r="I1346" t="str">
        <f>TEXT(Ventas[[#This Row],[Fecha_venta]],"m")</f>
        <v>4</v>
      </c>
      <c r="J1346" t="str">
        <f>TEXT(Ventas[[#This Row],[Fecha_venta]],"yyyy")</f>
        <v>2011</v>
      </c>
    </row>
    <row r="1347" spans="1:10" x14ac:dyDescent="0.25">
      <c r="A1347">
        <v>10</v>
      </c>
      <c r="B1347" s="1">
        <v>40648</v>
      </c>
      <c r="C1347">
        <v>0</v>
      </c>
      <c r="D1347">
        <v>61.05</v>
      </c>
      <c r="E1347">
        <v>4.0890000000000004</v>
      </c>
      <c r="F1347">
        <v>128.9107333</v>
      </c>
      <c r="G1347">
        <v>1781767.22</v>
      </c>
      <c r="H1347" t="str">
        <f>TEXT(Ventas[[#This Row],[Fecha_venta]],"dd")</f>
        <v>15</v>
      </c>
      <c r="I1347" t="str">
        <f>TEXT(Ventas[[#This Row],[Fecha_venta]],"m")</f>
        <v>4</v>
      </c>
      <c r="J1347" t="str">
        <f>TEXT(Ventas[[#This Row],[Fecha_venta]],"yyyy")</f>
        <v>2011</v>
      </c>
    </row>
    <row r="1348" spans="1:10" x14ac:dyDescent="0.25">
      <c r="A1348">
        <v>10</v>
      </c>
      <c r="B1348" s="1">
        <v>40655</v>
      </c>
      <c r="C1348">
        <v>0</v>
      </c>
      <c r="D1348">
        <v>75.930000000000007</v>
      </c>
      <c r="E1348">
        <v>3.9169999999999998</v>
      </c>
      <c r="F1348">
        <v>128.95529999999999</v>
      </c>
      <c r="G1348">
        <v>2004831.14</v>
      </c>
      <c r="H1348" t="str">
        <f>TEXT(Ventas[[#This Row],[Fecha_venta]],"dd")</f>
        <v>22</v>
      </c>
      <c r="I1348" t="str">
        <f>TEXT(Ventas[[#This Row],[Fecha_venta]],"m")</f>
        <v>4</v>
      </c>
      <c r="J1348" t="str">
        <f>TEXT(Ventas[[#This Row],[Fecha_venta]],"yyyy")</f>
        <v>2011</v>
      </c>
    </row>
    <row r="1349" spans="1:10" x14ac:dyDescent="0.25">
      <c r="A1349">
        <v>10</v>
      </c>
      <c r="B1349" s="1">
        <v>40662</v>
      </c>
      <c r="C1349">
        <v>0</v>
      </c>
      <c r="D1349">
        <v>73.38</v>
      </c>
      <c r="E1349">
        <v>4.1509999999999998</v>
      </c>
      <c r="F1349">
        <v>128.99986670000001</v>
      </c>
      <c r="G1349">
        <v>1873646.34</v>
      </c>
      <c r="H1349" t="str">
        <f>TEXT(Ventas[[#This Row],[Fecha_venta]],"dd")</f>
        <v>29</v>
      </c>
      <c r="I1349" t="str">
        <f>TEXT(Ventas[[#This Row],[Fecha_venta]],"m")</f>
        <v>4</v>
      </c>
      <c r="J1349" t="str">
        <f>TEXT(Ventas[[#This Row],[Fecha_venta]],"yyyy")</f>
        <v>2011</v>
      </c>
    </row>
    <row r="1350" spans="1:10" x14ac:dyDescent="0.25">
      <c r="A1350">
        <v>10</v>
      </c>
      <c r="B1350" s="1">
        <v>40669</v>
      </c>
      <c r="C1350">
        <v>0</v>
      </c>
      <c r="D1350">
        <v>73.56</v>
      </c>
      <c r="E1350">
        <v>4.1929999999999996</v>
      </c>
      <c r="F1350">
        <v>129.04443330000001</v>
      </c>
      <c r="G1350">
        <v>1841369.99</v>
      </c>
      <c r="H1350" t="str">
        <f>TEXT(Ventas[[#This Row],[Fecha_venta]],"dd")</f>
        <v>06</v>
      </c>
      <c r="I1350" t="str">
        <f>TEXT(Ventas[[#This Row],[Fecha_venta]],"m")</f>
        <v>5</v>
      </c>
      <c r="J1350" t="str">
        <f>TEXT(Ventas[[#This Row],[Fecha_venta]],"yyyy")</f>
        <v>2011</v>
      </c>
    </row>
    <row r="1351" spans="1:10" x14ac:dyDescent="0.25">
      <c r="A1351">
        <v>10</v>
      </c>
      <c r="B1351" s="1">
        <v>40676</v>
      </c>
      <c r="C1351">
        <v>0</v>
      </c>
      <c r="D1351">
        <v>74.040000000000006</v>
      </c>
      <c r="E1351">
        <v>4.202</v>
      </c>
      <c r="F1351">
        <v>129.089</v>
      </c>
      <c r="G1351">
        <v>1712995.44</v>
      </c>
      <c r="H1351" t="str">
        <f>TEXT(Ventas[[#This Row],[Fecha_venta]],"dd")</f>
        <v>13</v>
      </c>
      <c r="I1351" t="str">
        <f>TEXT(Ventas[[#This Row],[Fecha_venta]],"m")</f>
        <v>5</v>
      </c>
      <c r="J1351" t="str">
        <f>TEXT(Ventas[[#This Row],[Fecha_venta]],"yyyy")</f>
        <v>2011</v>
      </c>
    </row>
    <row r="1352" spans="1:10" x14ac:dyDescent="0.25">
      <c r="A1352">
        <v>10</v>
      </c>
      <c r="B1352" s="1">
        <v>40683</v>
      </c>
      <c r="C1352">
        <v>0</v>
      </c>
      <c r="D1352">
        <v>72.62</v>
      </c>
      <c r="E1352">
        <v>3.99</v>
      </c>
      <c r="F1352">
        <v>129.07567739999999</v>
      </c>
      <c r="G1352">
        <v>1720908.01</v>
      </c>
      <c r="H1352" t="str">
        <f>TEXT(Ventas[[#This Row],[Fecha_venta]],"dd")</f>
        <v>20</v>
      </c>
      <c r="I1352" t="str">
        <f>TEXT(Ventas[[#This Row],[Fecha_venta]],"m")</f>
        <v>5</v>
      </c>
      <c r="J1352" t="str">
        <f>TEXT(Ventas[[#This Row],[Fecha_venta]],"yyyy")</f>
        <v>2011</v>
      </c>
    </row>
    <row r="1353" spans="1:10" x14ac:dyDescent="0.25">
      <c r="A1353">
        <v>10</v>
      </c>
      <c r="B1353" s="1">
        <v>40690</v>
      </c>
      <c r="C1353">
        <v>0</v>
      </c>
      <c r="D1353">
        <v>78.62</v>
      </c>
      <c r="E1353">
        <v>3.9329999999999998</v>
      </c>
      <c r="F1353">
        <v>129.06235480000001</v>
      </c>
      <c r="G1353">
        <v>1743000.38</v>
      </c>
      <c r="H1353" t="str">
        <f>TEXT(Ventas[[#This Row],[Fecha_venta]],"dd")</f>
        <v>27</v>
      </c>
      <c r="I1353" t="str">
        <f>TEXT(Ventas[[#This Row],[Fecha_venta]],"m")</f>
        <v>5</v>
      </c>
      <c r="J1353" t="str">
        <f>TEXT(Ventas[[#This Row],[Fecha_venta]],"yyyy")</f>
        <v>2011</v>
      </c>
    </row>
    <row r="1354" spans="1:10" x14ac:dyDescent="0.25">
      <c r="A1354">
        <v>10</v>
      </c>
      <c r="B1354" s="1">
        <v>40697</v>
      </c>
      <c r="C1354">
        <v>0</v>
      </c>
      <c r="D1354">
        <v>81.87</v>
      </c>
      <c r="E1354">
        <v>3.8929999999999998</v>
      </c>
      <c r="F1354">
        <v>129.04903229999999</v>
      </c>
      <c r="G1354">
        <v>1792210.89</v>
      </c>
      <c r="H1354" t="str">
        <f>TEXT(Ventas[[#This Row],[Fecha_venta]],"dd")</f>
        <v>03</v>
      </c>
      <c r="I1354" t="str">
        <f>TEXT(Ventas[[#This Row],[Fecha_venta]],"m")</f>
        <v>6</v>
      </c>
      <c r="J1354" t="str">
        <f>TEXT(Ventas[[#This Row],[Fecha_venta]],"yyyy")</f>
        <v>2011</v>
      </c>
    </row>
    <row r="1355" spans="1:10" x14ac:dyDescent="0.25">
      <c r="A1355">
        <v>10</v>
      </c>
      <c r="B1355" s="1">
        <v>40704</v>
      </c>
      <c r="C1355">
        <v>0</v>
      </c>
      <c r="D1355">
        <v>84.57</v>
      </c>
      <c r="E1355">
        <v>3.9809999999999999</v>
      </c>
      <c r="F1355">
        <v>129.03570970000001</v>
      </c>
      <c r="G1355">
        <v>1740063.1</v>
      </c>
      <c r="H1355" t="str">
        <f>TEXT(Ventas[[#This Row],[Fecha_venta]],"dd")</f>
        <v>10</v>
      </c>
      <c r="I1355" t="str">
        <f>TEXT(Ventas[[#This Row],[Fecha_venta]],"m")</f>
        <v>6</v>
      </c>
      <c r="J1355" t="str">
        <f>TEXT(Ventas[[#This Row],[Fecha_venta]],"yyyy")</f>
        <v>2011</v>
      </c>
    </row>
    <row r="1356" spans="1:10" x14ac:dyDescent="0.25">
      <c r="A1356">
        <v>10</v>
      </c>
      <c r="B1356" s="1">
        <v>40711</v>
      </c>
      <c r="C1356">
        <v>0</v>
      </c>
      <c r="D1356">
        <v>87.96</v>
      </c>
      <c r="E1356">
        <v>3.9350000000000001</v>
      </c>
      <c r="F1356">
        <v>129.04320000000001</v>
      </c>
      <c r="G1356">
        <v>1817934.76</v>
      </c>
      <c r="H1356" t="str">
        <f>TEXT(Ventas[[#This Row],[Fecha_venta]],"dd")</f>
        <v>17</v>
      </c>
      <c r="I1356" t="str">
        <f>TEXT(Ventas[[#This Row],[Fecha_venta]],"m")</f>
        <v>6</v>
      </c>
      <c r="J1356" t="str">
        <f>TEXT(Ventas[[#This Row],[Fecha_venta]],"yyyy")</f>
        <v>2011</v>
      </c>
    </row>
    <row r="1357" spans="1:10" x14ac:dyDescent="0.25">
      <c r="A1357">
        <v>10</v>
      </c>
      <c r="B1357" s="1">
        <v>40718</v>
      </c>
      <c r="C1357">
        <v>0</v>
      </c>
      <c r="D1357">
        <v>90.69</v>
      </c>
      <c r="E1357">
        <v>3.8069999999999999</v>
      </c>
      <c r="F1357">
        <v>129.06630000000001</v>
      </c>
      <c r="G1357">
        <v>1711813.13</v>
      </c>
      <c r="H1357" t="str">
        <f>TEXT(Ventas[[#This Row],[Fecha_venta]],"dd")</f>
        <v>24</v>
      </c>
      <c r="I1357" t="str">
        <f>TEXT(Ventas[[#This Row],[Fecha_venta]],"m")</f>
        <v>6</v>
      </c>
      <c r="J1357" t="str">
        <f>TEXT(Ventas[[#This Row],[Fecha_venta]],"yyyy")</f>
        <v>2011</v>
      </c>
    </row>
    <row r="1358" spans="1:10" x14ac:dyDescent="0.25">
      <c r="A1358">
        <v>10</v>
      </c>
      <c r="B1358" s="1">
        <v>40725</v>
      </c>
      <c r="C1358">
        <v>0</v>
      </c>
      <c r="D1358">
        <v>95.36</v>
      </c>
      <c r="E1358">
        <v>3.8420000000000001</v>
      </c>
      <c r="F1358">
        <v>129.08940000000001</v>
      </c>
      <c r="G1358">
        <v>1751369.75</v>
      </c>
      <c r="H1358" t="str">
        <f>TEXT(Ventas[[#This Row],[Fecha_venta]],"dd")</f>
        <v>01</v>
      </c>
      <c r="I1358" t="str">
        <f>TEXT(Ventas[[#This Row],[Fecha_venta]],"m")</f>
        <v>7</v>
      </c>
      <c r="J1358" t="str">
        <f>TEXT(Ventas[[#This Row],[Fecha_venta]],"yyyy")</f>
        <v>2011</v>
      </c>
    </row>
    <row r="1359" spans="1:10" x14ac:dyDescent="0.25">
      <c r="A1359">
        <v>10</v>
      </c>
      <c r="B1359" s="1">
        <v>40732</v>
      </c>
      <c r="C1359">
        <v>0</v>
      </c>
      <c r="D1359">
        <v>88.57</v>
      </c>
      <c r="E1359">
        <v>3.7930000000000001</v>
      </c>
      <c r="F1359">
        <v>129.11250000000001</v>
      </c>
      <c r="G1359">
        <v>1699708.38</v>
      </c>
      <c r="H1359" t="str">
        <f>TEXT(Ventas[[#This Row],[Fecha_venta]],"dd")</f>
        <v>08</v>
      </c>
      <c r="I1359" t="str">
        <f>TEXT(Ventas[[#This Row],[Fecha_venta]],"m")</f>
        <v>7</v>
      </c>
      <c r="J1359" t="str">
        <f>TEXT(Ventas[[#This Row],[Fecha_venta]],"yyyy")</f>
        <v>2011</v>
      </c>
    </row>
    <row r="1360" spans="1:10" x14ac:dyDescent="0.25">
      <c r="A1360">
        <v>10</v>
      </c>
      <c r="B1360" s="1">
        <v>40739</v>
      </c>
      <c r="C1360">
        <v>0</v>
      </c>
      <c r="D1360">
        <v>86.01</v>
      </c>
      <c r="E1360">
        <v>3.7789999999999999</v>
      </c>
      <c r="F1360">
        <v>129.13383870000001</v>
      </c>
      <c r="G1360">
        <v>1775068.4</v>
      </c>
      <c r="H1360" t="str">
        <f>TEXT(Ventas[[#This Row],[Fecha_venta]],"dd")</f>
        <v>15</v>
      </c>
      <c r="I1360" t="str">
        <f>TEXT(Ventas[[#This Row],[Fecha_venta]],"m")</f>
        <v>7</v>
      </c>
      <c r="J1360" t="str">
        <f>TEXT(Ventas[[#This Row],[Fecha_venta]],"yyyy")</f>
        <v>2011</v>
      </c>
    </row>
    <row r="1361" spans="1:10" x14ac:dyDescent="0.25">
      <c r="A1361">
        <v>10</v>
      </c>
      <c r="B1361" s="1">
        <v>40746</v>
      </c>
      <c r="C1361">
        <v>0</v>
      </c>
      <c r="D1361">
        <v>88.59</v>
      </c>
      <c r="E1361">
        <v>3.6970000000000001</v>
      </c>
      <c r="F1361">
        <v>129.1507742</v>
      </c>
      <c r="G1361">
        <v>1774342.61</v>
      </c>
      <c r="H1361" t="str">
        <f>TEXT(Ventas[[#This Row],[Fecha_venta]],"dd")</f>
        <v>22</v>
      </c>
      <c r="I1361" t="str">
        <f>TEXT(Ventas[[#This Row],[Fecha_venta]],"m")</f>
        <v>7</v>
      </c>
      <c r="J1361" t="str">
        <f>TEXT(Ventas[[#This Row],[Fecha_venta]],"yyyy")</f>
        <v>2011</v>
      </c>
    </row>
    <row r="1362" spans="1:10" x14ac:dyDescent="0.25">
      <c r="A1362">
        <v>10</v>
      </c>
      <c r="B1362" s="1">
        <v>40753</v>
      </c>
      <c r="C1362">
        <v>0</v>
      </c>
      <c r="D1362">
        <v>86.75</v>
      </c>
      <c r="E1362">
        <v>3.694</v>
      </c>
      <c r="F1362">
        <v>129.16770969999999</v>
      </c>
      <c r="G1362">
        <v>1745841.33</v>
      </c>
      <c r="H1362" t="str">
        <f>TEXT(Ventas[[#This Row],[Fecha_venta]],"dd")</f>
        <v>29</v>
      </c>
      <c r="I1362" t="str">
        <f>TEXT(Ventas[[#This Row],[Fecha_venta]],"m")</f>
        <v>7</v>
      </c>
      <c r="J1362" t="str">
        <f>TEXT(Ventas[[#This Row],[Fecha_venta]],"yyyy")</f>
        <v>2011</v>
      </c>
    </row>
    <row r="1363" spans="1:10" x14ac:dyDescent="0.25">
      <c r="A1363">
        <v>10</v>
      </c>
      <c r="B1363" s="1">
        <v>40760</v>
      </c>
      <c r="C1363">
        <v>0</v>
      </c>
      <c r="D1363">
        <v>89.8</v>
      </c>
      <c r="E1363">
        <v>3.8029999999999999</v>
      </c>
      <c r="F1363">
        <v>129.18464520000001</v>
      </c>
      <c r="G1363">
        <v>1886299.98</v>
      </c>
      <c r="H1363" t="str">
        <f>TEXT(Ventas[[#This Row],[Fecha_venta]],"dd")</f>
        <v>05</v>
      </c>
      <c r="I1363" t="str">
        <f>TEXT(Ventas[[#This Row],[Fecha_venta]],"m")</f>
        <v>8</v>
      </c>
      <c r="J1363" t="str">
        <f>TEXT(Ventas[[#This Row],[Fecha_venta]],"yyyy")</f>
        <v>2011</v>
      </c>
    </row>
    <row r="1364" spans="1:10" x14ac:dyDescent="0.25">
      <c r="A1364">
        <v>10</v>
      </c>
      <c r="B1364" s="1">
        <v>40767</v>
      </c>
      <c r="C1364">
        <v>0</v>
      </c>
      <c r="D1364">
        <v>85.61</v>
      </c>
      <c r="E1364">
        <v>3.794</v>
      </c>
      <c r="F1364">
        <v>129.2015806</v>
      </c>
      <c r="G1364">
        <v>1917397.63</v>
      </c>
      <c r="H1364" t="str">
        <f>TEXT(Ventas[[#This Row],[Fecha_venta]],"dd")</f>
        <v>12</v>
      </c>
      <c r="I1364" t="str">
        <f>TEXT(Ventas[[#This Row],[Fecha_venta]],"m")</f>
        <v>8</v>
      </c>
      <c r="J1364" t="str">
        <f>TEXT(Ventas[[#This Row],[Fecha_venta]],"yyyy")</f>
        <v>2011</v>
      </c>
    </row>
    <row r="1365" spans="1:10" x14ac:dyDescent="0.25">
      <c r="A1365">
        <v>10</v>
      </c>
      <c r="B1365" s="1">
        <v>40774</v>
      </c>
      <c r="C1365">
        <v>0</v>
      </c>
      <c r="D1365">
        <v>87.4</v>
      </c>
      <c r="E1365">
        <v>3.7429999999999999</v>
      </c>
      <c r="F1365">
        <v>129.24058059999999</v>
      </c>
      <c r="G1365">
        <v>1954849.68</v>
      </c>
      <c r="H1365" t="str">
        <f>TEXT(Ventas[[#This Row],[Fecha_venta]],"dd")</f>
        <v>19</v>
      </c>
      <c r="I1365" t="str">
        <f>TEXT(Ventas[[#This Row],[Fecha_venta]],"m")</f>
        <v>8</v>
      </c>
      <c r="J1365" t="str">
        <f>TEXT(Ventas[[#This Row],[Fecha_venta]],"yyyy")</f>
        <v>2011</v>
      </c>
    </row>
    <row r="1366" spans="1:10" x14ac:dyDescent="0.25">
      <c r="A1366">
        <v>10</v>
      </c>
      <c r="B1366" s="1">
        <v>40781</v>
      </c>
      <c r="C1366">
        <v>0</v>
      </c>
      <c r="D1366">
        <v>91.59</v>
      </c>
      <c r="E1366">
        <v>3.6629999999999998</v>
      </c>
      <c r="F1366">
        <v>129.28325810000001</v>
      </c>
      <c r="G1366">
        <v>1728399.07</v>
      </c>
      <c r="H1366" t="str">
        <f>TEXT(Ventas[[#This Row],[Fecha_venta]],"dd")</f>
        <v>26</v>
      </c>
      <c r="I1366" t="str">
        <f>TEXT(Ventas[[#This Row],[Fecha_venta]],"m")</f>
        <v>8</v>
      </c>
      <c r="J1366" t="str">
        <f>TEXT(Ventas[[#This Row],[Fecha_venta]],"yyyy")</f>
        <v>2011</v>
      </c>
    </row>
    <row r="1367" spans="1:10" x14ac:dyDescent="0.25">
      <c r="A1367">
        <v>10</v>
      </c>
      <c r="B1367" s="1">
        <v>40788</v>
      </c>
      <c r="C1367">
        <v>0</v>
      </c>
      <c r="D1367">
        <v>91.61</v>
      </c>
      <c r="E1367">
        <v>3.798</v>
      </c>
      <c r="F1367">
        <v>129.32593550000001</v>
      </c>
      <c r="G1367">
        <v>1758587.35</v>
      </c>
      <c r="H1367" t="str">
        <f>TEXT(Ventas[[#This Row],[Fecha_venta]],"dd")</f>
        <v>02</v>
      </c>
      <c r="I1367" t="str">
        <f>TEXT(Ventas[[#This Row],[Fecha_venta]],"m")</f>
        <v>9</v>
      </c>
      <c r="J1367" t="str">
        <f>TEXT(Ventas[[#This Row],[Fecha_venta]],"yyyy")</f>
        <v>2011</v>
      </c>
    </row>
    <row r="1368" spans="1:10" x14ac:dyDescent="0.25">
      <c r="A1368">
        <v>10</v>
      </c>
      <c r="B1368" s="1">
        <v>40795</v>
      </c>
      <c r="C1368">
        <v>1</v>
      </c>
      <c r="D1368">
        <v>89.06</v>
      </c>
      <c r="E1368">
        <v>3.7709999999999999</v>
      </c>
      <c r="F1368">
        <v>129.36861289999999</v>
      </c>
      <c r="G1368">
        <v>1670579.82</v>
      </c>
      <c r="H1368" t="str">
        <f>TEXT(Ventas[[#This Row],[Fecha_venta]],"dd")</f>
        <v>09</v>
      </c>
      <c r="I1368" t="str">
        <f>TEXT(Ventas[[#This Row],[Fecha_venta]],"m")</f>
        <v>9</v>
      </c>
      <c r="J1368" t="str">
        <f>TEXT(Ventas[[#This Row],[Fecha_venta]],"yyyy")</f>
        <v>2011</v>
      </c>
    </row>
    <row r="1369" spans="1:10" x14ac:dyDescent="0.25">
      <c r="A1369">
        <v>10</v>
      </c>
      <c r="B1369" s="1">
        <v>40802</v>
      </c>
      <c r="C1369">
        <v>0</v>
      </c>
      <c r="D1369">
        <v>77.489999999999995</v>
      </c>
      <c r="E1369">
        <v>3.7839999999999998</v>
      </c>
      <c r="F1369">
        <v>129.4306</v>
      </c>
      <c r="G1369">
        <v>1650894.3</v>
      </c>
      <c r="H1369" t="str">
        <f>TEXT(Ventas[[#This Row],[Fecha_venta]],"dd")</f>
        <v>16</v>
      </c>
      <c r="I1369" t="str">
        <f>TEXT(Ventas[[#This Row],[Fecha_venta]],"m")</f>
        <v>9</v>
      </c>
      <c r="J1369" t="str">
        <f>TEXT(Ventas[[#This Row],[Fecha_venta]],"yyyy")</f>
        <v>2011</v>
      </c>
    </row>
    <row r="1370" spans="1:10" x14ac:dyDescent="0.25">
      <c r="A1370">
        <v>10</v>
      </c>
      <c r="B1370" s="1">
        <v>40809</v>
      </c>
      <c r="C1370">
        <v>0</v>
      </c>
      <c r="D1370">
        <v>82.51</v>
      </c>
      <c r="E1370">
        <v>3.7890000000000001</v>
      </c>
      <c r="F1370">
        <v>129.51833329999999</v>
      </c>
      <c r="G1370">
        <v>1685910.53</v>
      </c>
      <c r="H1370" t="str">
        <f>TEXT(Ventas[[#This Row],[Fecha_venta]],"dd")</f>
        <v>23</v>
      </c>
      <c r="I1370" t="str">
        <f>TEXT(Ventas[[#This Row],[Fecha_venta]],"m")</f>
        <v>9</v>
      </c>
      <c r="J1370" t="str">
        <f>TEXT(Ventas[[#This Row],[Fecha_venta]],"yyyy")</f>
        <v>2011</v>
      </c>
    </row>
    <row r="1371" spans="1:10" x14ac:dyDescent="0.25">
      <c r="A1371">
        <v>10</v>
      </c>
      <c r="B1371" s="1">
        <v>40816</v>
      </c>
      <c r="C1371">
        <v>0</v>
      </c>
      <c r="D1371">
        <v>82.27</v>
      </c>
      <c r="E1371">
        <v>3.8769999999999998</v>
      </c>
      <c r="F1371">
        <v>129.60606670000001</v>
      </c>
      <c r="G1371">
        <v>1627707.31</v>
      </c>
      <c r="H1371" t="str">
        <f>TEXT(Ventas[[#This Row],[Fecha_venta]],"dd")</f>
        <v>30</v>
      </c>
      <c r="I1371" t="str">
        <f>TEXT(Ventas[[#This Row],[Fecha_venta]],"m")</f>
        <v>9</v>
      </c>
      <c r="J1371" t="str">
        <f>TEXT(Ventas[[#This Row],[Fecha_venta]],"yyyy")</f>
        <v>2011</v>
      </c>
    </row>
    <row r="1372" spans="1:10" x14ac:dyDescent="0.25">
      <c r="A1372">
        <v>10</v>
      </c>
      <c r="B1372" s="1">
        <v>40823</v>
      </c>
      <c r="C1372">
        <v>0</v>
      </c>
      <c r="D1372">
        <v>75.010000000000005</v>
      </c>
      <c r="E1372">
        <v>3.827</v>
      </c>
      <c r="F1372">
        <v>129.69380000000001</v>
      </c>
      <c r="G1372">
        <v>1788227.6</v>
      </c>
      <c r="H1372" t="str">
        <f>TEXT(Ventas[[#This Row],[Fecha_venta]],"dd")</f>
        <v>07</v>
      </c>
      <c r="I1372" t="str">
        <f>TEXT(Ventas[[#This Row],[Fecha_venta]],"m")</f>
        <v>10</v>
      </c>
      <c r="J1372" t="str">
        <f>TEXT(Ventas[[#This Row],[Fecha_venta]],"yyyy")</f>
        <v>2011</v>
      </c>
    </row>
    <row r="1373" spans="1:10" x14ac:dyDescent="0.25">
      <c r="A1373">
        <v>10</v>
      </c>
      <c r="B1373" s="1">
        <v>40830</v>
      </c>
      <c r="C1373">
        <v>0</v>
      </c>
      <c r="D1373">
        <v>70.27</v>
      </c>
      <c r="E1373">
        <v>3.698</v>
      </c>
      <c r="F1373">
        <v>129.77064519999999</v>
      </c>
      <c r="G1373">
        <v>1704753.02</v>
      </c>
      <c r="H1373" t="str">
        <f>TEXT(Ventas[[#This Row],[Fecha_venta]],"dd")</f>
        <v>14</v>
      </c>
      <c r="I1373" t="str">
        <f>TEXT(Ventas[[#This Row],[Fecha_venta]],"m")</f>
        <v>10</v>
      </c>
      <c r="J1373" t="str">
        <f>TEXT(Ventas[[#This Row],[Fecha_venta]],"yyyy")</f>
        <v>2011</v>
      </c>
    </row>
    <row r="1374" spans="1:10" x14ac:dyDescent="0.25">
      <c r="A1374">
        <v>10</v>
      </c>
      <c r="B1374" s="1">
        <v>40837</v>
      </c>
      <c r="C1374">
        <v>0</v>
      </c>
      <c r="D1374">
        <v>77.91</v>
      </c>
      <c r="E1374">
        <v>3.8420000000000001</v>
      </c>
      <c r="F1374">
        <v>129.78216130000001</v>
      </c>
      <c r="G1374">
        <v>1745928.56</v>
      </c>
      <c r="H1374" t="str">
        <f>TEXT(Ventas[[#This Row],[Fecha_venta]],"dd")</f>
        <v>21</v>
      </c>
      <c r="I1374" t="str">
        <f>TEXT(Ventas[[#This Row],[Fecha_venta]],"m")</f>
        <v>10</v>
      </c>
      <c r="J1374" t="str">
        <f>TEXT(Ventas[[#This Row],[Fecha_venta]],"yyyy")</f>
        <v>2011</v>
      </c>
    </row>
    <row r="1375" spans="1:10" x14ac:dyDescent="0.25">
      <c r="A1375">
        <v>10</v>
      </c>
      <c r="B1375" s="1">
        <v>40844</v>
      </c>
      <c r="C1375">
        <v>0</v>
      </c>
      <c r="D1375">
        <v>72.790000000000006</v>
      </c>
      <c r="E1375">
        <v>3.843</v>
      </c>
      <c r="F1375">
        <v>129.79367740000001</v>
      </c>
      <c r="G1375">
        <v>1771792.97</v>
      </c>
      <c r="H1375" t="str">
        <f>TEXT(Ventas[[#This Row],[Fecha_venta]],"dd")</f>
        <v>28</v>
      </c>
      <c r="I1375" t="str">
        <f>TEXT(Ventas[[#This Row],[Fecha_venta]],"m")</f>
        <v>10</v>
      </c>
      <c r="J1375" t="str">
        <f>TEXT(Ventas[[#This Row],[Fecha_venta]],"yyyy")</f>
        <v>2011</v>
      </c>
    </row>
    <row r="1376" spans="1:10" x14ac:dyDescent="0.25">
      <c r="A1376">
        <v>10</v>
      </c>
      <c r="B1376" s="1">
        <v>40851</v>
      </c>
      <c r="C1376">
        <v>0</v>
      </c>
      <c r="D1376">
        <v>68.569999999999993</v>
      </c>
      <c r="E1376">
        <v>3.8279999999999998</v>
      </c>
      <c r="F1376">
        <v>129.8051935</v>
      </c>
      <c r="G1376">
        <v>1904438.59</v>
      </c>
      <c r="H1376" t="str">
        <f>TEXT(Ventas[[#This Row],[Fecha_venta]],"dd")</f>
        <v>04</v>
      </c>
      <c r="I1376" t="str">
        <f>TEXT(Ventas[[#This Row],[Fecha_venta]],"m")</f>
        <v>11</v>
      </c>
      <c r="J1376" t="str">
        <f>TEXT(Ventas[[#This Row],[Fecha_venta]],"yyyy")</f>
        <v>2011</v>
      </c>
    </row>
    <row r="1377" spans="1:10" x14ac:dyDescent="0.25">
      <c r="A1377">
        <v>10</v>
      </c>
      <c r="B1377" s="1">
        <v>40858</v>
      </c>
      <c r="C1377">
        <v>0</v>
      </c>
      <c r="D1377">
        <v>55.28</v>
      </c>
      <c r="E1377">
        <v>3.677</v>
      </c>
      <c r="F1377">
        <v>129.81670969999999</v>
      </c>
      <c r="G1377">
        <v>2076570.84</v>
      </c>
      <c r="H1377" t="str">
        <f>TEXT(Ventas[[#This Row],[Fecha_venta]],"dd")</f>
        <v>11</v>
      </c>
      <c r="I1377" t="str">
        <f>TEXT(Ventas[[#This Row],[Fecha_venta]],"m")</f>
        <v>11</v>
      </c>
      <c r="J1377" t="str">
        <f>TEXT(Ventas[[#This Row],[Fecha_venta]],"yyyy")</f>
        <v>2011</v>
      </c>
    </row>
    <row r="1378" spans="1:10" x14ac:dyDescent="0.25">
      <c r="A1378">
        <v>10</v>
      </c>
      <c r="B1378" s="1">
        <v>40865</v>
      </c>
      <c r="C1378">
        <v>0</v>
      </c>
      <c r="D1378">
        <v>58.97</v>
      </c>
      <c r="E1378">
        <v>3.669</v>
      </c>
      <c r="F1378">
        <v>129.8268333</v>
      </c>
      <c r="G1378">
        <v>1869087.85</v>
      </c>
      <c r="H1378" t="str">
        <f>TEXT(Ventas[[#This Row],[Fecha_venta]],"dd")</f>
        <v>18</v>
      </c>
      <c r="I1378" t="str">
        <f>TEXT(Ventas[[#This Row],[Fecha_venta]],"m")</f>
        <v>11</v>
      </c>
      <c r="J1378" t="str">
        <f>TEXT(Ventas[[#This Row],[Fecha_venta]],"yyyy")</f>
        <v>2011</v>
      </c>
    </row>
    <row r="1379" spans="1:10" x14ac:dyDescent="0.25">
      <c r="A1379">
        <v>10</v>
      </c>
      <c r="B1379" s="1">
        <v>40872</v>
      </c>
      <c r="C1379">
        <v>1</v>
      </c>
      <c r="D1379">
        <v>60.68</v>
      </c>
      <c r="E1379">
        <v>3.76</v>
      </c>
      <c r="F1379">
        <v>129.8364</v>
      </c>
      <c r="G1379">
        <v>2950198.64</v>
      </c>
      <c r="H1379" t="str">
        <f>TEXT(Ventas[[#This Row],[Fecha_venta]],"dd")</f>
        <v>25</v>
      </c>
      <c r="I1379" t="str">
        <f>TEXT(Ventas[[#This Row],[Fecha_venta]],"m")</f>
        <v>11</v>
      </c>
      <c r="J1379" t="str">
        <f>TEXT(Ventas[[#This Row],[Fecha_venta]],"yyyy")</f>
        <v>2011</v>
      </c>
    </row>
    <row r="1380" spans="1:10" x14ac:dyDescent="0.25">
      <c r="A1380">
        <v>10</v>
      </c>
      <c r="B1380" s="1">
        <v>40879</v>
      </c>
      <c r="C1380">
        <v>0</v>
      </c>
      <c r="D1380">
        <v>57.29</v>
      </c>
      <c r="E1380">
        <v>3.7010000000000001</v>
      </c>
      <c r="F1380">
        <v>129.84596669999999</v>
      </c>
      <c r="G1380">
        <v>2068097.18</v>
      </c>
      <c r="H1380" t="str">
        <f>TEXT(Ventas[[#This Row],[Fecha_venta]],"dd")</f>
        <v>02</v>
      </c>
      <c r="I1380" t="str">
        <f>TEXT(Ventas[[#This Row],[Fecha_venta]],"m")</f>
        <v>12</v>
      </c>
      <c r="J1380" t="str">
        <f>TEXT(Ventas[[#This Row],[Fecha_venta]],"yyyy")</f>
        <v>2011</v>
      </c>
    </row>
    <row r="1381" spans="1:10" x14ac:dyDescent="0.25">
      <c r="A1381">
        <v>10</v>
      </c>
      <c r="B1381" s="1">
        <v>40886</v>
      </c>
      <c r="C1381">
        <v>0</v>
      </c>
      <c r="D1381">
        <v>42.58</v>
      </c>
      <c r="E1381">
        <v>3.6440000000000001</v>
      </c>
      <c r="F1381">
        <v>129.85553329999999</v>
      </c>
      <c r="G1381">
        <v>2429310.9</v>
      </c>
      <c r="H1381" t="str">
        <f>TEXT(Ventas[[#This Row],[Fecha_venta]],"dd")</f>
        <v>09</v>
      </c>
      <c r="I1381" t="str">
        <f>TEXT(Ventas[[#This Row],[Fecha_venta]],"m")</f>
        <v>12</v>
      </c>
      <c r="J1381" t="str">
        <f>TEXT(Ventas[[#This Row],[Fecha_venta]],"yyyy")</f>
        <v>2011</v>
      </c>
    </row>
    <row r="1382" spans="1:10" x14ac:dyDescent="0.25">
      <c r="A1382">
        <v>10</v>
      </c>
      <c r="B1382" s="1">
        <v>40893</v>
      </c>
      <c r="C1382">
        <v>0</v>
      </c>
      <c r="D1382">
        <v>50.53</v>
      </c>
      <c r="E1382">
        <v>3.4889999999999999</v>
      </c>
      <c r="F1382">
        <v>129.8980645</v>
      </c>
      <c r="G1382">
        <v>2555031.1800000002</v>
      </c>
      <c r="H1382" t="str">
        <f>TEXT(Ventas[[#This Row],[Fecha_venta]],"dd")</f>
        <v>16</v>
      </c>
      <c r="I1382" t="str">
        <f>TEXT(Ventas[[#This Row],[Fecha_venta]],"m")</f>
        <v>12</v>
      </c>
      <c r="J1382" t="str">
        <f>TEXT(Ventas[[#This Row],[Fecha_venta]],"yyyy")</f>
        <v>2011</v>
      </c>
    </row>
    <row r="1383" spans="1:10" x14ac:dyDescent="0.25">
      <c r="A1383">
        <v>10</v>
      </c>
      <c r="B1383" s="1">
        <v>40900</v>
      </c>
      <c r="C1383">
        <v>0</v>
      </c>
      <c r="D1383">
        <v>48.36</v>
      </c>
      <c r="E1383">
        <v>3.5409999999999999</v>
      </c>
      <c r="F1383">
        <v>129.98454839999999</v>
      </c>
      <c r="G1383">
        <v>3487986.89</v>
      </c>
      <c r="H1383" t="str">
        <f>TEXT(Ventas[[#This Row],[Fecha_venta]],"dd")</f>
        <v>23</v>
      </c>
      <c r="I1383" t="str">
        <f>TEXT(Ventas[[#This Row],[Fecha_venta]],"m")</f>
        <v>12</v>
      </c>
      <c r="J1383" t="str">
        <f>TEXT(Ventas[[#This Row],[Fecha_venta]],"yyyy")</f>
        <v>2011</v>
      </c>
    </row>
    <row r="1384" spans="1:10" x14ac:dyDescent="0.25">
      <c r="A1384">
        <v>10</v>
      </c>
      <c r="B1384" s="1">
        <v>40907</v>
      </c>
      <c r="C1384">
        <v>1</v>
      </c>
      <c r="D1384">
        <v>48.92</v>
      </c>
      <c r="E1384">
        <v>3.4279999999999999</v>
      </c>
      <c r="F1384">
        <v>130.07103230000001</v>
      </c>
      <c r="G1384">
        <v>1930690.37</v>
      </c>
      <c r="H1384" t="str">
        <f>TEXT(Ventas[[#This Row],[Fecha_venta]],"dd")</f>
        <v>30</v>
      </c>
      <c r="I1384" t="str">
        <f>TEXT(Ventas[[#This Row],[Fecha_venta]],"m")</f>
        <v>12</v>
      </c>
      <c r="J1384" t="str">
        <f>TEXT(Ventas[[#This Row],[Fecha_venta]],"yyyy")</f>
        <v>2011</v>
      </c>
    </row>
    <row r="1385" spans="1:10" x14ac:dyDescent="0.25">
      <c r="A1385">
        <v>10</v>
      </c>
      <c r="B1385" s="1">
        <v>40914</v>
      </c>
      <c r="C1385">
        <v>0</v>
      </c>
      <c r="D1385">
        <v>59.85</v>
      </c>
      <c r="E1385">
        <v>3.4430000000000001</v>
      </c>
      <c r="F1385">
        <v>130.15751610000001</v>
      </c>
      <c r="G1385">
        <v>1683401.78</v>
      </c>
      <c r="H1385" t="str">
        <f>TEXT(Ventas[[#This Row],[Fecha_venta]],"dd")</f>
        <v>06</v>
      </c>
      <c r="I1385" t="str">
        <f>TEXT(Ventas[[#This Row],[Fecha_venta]],"m")</f>
        <v>1</v>
      </c>
      <c r="J1385" t="str">
        <f>TEXT(Ventas[[#This Row],[Fecha_venta]],"yyyy")</f>
        <v>2012</v>
      </c>
    </row>
    <row r="1386" spans="1:10" x14ac:dyDescent="0.25">
      <c r="A1386">
        <v>10</v>
      </c>
      <c r="B1386" s="1">
        <v>40921</v>
      </c>
      <c r="C1386">
        <v>0</v>
      </c>
      <c r="D1386">
        <v>51</v>
      </c>
      <c r="E1386">
        <v>3.4769999999999999</v>
      </c>
      <c r="F1386">
        <v>130.244</v>
      </c>
      <c r="G1386">
        <v>1711562.73</v>
      </c>
      <c r="H1386" t="str">
        <f>TEXT(Ventas[[#This Row],[Fecha_venta]],"dd")</f>
        <v>13</v>
      </c>
      <c r="I1386" t="str">
        <f>TEXT(Ventas[[#This Row],[Fecha_venta]],"m")</f>
        <v>1</v>
      </c>
      <c r="J1386" t="str">
        <f>TEXT(Ventas[[#This Row],[Fecha_venta]],"yyyy")</f>
        <v>2012</v>
      </c>
    </row>
    <row r="1387" spans="1:10" x14ac:dyDescent="0.25">
      <c r="A1387">
        <v>10</v>
      </c>
      <c r="B1387" s="1">
        <v>40928</v>
      </c>
      <c r="C1387">
        <v>0</v>
      </c>
      <c r="D1387">
        <v>54.51</v>
      </c>
      <c r="E1387">
        <v>3.66</v>
      </c>
      <c r="F1387">
        <v>130.27922580000001</v>
      </c>
      <c r="G1387">
        <v>1675562.94</v>
      </c>
      <c r="H1387" t="str">
        <f>TEXT(Ventas[[#This Row],[Fecha_venta]],"dd")</f>
        <v>20</v>
      </c>
      <c r="I1387" t="str">
        <f>TEXT(Ventas[[#This Row],[Fecha_venta]],"m")</f>
        <v>1</v>
      </c>
      <c r="J1387" t="str">
        <f>TEXT(Ventas[[#This Row],[Fecha_venta]],"yyyy")</f>
        <v>2012</v>
      </c>
    </row>
    <row r="1388" spans="1:10" x14ac:dyDescent="0.25">
      <c r="A1388">
        <v>10</v>
      </c>
      <c r="B1388" s="1">
        <v>40935</v>
      </c>
      <c r="C1388">
        <v>0</v>
      </c>
      <c r="D1388">
        <v>0</v>
      </c>
      <c r="E1388">
        <v>3.6749999999999998</v>
      </c>
      <c r="F1388">
        <v>130.31445160000001</v>
      </c>
      <c r="G1388">
        <v>1632406</v>
      </c>
      <c r="H1388" t="str">
        <f>TEXT(Ventas[[#This Row],[Fecha_venta]],"dd")</f>
        <v>27</v>
      </c>
      <c r="I1388" t="str">
        <f>TEXT(Ventas[[#This Row],[Fecha_venta]],"m")</f>
        <v>1</v>
      </c>
      <c r="J1388" t="str">
        <f>TEXT(Ventas[[#This Row],[Fecha_venta]],"yyyy")</f>
        <v>2012</v>
      </c>
    </row>
    <row r="1389" spans="1:10" x14ac:dyDescent="0.25">
      <c r="A1389">
        <v>10</v>
      </c>
      <c r="B1389" s="1">
        <v>40942</v>
      </c>
      <c r="C1389">
        <v>0</v>
      </c>
      <c r="D1389">
        <v>56.85</v>
      </c>
      <c r="E1389">
        <v>3.5430000000000001</v>
      </c>
      <c r="F1389">
        <v>130.34967739999999</v>
      </c>
      <c r="G1389">
        <v>1867403.01</v>
      </c>
      <c r="H1389" t="str">
        <f>TEXT(Ventas[[#This Row],[Fecha_venta]],"dd")</f>
        <v>03</v>
      </c>
      <c r="I1389" t="str">
        <f>TEXT(Ventas[[#This Row],[Fecha_venta]],"m")</f>
        <v>2</v>
      </c>
      <c r="J1389" t="str">
        <f>TEXT(Ventas[[#This Row],[Fecha_venta]],"yyyy")</f>
        <v>2012</v>
      </c>
    </row>
    <row r="1390" spans="1:10" x14ac:dyDescent="0.25">
      <c r="A1390">
        <v>10</v>
      </c>
      <c r="B1390" s="1">
        <v>40949</v>
      </c>
      <c r="C1390">
        <v>1</v>
      </c>
      <c r="D1390">
        <v>55.73</v>
      </c>
      <c r="E1390">
        <v>3.722</v>
      </c>
      <c r="F1390">
        <v>130.3849032</v>
      </c>
      <c r="G1390">
        <v>2218595.7999999998</v>
      </c>
      <c r="H1390" t="str">
        <f>TEXT(Ventas[[#This Row],[Fecha_venta]],"dd")</f>
        <v>10</v>
      </c>
      <c r="I1390" t="str">
        <f>TEXT(Ventas[[#This Row],[Fecha_venta]],"m")</f>
        <v>2</v>
      </c>
      <c r="J1390" t="str">
        <f>TEXT(Ventas[[#This Row],[Fecha_venta]],"yyyy")</f>
        <v>2012</v>
      </c>
    </row>
    <row r="1391" spans="1:10" x14ac:dyDescent="0.25">
      <c r="A1391">
        <v>10</v>
      </c>
      <c r="B1391" s="1">
        <v>40956</v>
      </c>
      <c r="C1391">
        <v>0</v>
      </c>
      <c r="D1391">
        <v>54.12</v>
      </c>
      <c r="E1391">
        <v>3.7810000000000001</v>
      </c>
      <c r="F1391">
        <v>130.45462069999999</v>
      </c>
      <c r="G1391">
        <v>2168709.7599999998</v>
      </c>
      <c r="H1391" t="str">
        <f>TEXT(Ventas[[#This Row],[Fecha_venta]],"dd")</f>
        <v>17</v>
      </c>
      <c r="I1391" t="str">
        <f>TEXT(Ventas[[#This Row],[Fecha_venta]],"m")</f>
        <v>2</v>
      </c>
      <c r="J1391" t="str">
        <f>TEXT(Ventas[[#This Row],[Fecha_venta]],"yyyy")</f>
        <v>2012</v>
      </c>
    </row>
    <row r="1392" spans="1:10" x14ac:dyDescent="0.25">
      <c r="A1392">
        <v>10</v>
      </c>
      <c r="B1392" s="1">
        <v>40963</v>
      </c>
      <c r="C1392">
        <v>0</v>
      </c>
      <c r="D1392">
        <v>56.02</v>
      </c>
      <c r="E1392">
        <v>3.95</v>
      </c>
      <c r="F1392">
        <v>130.55020690000001</v>
      </c>
      <c r="G1392">
        <v>2039415.74</v>
      </c>
      <c r="H1392" t="str">
        <f>TEXT(Ventas[[#This Row],[Fecha_venta]],"dd")</f>
        <v>24</v>
      </c>
      <c r="I1392" t="str">
        <f>TEXT(Ventas[[#This Row],[Fecha_venta]],"m")</f>
        <v>2</v>
      </c>
      <c r="J1392" t="str">
        <f>TEXT(Ventas[[#This Row],[Fecha_venta]],"yyyy")</f>
        <v>2012</v>
      </c>
    </row>
    <row r="1393" spans="1:10" x14ac:dyDescent="0.25">
      <c r="A1393">
        <v>10</v>
      </c>
      <c r="B1393" s="1">
        <v>40970</v>
      </c>
      <c r="C1393">
        <v>0</v>
      </c>
      <c r="D1393">
        <v>57.62</v>
      </c>
      <c r="E1393">
        <v>3.8820000000000001</v>
      </c>
      <c r="F1393">
        <v>130.64579309999999</v>
      </c>
      <c r="G1393">
        <v>1990371.02</v>
      </c>
      <c r="H1393" t="str">
        <f>TEXT(Ventas[[#This Row],[Fecha_venta]],"dd")</f>
        <v>02</v>
      </c>
      <c r="I1393" t="str">
        <f>TEXT(Ventas[[#This Row],[Fecha_venta]],"m")</f>
        <v>3</v>
      </c>
      <c r="J1393" t="str">
        <f>TEXT(Ventas[[#This Row],[Fecha_venta]],"yyyy")</f>
        <v>2012</v>
      </c>
    </row>
    <row r="1394" spans="1:10" x14ac:dyDescent="0.25">
      <c r="A1394">
        <v>10</v>
      </c>
      <c r="B1394" s="1">
        <v>40977</v>
      </c>
      <c r="C1394">
        <v>0</v>
      </c>
      <c r="D1394">
        <v>57.65</v>
      </c>
      <c r="E1394">
        <v>3.9630000000000001</v>
      </c>
      <c r="F1394">
        <v>130.74137930000001</v>
      </c>
      <c r="G1394">
        <v>1917483.1</v>
      </c>
      <c r="H1394" t="str">
        <f>TEXT(Ventas[[#This Row],[Fecha_venta]],"dd")</f>
        <v>09</v>
      </c>
      <c r="I1394" t="str">
        <f>TEXT(Ventas[[#This Row],[Fecha_venta]],"m")</f>
        <v>3</v>
      </c>
      <c r="J1394" t="str">
        <f>TEXT(Ventas[[#This Row],[Fecha_venta]],"yyyy")</f>
        <v>2012</v>
      </c>
    </row>
    <row r="1395" spans="1:10" x14ac:dyDescent="0.25">
      <c r="A1395">
        <v>10</v>
      </c>
      <c r="B1395" s="1">
        <v>40984</v>
      </c>
      <c r="C1395">
        <v>0</v>
      </c>
      <c r="D1395">
        <v>62.11</v>
      </c>
      <c r="E1395">
        <v>4.2729999999999997</v>
      </c>
      <c r="F1395">
        <v>130.82619349999999</v>
      </c>
      <c r="G1395">
        <v>1930814.66</v>
      </c>
      <c r="H1395" t="str">
        <f>TEXT(Ventas[[#This Row],[Fecha_venta]],"dd")</f>
        <v>16</v>
      </c>
      <c r="I1395" t="str">
        <f>TEXT(Ventas[[#This Row],[Fecha_venta]],"m")</f>
        <v>3</v>
      </c>
      <c r="J1395" t="str">
        <f>TEXT(Ventas[[#This Row],[Fecha_venta]],"yyyy")</f>
        <v>2012</v>
      </c>
    </row>
    <row r="1396" spans="1:10" x14ac:dyDescent="0.25">
      <c r="A1396">
        <v>10</v>
      </c>
      <c r="B1396" s="1">
        <v>40991</v>
      </c>
      <c r="C1396">
        <v>0</v>
      </c>
      <c r="D1396">
        <v>56.54</v>
      </c>
      <c r="E1396">
        <v>4.2880000000000003</v>
      </c>
      <c r="F1396">
        <v>130.89664519999999</v>
      </c>
      <c r="G1396">
        <v>1837457.69</v>
      </c>
      <c r="H1396" t="str">
        <f>TEXT(Ventas[[#This Row],[Fecha_venta]],"dd")</f>
        <v>23</v>
      </c>
      <c r="I1396" t="str">
        <f>TEXT(Ventas[[#This Row],[Fecha_venta]],"m")</f>
        <v>3</v>
      </c>
      <c r="J1396" t="str">
        <f>TEXT(Ventas[[#This Row],[Fecha_venta]],"yyyy")</f>
        <v>2012</v>
      </c>
    </row>
    <row r="1397" spans="1:10" x14ac:dyDescent="0.25">
      <c r="A1397">
        <v>10</v>
      </c>
      <c r="B1397" s="1">
        <v>40998</v>
      </c>
      <c r="C1397">
        <v>0</v>
      </c>
      <c r="D1397">
        <v>67.92</v>
      </c>
      <c r="E1397">
        <v>4.2939999999999996</v>
      </c>
      <c r="F1397">
        <v>130.96709680000001</v>
      </c>
      <c r="G1397">
        <v>1815760.42</v>
      </c>
      <c r="H1397" t="str">
        <f>TEXT(Ventas[[#This Row],[Fecha_venta]],"dd")</f>
        <v>30</v>
      </c>
      <c r="I1397" t="str">
        <f>TEXT(Ventas[[#This Row],[Fecha_venta]],"m")</f>
        <v>3</v>
      </c>
      <c r="J1397" t="str">
        <f>TEXT(Ventas[[#This Row],[Fecha_venta]],"yyyy")</f>
        <v>2012</v>
      </c>
    </row>
    <row r="1398" spans="1:10" x14ac:dyDescent="0.25">
      <c r="A1398">
        <v>10</v>
      </c>
      <c r="B1398" s="1">
        <v>41005</v>
      </c>
      <c r="C1398">
        <v>0</v>
      </c>
      <c r="D1398">
        <v>65.989999999999995</v>
      </c>
      <c r="E1398">
        <v>4.282</v>
      </c>
      <c r="F1398">
        <v>131.03754839999999</v>
      </c>
      <c r="G1398">
        <v>2163384.17</v>
      </c>
      <c r="H1398" t="str">
        <f>TEXT(Ventas[[#This Row],[Fecha_venta]],"dd")</f>
        <v>06</v>
      </c>
      <c r="I1398" t="str">
        <f>TEXT(Ventas[[#This Row],[Fecha_venta]],"m")</f>
        <v>4</v>
      </c>
      <c r="J1398" t="str">
        <f>TEXT(Ventas[[#This Row],[Fecha_venta]],"yyyy")</f>
        <v>2012</v>
      </c>
    </row>
    <row r="1399" spans="1:10" x14ac:dyDescent="0.25">
      <c r="A1399">
        <v>10</v>
      </c>
      <c r="B1399" s="1">
        <v>41012</v>
      </c>
      <c r="C1399">
        <v>0</v>
      </c>
      <c r="D1399">
        <v>70.28</v>
      </c>
      <c r="E1399">
        <v>4.2539999999999996</v>
      </c>
      <c r="F1399">
        <v>131.108</v>
      </c>
      <c r="G1399">
        <v>1974687.51</v>
      </c>
      <c r="H1399" t="str">
        <f>TEXT(Ventas[[#This Row],[Fecha_venta]],"dd")</f>
        <v>13</v>
      </c>
      <c r="I1399" t="str">
        <f>TEXT(Ventas[[#This Row],[Fecha_venta]],"m")</f>
        <v>4</v>
      </c>
      <c r="J1399" t="str">
        <f>TEXT(Ventas[[#This Row],[Fecha_venta]],"yyyy")</f>
        <v>2012</v>
      </c>
    </row>
    <row r="1400" spans="1:10" x14ac:dyDescent="0.25">
      <c r="A1400">
        <v>10</v>
      </c>
      <c r="B1400" s="1">
        <v>41019</v>
      </c>
      <c r="C1400">
        <v>0</v>
      </c>
      <c r="D1400">
        <v>67.75</v>
      </c>
      <c r="E1400">
        <v>4.1109999999999998</v>
      </c>
      <c r="F1400">
        <v>131.11733330000001</v>
      </c>
      <c r="G1400">
        <v>1777166.53</v>
      </c>
      <c r="H1400" t="str">
        <f>TEXT(Ventas[[#This Row],[Fecha_venta]],"dd")</f>
        <v>20</v>
      </c>
      <c r="I1400" t="str">
        <f>TEXT(Ventas[[#This Row],[Fecha_venta]],"m")</f>
        <v>4</v>
      </c>
      <c r="J1400" t="str">
        <f>TEXT(Ventas[[#This Row],[Fecha_venta]],"yyyy")</f>
        <v>2012</v>
      </c>
    </row>
    <row r="1401" spans="1:10" x14ac:dyDescent="0.25">
      <c r="A1401">
        <v>10</v>
      </c>
      <c r="B1401" s="1">
        <v>41026</v>
      </c>
      <c r="C1401">
        <v>0</v>
      </c>
      <c r="D1401">
        <v>80.11</v>
      </c>
      <c r="E1401">
        <v>4.0880000000000001</v>
      </c>
      <c r="F1401">
        <v>131.12666669999999</v>
      </c>
      <c r="G1401">
        <v>1712987.56</v>
      </c>
      <c r="H1401" t="str">
        <f>TEXT(Ventas[[#This Row],[Fecha_venta]],"dd")</f>
        <v>27</v>
      </c>
      <c r="I1401" t="str">
        <f>TEXT(Ventas[[#This Row],[Fecha_venta]],"m")</f>
        <v>4</v>
      </c>
      <c r="J1401" t="str">
        <f>TEXT(Ventas[[#This Row],[Fecha_venta]],"yyyy")</f>
        <v>2012</v>
      </c>
    </row>
    <row r="1402" spans="1:10" x14ac:dyDescent="0.25">
      <c r="A1402">
        <v>10</v>
      </c>
      <c r="B1402" s="1">
        <v>41033</v>
      </c>
      <c r="C1402">
        <v>0</v>
      </c>
      <c r="D1402">
        <v>77.02</v>
      </c>
      <c r="E1402">
        <v>4.0579999999999998</v>
      </c>
      <c r="F1402">
        <v>131.136</v>
      </c>
      <c r="G1402">
        <v>1821364.42</v>
      </c>
      <c r="H1402" t="str">
        <f>TEXT(Ventas[[#This Row],[Fecha_venta]],"dd")</f>
        <v>04</v>
      </c>
      <c r="I1402" t="str">
        <f>TEXT(Ventas[[#This Row],[Fecha_venta]],"m")</f>
        <v>5</v>
      </c>
      <c r="J1402" t="str">
        <f>TEXT(Ventas[[#This Row],[Fecha_venta]],"yyyy")</f>
        <v>2012</v>
      </c>
    </row>
    <row r="1403" spans="1:10" x14ac:dyDescent="0.25">
      <c r="A1403">
        <v>10</v>
      </c>
      <c r="B1403" s="1">
        <v>41040</v>
      </c>
      <c r="C1403">
        <v>0</v>
      </c>
      <c r="D1403">
        <v>76.03</v>
      </c>
      <c r="E1403">
        <v>4.1859999999999999</v>
      </c>
      <c r="F1403">
        <v>131.1453333</v>
      </c>
      <c r="G1403">
        <v>1792345.3</v>
      </c>
      <c r="H1403" t="str">
        <f>TEXT(Ventas[[#This Row],[Fecha_venta]],"dd")</f>
        <v>11</v>
      </c>
      <c r="I1403" t="str">
        <f>TEXT(Ventas[[#This Row],[Fecha_venta]],"m")</f>
        <v>5</v>
      </c>
      <c r="J1403" t="str">
        <f>TEXT(Ventas[[#This Row],[Fecha_venta]],"yyyy")</f>
        <v>2012</v>
      </c>
    </row>
    <row r="1404" spans="1:10" x14ac:dyDescent="0.25">
      <c r="A1404">
        <v>10</v>
      </c>
      <c r="B1404" s="1">
        <v>41047</v>
      </c>
      <c r="C1404">
        <v>0</v>
      </c>
      <c r="D1404">
        <v>85.19</v>
      </c>
      <c r="E1404">
        <v>4.3079999999999998</v>
      </c>
      <c r="F1404">
        <v>131.09832259999999</v>
      </c>
      <c r="G1404">
        <v>1795152.73</v>
      </c>
      <c r="H1404" t="str">
        <f>TEXT(Ventas[[#This Row],[Fecha_venta]],"dd")</f>
        <v>18</v>
      </c>
      <c r="I1404" t="str">
        <f>TEXT(Ventas[[#This Row],[Fecha_venta]],"m")</f>
        <v>5</v>
      </c>
      <c r="J1404" t="str">
        <f>TEXT(Ventas[[#This Row],[Fecha_venta]],"yyyy")</f>
        <v>2012</v>
      </c>
    </row>
    <row r="1405" spans="1:10" x14ac:dyDescent="0.25">
      <c r="A1405">
        <v>10</v>
      </c>
      <c r="B1405" s="1">
        <v>41054</v>
      </c>
      <c r="C1405">
        <v>0</v>
      </c>
      <c r="D1405">
        <v>86.03</v>
      </c>
      <c r="E1405">
        <v>4.1269999999999998</v>
      </c>
      <c r="F1405">
        <v>131.02877419999999</v>
      </c>
      <c r="G1405">
        <v>1830939.1</v>
      </c>
      <c r="H1405" t="str">
        <f>TEXT(Ventas[[#This Row],[Fecha_venta]],"dd")</f>
        <v>25</v>
      </c>
      <c r="I1405" t="str">
        <f>TEXT(Ventas[[#This Row],[Fecha_venta]],"m")</f>
        <v>5</v>
      </c>
      <c r="J1405" t="str">
        <f>TEXT(Ventas[[#This Row],[Fecha_venta]],"yyyy")</f>
        <v>2012</v>
      </c>
    </row>
    <row r="1406" spans="1:10" x14ac:dyDescent="0.25">
      <c r="A1406">
        <v>10</v>
      </c>
      <c r="B1406" s="1">
        <v>41061</v>
      </c>
      <c r="C1406">
        <v>0</v>
      </c>
      <c r="D1406">
        <v>80.06</v>
      </c>
      <c r="E1406">
        <v>4.2770000000000001</v>
      </c>
      <c r="F1406">
        <v>130.95922580000001</v>
      </c>
      <c r="G1406">
        <v>1767471.48</v>
      </c>
      <c r="H1406" t="str">
        <f>TEXT(Ventas[[#This Row],[Fecha_venta]],"dd")</f>
        <v>01</v>
      </c>
      <c r="I1406" t="str">
        <f>TEXT(Ventas[[#This Row],[Fecha_venta]],"m")</f>
        <v>6</v>
      </c>
      <c r="J1406" t="str">
        <f>TEXT(Ventas[[#This Row],[Fecha_venta]],"yyyy")</f>
        <v>2012</v>
      </c>
    </row>
    <row r="1407" spans="1:10" x14ac:dyDescent="0.25">
      <c r="A1407">
        <v>10</v>
      </c>
      <c r="B1407" s="1">
        <v>41068</v>
      </c>
      <c r="C1407">
        <v>0</v>
      </c>
      <c r="D1407">
        <v>86.87</v>
      </c>
      <c r="E1407">
        <v>4.1029999999999998</v>
      </c>
      <c r="F1407">
        <v>130.88967740000001</v>
      </c>
      <c r="G1407">
        <v>1840491.41</v>
      </c>
      <c r="H1407" t="str">
        <f>TEXT(Ventas[[#This Row],[Fecha_venta]],"dd")</f>
        <v>08</v>
      </c>
      <c r="I1407" t="str">
        <f>TEXT(Ventas[[#This Row],[Fecha_venta]],"m")</f>
        <v>6</v>
      </c>
      <c r="J1407" t="str">
        <f>TEXT(Ventas[[#This Row],[Fecha_venta]],"yyyy")</f>
        <v>2012</v>
      </c>
    </row>
    <row r="1408" spans="1:10" x14ac:dyDescent="0.25">
      <c r="A1408">
        <v>10</v>
      </c>
      <c r="B1408" s="1">
        <v>41075</v>
      </c>
      <c r="C1408">
        <v>0</v>
      </c>
      <c r="D1408">
        <v>88.58</v>
      </c>
      <c r="E1408">
        <v>4.1440000000000001</v>
      </c>
      <c r="F1408">
        <v>130.82953330000001</v>
      </c>
      <c r="G1408">
        <v>1811562.88</v>
      </c>
      <c r="H1408" t="str">
        <f>TEXT(Ventas[[#This Row],[Fecha_venta]],"dd")</f>
        <v>15</v>
      </c>
      <c r="I1408" t="str">
        <f>TEXT(Ventas[[#This Row],[Fecha_venta]],"m")</f>
        <v>6</v>
      </c>
      <c r="J1408" t="str">
        <f>TEXT(Ventas[[#This Row],[Fecha_venta]],"yyyy")</f>
        <v>2012</v>
      </c>
    </row>
    <row r="1409" spans="1:10" x14ac:dyDescent="0.25">
      <c r="A1409">
        <v>10</v>
      </c>
      <c r="B1409" s="1">
        <v>41082</v>
      </c>
      <c r="C1409">
        <v>0</v>
      </c>
      <c r="D1409">
        <v>89.92</v>
      </c>
      <c r="E1409">
        <v>4.0140000000000002</v>
      </c>
      <c r="F1409">
        <v>130.7929</v>
      </c>
      <c r="G1409">
        <v>1755334.18</v>
      </c>
      <c r="H1409" t="str">
        <f>TEXT(Ventas[[#This Row],[Fecha_venta]],"dd")</f>
        <v>22</v>
      </c>
      <c r="I1409" t="str">
        <f>TEXT(Ventas[[#This Row],[Fecha_venta]],"m")</f>
        <v>6</v>
      </c>
      <c r="J1409" t="str">
        <f>TEXT(Ventas[[#This Row],[Fecha_venta]],"yyyy")</f>
        <v>2012</v>
      </c>
    </row>
    <row r="1410" spans="1:10" x14ac:dyDescent="0.25">
      <c r="A1410">
        <v>10</v>
      </c>
      <c r="B1410" s="1">
        <v>41089</v>
      </c>
      <c r="C1410">
        <v>0</v>
      </c>
      <c r="D1410">
        <v>91.36</v>
      </c>
      <c r="E1410">
        <v>3.875</v>
      </c>
      <c r="F1410">
        <v>130.7562667</v>
      </c>
      <c r="G1410">
        <v>1707481.9</v>
      </c>
      <c r="H1410" t="str">
        <f>TEXT(Ventas[[#This Row],[Fecha_venta]],"dd")</f>
        <v>29</v>
      </c>
      <c r="I1410" t="str">
        <f>TEXT(Ventas[[#This Row],[Fecha_venta]],"m")</f>
        <v>6</v>
      </c>
      <c r="J1410" t="str">
        <f>TEXT(Ventas[[#This Row],[Fecha_venta]],"yyyy")</f>
        <v>2012</v>
      </c>
    </row>
    <row r="1411" spans="1:10" x14ac:dyDescent="0.25">
      <c r="A1411">
        <v>10</v>
      </c>
      <c r="B1411" s="1">
        <v>41096</v>
      </c>
      <c r="C1411">
        <v>0</v>
      </c>
      <c r="D1411">
        <v>86.87</v>
      </c>
      <c r="E1411">
        <v>3.6659999999999999</v>
      </c>
      <c r="F1411">
        <v>130.7196333</v>
      </c>
      <c r="G1411">
        <v>1805999.79</v>
      </c>
      <c r="H1411" t="str">
        <f>TEXT(Ventas[[#This Row],[Fecha_venta]],"dd")</f>
        <v>06</v>
      </c>
      <c r="I1411" t="str">
        <f>TEXT(Ventas[[#This Row],[Fecha_venta]],"m")</f>
        <v>7</v>
      </c>
      <c r="J1411" t="str">
        <f>TEXT(Ventas[[#This Row],[Fecha_venta]],"yyyy")</f>
        <v>2012</v>
      </c>
    </row>
    <row r="1412" spans="1:10" x14ac:dyDescent="0.25">
      <c r="A1412">
        <v>10</v>
      </c>
      <c r="B1412" s="1">
        <v>41103</v>
      </c>
      <c r="C1412">
        <v>0</v>
      </c>
      <c r="D1412">
        <v>89.8</v>
      </c>
      <c r="E1412">
        <v>3.7229999999999999</v>
      </c>
      <c r="F1412">
        <v>130.68299999999999</v>
      </c>
      <c r="G1412">
        <v>1765571.91</v>
      </c>
      <c r="H1412" t="str">
        <f>TEXT(Ventas[[#This Row],[Fecha_venta]],"dd")</f>
        <v>13</v>
      </c>
      <c r="I1412" t="str">
        <f>TEXT(Ventas[[#This Row],[Fecha_venta]],"m")</f>
        <v>7</v>
      </c>
      <c r="J1412" t="str">
        <f>TEXT(Ventas[[#This Row],[Fecha_venta]],"yyyy")</f>
        <v>2012</v>
      </c>
    </row>
    <row r="1413" spans="1:10" x14ac:dyDescent="0.25">
      <c r="A1413">
        <v>10</v>
      </c>
      <c r="B1413" s="1">
        <v>41110</v>
      </c>
      <c r="C1413">
        <v>0</v>
      </c>
      <c r="D1413">
        <v>84.45</v>
      </c>
      <c r="E1413">
        <v>3.589</v>
      </c>
      <c r="F1413">
        <v>130.70129030000001</v>
      </c>
      <c r="G1413">
        <v>1869967.03</v>
      </c>
      <c r="H1413" t="str">
        <f>TEXT(Ventas[[#This Row],[Fecha_venta]],"dd")</f>
        <v>20</v>
      </c>
      <c r="I1413" t="str">
        <f>TEXT(Ventas[[#This Row],[Fecha_venta]],"m")</f>
        <v>7</v>
      </c>
      <c r="J1413" t="str">
        <f>TEXT(Ventas[[#This Row],[Fecha_venta]],"yyyy")</f>
        <v>2012</v>
      </c>
    </row>
    <row r="1414" spans="1:10" x14ac:dyDescent="0.25">
      <c r="A1414">
        <v>10</v>
      </c>
      <c r="B1414" s="1">
        <v>41117</v>
      </c>
      <c r="C1414">
        <v>0</v>
      </c>
      <c r="D1414">
        <v>83.98</v>
      </c>
      <c r="E1414">
        <v>3.7690000000000001</v>
      </c>
      <c r="F1414">
        <v>130.7195806</v>
      </c>
      <c r="G1414">
        <v>1817603.66</v>
      </c>
      <c r="H1414" t="str">
        <f>TEXT(Ventas[[#This Row],[Fecha_venta]],"dd")</f>
        <v>27</v>
      </c>
      <c r="I1414" t="str">
        <f>TEXT(Ventas[[#This Row],[Fecha_venta]],"m")</f>
        <v>7</v>
      </c>
      <c r="J1414" t="str">
        <f>TEXT(Ventas[[#This Row],[Fecha_venta]],"yyyy")</f>
        <v>2012</v>
      </c>
    </row>
    <row r="1415" spans="1:10" x14ac:dyDescent="0.25">
      <c r="A1415">
        <v>10</v>
      </c>
      <c r="B1415" s="1">
        <v>41124</v>
      </c>
      <c r="C1415">
        <v>0</v>
      </c>
      <c r="D1415">
        <v>84.76</v>
      </c>
      <c r="E1415">
        <v>3.5950000000000002</v>
      </c>
      <c r="F1415">
        <v>130.73787100000001</v>
      </c>
      <c r="G1415">
        <v>1939440.09</v>
      </c>
      <c r="H1415" t="str">
        <f>TEXT(Ventas[[#This Row],[Fecha_venta]],"dd")</f>
        <v>03</v>
      </c>
      <c r="I1415" t="str">
        <f>TEXT(Ventas[[#This Row],[Fecha_venta]],"m")</f>
        <v>8</v>
      </c>
      <c r="J1415" t="str">
        <f>TEXT(Ventas[[#This Row],[Fecha_venta]],"yyyy")</f>
        <v>2012</v>
      </c>
    </row>
    <row r="1416" spans="1:10" x14ac:dyDescent="0.25">
      <c r="A1416">
        <v>10</v>
      </c>
      <c r="B1416" s="1">
        <v>41131</v>
      </c>
      <c r="C1416">
        <v>0</v>
      </c>
      <c r="D1416">
        <v>90.78</v>
      </c>
      <c r="E1416">
        <v>3.8109999999999999</v>
      </c>
      <c r="F1416">
        <v>130.7561613</v>
      </c>
      <c r="G1416">
        <v>1880436.94</v>
      </c>
      <c r="H1416" t="str">
        <f>TEXT(Ventas[[#This Row],[Fecha_venta]],"dd")</f>
        <v>10</v>
      </c>
      <c r="I1416" t="str">
        <f>TEXT(Ventas[[#This Row],[Fecha_venta]],"m")</f>
        <v>8</v>
      </c>
      <c r="J1416" t="str">
        <f>TEXT(Ventas[[#This Row],[Fecha_venta]],"yyyy")</f>
        <v>2012</v>
      </c>
    </row>
    <row r="1417" spans="1:10" x14ac:dyDescent="0.25">
      <c r="A1417">
        <v>10</v>
      </c>
      <c r="B1417" s="1">
        <v>41138</v>
      </c>
      <c r="C1417">
        <v>0</v>
      </c>
      <c r="D1417">
        <v>88.83</v>
      </c>
      <c r="E1417">
        <v>4.0019999999999998</v>
      </c>
      <c r="F1417">
        <v>130.79096770000001</v>
      </c>
      <c r="G1417">
        <v>1827797.4</v>
      </c>
      <c r="H1417" t="str">
        <f>TEXT(Ventas[[#This Row],[Fecha_venta]],"dd")</f>
        <v>17</v>
      </c>
      <c r="I1417" t="str">
        <f>TEXT(Ventas[[#This Row],[Fecha_venta]],"m")</f>
        <v>8</v>
      </c>
      <c r="J1417" t="str">
        <f>TEXT(Ventas[[#This Row],[Fecha_venta]],"yyyy")</f>
        <v>2012</v>
      </c>
    </row>
    <row r="1418" spans="1:10" x14ac:dyDescent="0.25">
      <c r="A1418">
        <v>10</v>
      </c>
      <c r="B1418" s="1">
        <v>41145</v>
      </c>
      <c r="C1418">
        <v>0</v>
      </c>
      <c r="D1418">
        <v>82.5</v>
      </c>
      <c r="E1418">
        <v>4.0549999999999997</v>
      </c>
      <c r="F1418">
        <v>130.8381613</v>
      </c>
      <c r="G1418">
        <v>1764984.15</v>
      </c>
      <c r="H1418" t="str">
        <f>TEXT(Ventas[[#This Row],[Fecha_venta]],"dd")</f>
        <v>24</v>
      </c>
      <c r="I1418" t="str">
        <f>TEXT(Ventas[[#This Row],[Fecha_venta]],"m")</f>
        <v>8</v>
      </c>
      <c r="J1418" t="str">
        <f>TEXT(Ventas[[#This Row],[Fecha_venta]],"yyyy")</f>
        <v>2012</v>
      </c>
    </row>
    <row r="1419" spans="1:10" x14ac:dyDescent="0.25">
      <c r="A1419">
        <v>10</v>
      </c>
      <c r="B1419" s="1">
        <v>41152</v>
      </c>
      <c r="C1419">
        <v>0</v>
      </c>
      <c r="D1419">
        <v>86.97</v>
      </c>
      <c r="E1419">
        <v>3.8860000000000001</v>
      </c>
      <c r="F1419">
        <v>130.88535479999999</v>
      </c>
      <c r="G1419">
        <v>1650285.54</v>
      </c>
      <c r="H1419" t="str">
        <f>TEXT(Ventas[[#This Row],[Fecha_venta]],"dd")</f>
        <v>31</v>
      </c>
      <c r="I1419" t="str">
        <f>TEXT(Ventas[[#This Row],[Fecha_venta]],"m")</f>
        <v>8</v>
      </c>
      <c r="J1419" t="str">
        <f>TEXT(Ventas[[#This Row],[Fecha_venta]],"yyyy")</f>
        <v>2012</v>
      </c>
    </row>
    <row r="1420" spans="1:10" x14ac:dyDescent="0.25">
      <c r="A1420">
        <v>10</v>
      </c>
      <c r="B1420" s="1">
        <v>41159</v>
      </c>
      <c r="C1420">
        <v>1</v>
      </c>
      <c r="D1420">
        <v>83.07</v>
      </c>
      <c r="E1420">
        <v>4.1239999999999997</v>
      </c>
      <c r="F1420">
        <v>130.9325484</v>
      </c>
      <c r="G1420">
        <v>1708283.28</v>
      </c>
      <c r="H1420" t="str">
        <f>TEXT(Ventas[[#This Row],[Fecha_venta]],"dd")</f>
        <v>07</v>
      </c>
      <c r="I1420" t="str">
        <f>TEXT(Ventas[[#This Row],[Fecha_venta]],"m")</f>
        <v>9</v>
      </c>
      <c r="J1420" t="str">
        <f>TEXT(Ventas[[#This Row],[Fecha_venta]],"yyyy")</f>
        <v>2012</v>
      </c>
    </row>
    <row r="1421" spans="1:10" x14ac:dyDescent="0.25">
      <c r="A1421">
        <v>10</v>
      </c>
      <c r="B1421" s="1">
        <v>41166</v>
      </c>
      <c r="C1421">
        <v>0</v>
      </c>
      <c r="D1421">
        <v>78.47</v>
      </c>
      <c r="E1421">
        <v>3.9660000000000002</v>
      </c>
      <c r="F1421">
        <v>130.97766669999999</v>
      </c>
      <c r="G1421">
        <v>1640168.99</v>
      </c>
      <c r="H1421" t="str">
        <f>TEXT(Ventas[[#This Row],[Fecha_venta]],"dd")</f>
        <v>14</v>
      </c>
      <c r="I1421" t="str">
        <f>TEXT(Ventas[[#This Row],[Fecha_venta]],"m")</f>
        <v>9</v>
      </c>
      <c r="J1421" t="str">
        <f>TEXT(Ventas[[#This Row],[Fecha_venta]],"yyyy")</f>
        <v>2012</v>
      </c>
    </row>
    <row r="1422" spans="1:10" x14ac:dyDescent="0.25">
      <c r="A1422">
        <v>10</v>
      </c>
      <c r="B1422" s="1">
        <v>41173</v>
      </c>
      <c r="C1422">
        <v>0</v>
      </c>
      <c r="D1422">
        <v>81.93</v>
      </c>
      <c r="E1422">
        <v>4.125</v>
      </c>
      <c r="F1422">
        <v>131.01033330000001</v>
      </c>
      <c r="G1422">
        <v>1671857.57</v>
      </c>
      <c r="H1422" t="str">
        <f>TEXT(Ventas[[#This Row],[Fecha_venta]],"dd")</f>
        <v>21</v>
      </c>
      <c r="I1422" t="str">
        <f>TEXT(Ventas[[#This Row],[Fecha_venta]],"m")</f>
        <v>9</v>
      </c>
      <c r="J1422" t="str">
        <f>TEXT(Ventas[[#This Row],[Fecha_venta]],"yyyy")</f>
        <v>2012</v>
      </c>
    </row>
    <row r="1423" spans="1:10" x14ac:dyDescent="0.25">
      <c r="A1423">
        <v>10</v>
      </c>
      <c r="B1423" s="1">
        <v>41180</v>
      </c>
      <c r="C1423">
        <v>0</v>
      </c>
      <c r="D1423">
        <v>82.52</v>
      </c>
      <c r="E1423">
        <v>3.9660000000000002</v>
      </c>
      <c r="F1423">
        <v>131.04300000000001</v>
      </c>
      <c r="G1423">
        <v>1694862.41</v>
      </c>
      <c r="H1423" t="str">
        <f>TEXT(Ventas[[#This Row],[Fecha_venta]],"dd")</f>
        <v>28</v>
      </c>
      <c r="I1423" t="str">
        <f>TEXT(Ventas[[#This Row],[Fecha_venta]],"m")</f>
        <v>9</v>
      </c>
      <c r="J1423" t="str">
        <f>TEXT(Ventas[[#This Row],[Fecha_venta]],"yyyy")</f>
        <v>2012</v>
      </c>
    </row>
    <row r="1424" spans="1:10" x14ac:dyDescent="0.25">
      <c r="A1424">
        <v>10</v>
      </c>
      <c r="B1424" s="1">
        <v>41187</v>
      </c>
      <c r="C1424">
        <v>0</v>
      </c>
      <c r="D1424">
        <v>80.88</v>
      </c>
      <c r="E1424">
        <v>4.1319999999999997</v>
      </c>
      <c r="F1424">
        <v>131.0756667</v>
      </c>
      <c r="G1424">
        <v>1758971.38</v>
      </c>
      <c r="H1424" t="str">
        <f>TEXT(Ventas[[#This Row],[Fecha_venta]],"dd")</f>
        <v>05</v>
      </c>
      <c r="I1424" t="str">
        <f>TEXT(Ventas[[#This Row],[Fecha_venta]],"m")</f>
        <v>10</v>
      </c>
      <c r="J1424" t="str">
        <f>TEXT(Ventas[[#This Row],[Fecha_venta]],"yyyy")</f>
        <v>2012</v>
      </c>
    </row>
    <row r="1425" spans="1:10" x14ac:dyDescent="0.25">
      <c r="A1425">
        <v>10</v>
      </c>
      <c r="B1425" s="1">
        <v>41194</v>
      </c>
      <c r="C1425">
        <v>0</v>
      </c>
      <c r="D1425">
        <v>76.03</v>
      </c>
      <c r="E1425">
        <v>4.468</v>
      </c>
      <c r="F1425">
        <v>131.1083333</v>
      </c>
      <c r="G1425">
        <v>1713889.11</v>
      </c>
      <c r="H1425" t="str">
        <f>TEXT(Ventas[[#This Row],[Fecha_venta]],"dd")</f>
        <v>12</v>
      </c>
      <c r="I1425" t="str">
        <f>TEXT(Ventas[[#This Row],[Fecha_venta]],"m")</f>
        <v>10</v>
      </c>
      <c r="J1425" t="str">
        <f>TEXT(Ventas[[#This Row],[Fecha_venta]],"yyyy")</f>
        <v>2012</v>
      </c>
    </row>
    <row r="1426" spans="1:10" x14ac:dyDescent="0.25">
      <c r="A1426">
        <v>10</v>
      </c>
      <c r="B1426" s="1">
        <v>41201</v>
      </c>
      <c r="C1426">
        <v>0</v>
      </c>
      <c r="D1426">
        <v>72.709999999999994</v>
      </c>
      <c r="E1426">
        <v>4.4489999999999998</v>
      </c>
      <c r="F1426">
        <v>131.14996769999999</v>
      </c>
      <c r="G1426">
        <v>1734834.82</v>
      </c>
      <c r="H1426" t="str">
        <f>TEXT(Ventas[[#This Row],[Fecha_venta]],"dd")</f>
        <v>19</v>
      </c>
      <c r="I1426" t="str">
        <f>TEXT(Ventas[[#This Row],[Fecha_venta]],"m")</f>
        <v>10</v>
      </c>
      <c r="J1426" t="str">
        <f>TEXT(Ventas[[#This Row],[Fecha_venta]],"yyyy")</f>
        <v>2012</v>
      </c>
    </row>
    <row r="1427" spans="1:10" x14ac:dyDescent="0.25">
      <c r="A1427">
        <v>10</v>
      </c>
      <c r="B1427" s="1">
        <v>41208</v>
      </c>
      <c r="C1427">
        <v>0</v>
      </c>
      <c r="D1427">
        <v>70.5</v>
      </c>
      <c r="E1427">
        <v>4.3010000000000002</v>
      </c>
      <c r="F1427">
        <v>131.19309680000001</v>
      </c>
      <c r="G1427">
        <v>1744349.05</v>
      </c>
      <c r="H1427" t="str">
        <f>TEXT(Ventas[[#This Row],[Fecha_venta]],"dd")</f>
        <v>26</v>
      </c>
      <c r="I1427" t="str">
        <f>TEXT(Ventas[[#This Row],[Fecha_venta]],"m")</f>
        <v>10</v>
      </c>
      <c r="J1427" t="str">
        <f>TEXT(Ventas[[#This Row],[Fecha_venta]],"yyyy")</f>
        <v>2012</v>
      </c>
    </row>
    <row r="1428" spans="1:10" x14ac:dyDescent="0.25">
      <c r="A1428">
        <v>11</v>
      </c>
      <c r="B1428" s="1">
        <v>40214</v>
      </c>
      <c r="C1428">
        <v>0</v>
      </c>
      <c r="D1428">
        <v>46.04</v>
      </c>
      <c r="E1428">
        <v>2.5720000000000001</v>
      </c>
      <c r="F1428">
        <v>214.42488119999999</v>
      </c>
      <c r="G1428">
        <v>1528008.64</v>
      </c>
      <c r="H1428" t="str">
        <f>TEXT(Ventas[[#This Row],[Fecha_venta]],"dd")</f>
        <v>05</v>
      </c>
      <c r="I1428" t="str">
        <f>TEXT(Ventas[[#This Row],[Fecha_venta]],"m")</f>
        <v>2</v>
      </c>
      <c r="J1428" t="str">
        <f>TEXT(Ventas[[#This Row],[Fecha_venta]],"yyyy")</f>
        <v>2010</v>
      </c>
    </row>
    <row r="1429" spans="1:10" x14ac:dyDescent="0.25">
      <c r="A1429">
        <v>11</v>
      </c>
      <c r="B1429" s="1">
        <v>40221</v>
      </c>
      <c r="C1429">
        <v>1</v>
      </c>
      <c r="D1429">
        <v>48.01</v>
      </c>
      <c r="E1429">
        <v>2.548</v>
      </c>
      <c r="F1429">
        <v>214.5747916</v>
      </c>
      <c r="G1429">
        <v>1574684.08</v>
      </c>
      <c r="H1429" t="str">
        <f>TEXT(Ventas[[#This Row],[Fecha_venta]],"dd")</f>
        <v>12</v>
      </c>
      <c r="I1429" t="str">
        <f>TEXT(Ventas[[#This Row],[Fecha_venta]],"m")</f>
        <v>2</v>
      </c>
      <c r="J1429" t="str">
        <f>TEXT(Ventas[[#This Row],[Fecha_venta]],"yyyy")</f>
        <v>2010</v>
      </c>
    </row>
    <row r="1430" spans="1:10" x14ac:dyDescent="0.25">
      <c r="A1430">
        <v>11</v>
      </c>
      <c r="B1430" s="1">
        <v>40228</v>
      </c>
      <c r="C1430">
        <v>0</v>
      </c>
      <c r="D1430">
        <v>48.3</v>
      </c>
      <c r="E1430">
        <v>2.5139999999999998</v>
      </c>
      <c r="F1430">
        <v>214.61988679999999</v>
      </c>
      <c r="G1430">
        <v>1503298.7</v>
      </c>
      <c r="H1430" t="str">
        <f>TEXT(Ventas[[#This Row],[Fecha_venta]],"dd")</f>
        <v>19</v>
      </c>
      <c r="I1430" t="str">
        <f>TEXT(Ventas[[#This Row],[Fecha_venta]],"m")</f>
        <v>2</v>
      </c>
      <c r="J1430" t="str">
        <f>TEXT(Ventas[[#This Row],[Fecha_venta]],"yyyy")</f>
        <v>2010</v>
      </c>
    </row>
    <row r="1431" spans="1:10" x14ac:dyDescent="0.25">
      <c r="A1431">
        <v>11</v>
      </c>
      <c r="B1431" s="1">
        <v>40235</v>
      </c>
      <c r="C1431">
        <v>0</v>
      </c>
      <c r="D1431">
        <v>52.79</v>
      </c>
      <c r="E1431">
        <v>2.5609999999999999</v>
      </c>
      <c r="F1431">
        <v>214.64751269999999</v>
      </c>
      <c r="G1431">
        <v>1336404.6499999999</v>
      </c>
      <c r="H1431" t="str">
        <f>TEXT(Ventas[[#This Row],[Fecha_venta]],"dd")</f>
        <v>26</v>
      </c>
      <c r="I1431" t="str">
        <f>TEXT(Ventas[[#This Row],[Fecha_venta]],"m")</f>
        <v>2</v>
      </c>
      <c r="J1431" t="str">
        <f>TEXT(Ventas[[#This Row],[Fecha_venta]],"yyyy")</f>
        <v>2010</v>
      </c>
    </row>
    <row r="1432" spans="1:10" x14ac:dyDescent="0.25">
      <c r="A1432">
        <v>11</v>
      </c>
      <c r="B1432" s="1">
        <v>40242</v>
      </c>
      <c r="C1432">
        <v>0</v>
      </c>
      <c r="D1432">
        <v>53.96</v>
      </c>
      <c r="E1432">
        <v>2.625</v>
      </c>
      <c r="F1432">
        <v>214.6751386</v>
      </c>
      <c r="G1432">
        <v>1426622.65</v>
      </c>
      <c r="H1432" t="str">
        <f>TEXT(Ventas[[#This Row],[Fecha_venta]],"dd")</f>
        <v>05</v>
      </c>
      <c r="I1432" t="str">
        <f>TEXT(Ventas[[#This Row],[Fecha_venta]],"m")</f>
        <v>3</v>
      </c>
      <c r="J1432" t="str">
        <f>TEXT(Ventas[[#This Row],[Fecha_venta]],"yyyy")</f>
        <v>2010</v>
      </c>
    </row>
    <row r="1433" spans="1:10" x14ac:dyDescent="0.25">
      <c r="A1433">
        <v>11</v>
      </c>
      <c r="B1433" s="1">
        <v>40249</v>
      </c>
      <c r="C1433">
        <v>0</v>
      </c>
      <c r="D1433">
        <v>64.099999999999994</v>
      </c>
      <c r="E1433">
        <v>2.6669999999999998</v>
      </c>
      <c r="F1433">
        <v>214.70276459999999</v>
      </c>
      <c r="G1433">
        <v>1331883.1599999999</v>
      </c>
      <c r="H1433" t="str">
        <f>TEXT(Ventas[[#This Row],[Fecha_venta]],"dd")</f>
        <v>12</v>
      </c>
      <c r="I1433" t="str">
        <f>TEXT(Ventas[[#This Row],[Fecha_venta]],"m")</f>
        <v>3</v>
      </c>
      <c r="J1433" t="str">
        <f>TEXT(Ventas[[#This Row],[Fecha_venta]],"yyyy")</f>
        <v>2010</v>
      </c>
    </row>
    <row r="1434" spans="1:10" x14ac:dyDescent="0.25">
      <c r="A1434">
        <v>11</v>
      </c>
      <c r="B1434" s="1">
        <v>40256</v>
      </c>
      <c r="C1434">
        <v>0</v>
      </c>
      <c r="D1434">
        <v>61.51</v>
      </c>
      <c r="E1434">
        <v>2.72</v>
      </c>
      <c r="F1434">
        <v>214.53012190000001</v>
      </c>
      <c r="G1434">
        <v>1364207</v>
      </c>
      <c r="H1434" t="str">
        <f>TEXT(Ventas[[#This Row],[Fecha_venta]],"dd")</f>
        <v>19</v>
      </c>
      <c r="I1434" t="str">
        <f>TEXT(Ventas[[#This Row],[Fecha_venta]],"m")</f>
        <v>3</v>
      </c>
      <c r="J1434" t="str">
        <f>TEXT(Ventas[[#This Row],[Fecha_venta]],"yyyy")</f>
        <v>2010</v>
      </c>
    </row>
    <row r="1435" spans="1:10" x14ac:dyDescent="0.25">
      <c r="A1435">
        <v>11</v>
      </c>
      <c r="B1435" s="1">
        <v>40263</v>
      </c>
      <c r="C1435">
        <v>0</v>
      </c>
      <c r="D1435">
        <v>0</v>
      </c>
      <c r="E1435">
        <v>2.7320000000000002</v>
      </c>
      <c r="F1435">
        <v>214.32410110000001</v>
      </c>
      <c r="G1435">
        <v>1245624.27</v>
      </c>
      <c r="H1435" t="str">
        <f>TEXT(Ventas[[#This Row],[Fecha_venta]],"dd")</f>
        <v>26</v>
      </c>
      <c r="I1435" t="str">
        <f>TEXT(Ventas[[#This Row],[Fecha_venta]],"m")</f>
        <v>3</v>
      </c>
      <c r="J1435" t="str">
        <f>TEXT(Ventas[[#This Row],[Fecha_venta]],"yyyy")</f>
        <v>2010</v>
      </c>
    </row>
    <row r="1436" spans="1:10" x14ac:dyDescent="0.25">
      <c r="A1436">
        <v>11</v>
      </c>
      <c r="B1436" s="1">
        <v>40270</v>
      </c>
      <c r="C1436">
        <v>0</v>
      </c>
      <c r="D1436">
        <v>66.16</v>
      </c>
      <c r="E1436">
        <v>2.7189999999999999</v>
      </c>
      <c r="F1436">
        <v>214.1180803</v>
      </c>
      <c r="G1436">
        <v>1446210.26</v>
      </c>
      <c r="H1436" t="str">
        <f>TEXT(Ventas[[#This Row],[Fecha_venta]],"dd")</f>
        <v>02</v>
      </c>
      <c r="I1436" t="str">
        <f>TEXT(Ventas[[#This Row],[Fecha_venta]],"m")</f>
        <v>4</v>
      </c>
      <c r="J1436" t="str">
        <f>TEXT(Ventas[[#This Row],[Fecha_venta]],"yyyy")</f>
        <v>2010</v>
      </c>
    </row>
    <row r="1437" spans="1:10" x14ac:dyDescent="0.25">
      <c r="A1437">
        <v>11</v>
      </c>
      <c r="B1437" s="1">
        <v>40277</v>
      </c>
      <c r="C1437">
        <v>0</v>
      </c>
      <c r="D1437">
        <v>69.569999999999993</v>
      </c>
      <c r="E1437">
        <v>2.77</v>
      </c>
      <c r="F1437">
        <v>213.9120595</v>
      </c>
      <c r="G1437">
        <v>1470308.32</v>
      </c>
      <c r="H1437" t="str">
        <f>TEXT(Ventas[[#This Row],[Fecha_venta]],"dd")</f>
        <v>09</v>
      </c>
      <c r="I1437" t="str">
        <f>TEXT(Ventas[[#This Row],[Fecha_venta]],"m")</f>
        <v>4</v>
      </c>
      <c r="J1437" t="str">
        <f>TEXT(Ventas[[#This Row],[Fecha_venta]],"yyyy")</f>
        <v>2010</v>
      </c>
    </row>
    <row r="1438" spans="1:10" x14ac:dyDescent="0.25">
      <c r="A1438">
        <v>11</v>
      </c>
      <c r="B1438" s="1">
        <v>40284</v>
      </c>
      <c r="C1438">
        <v>0</v>
      </c>
      <c r="D1438">
        <v>67.81</v>
      </c>
      <c r="E1438">
        <v>2.8079999999999998</v>
      </c>
      <c r="F1438">
        <v>213.77268889999999</v>
      </c>
      <c r="G1438">
        <v>1323243.3500000001</v>
      </c>
      <c r="H1438" t="str">
        <f>TEXT(Ventas[[#This Row],[Fecha_venta]],"dd")</f>
        <v>16</v>
      </c>
      <c r="I1438" t="str">
        <f>TEXT(Ventas[[#This Row],[Fecha_venta]],"m")</f>
        <v>4</v>
      </c>
      <c r="J1438" t="str">
        <f>TEXT(Ventas[[#This Row],[Fecha_venta]],"yyyy")</f>
        <v>2010</v>
      </c>
    </row>
    <row r="1439" spans="1:10" x14ac:dyDescent="0.25">
      <c r="A1439">
        <v>11</v>
      </c>
      <c r="B1439" s="1">
        <v>40291</v>
      </c>
      <c r="C1439">
        <v>0</v>
      </c>
      <c r="D1439">
        <v>68.37</v>
      </c>
      <c r="E1439">
        <v>2.7949999999999999</v>
      </c>
      <c r="F1439">
        <v>213.72218520000001</v>
      </c>
      <c r="G1439">
        <v>1283766.55</v>
      </c>
      <c r="H1439" t="str">
        <f>TEXT(Ventas[[#This Row],[Fecha_venta]],"dd")</f>
        <v>23</v>
      </c>
      <c r="I1439" t="str">
        <f>TEXT(Ventas[[#This Row],[Fecha_venta]],"m")</f>
        <v>4</v>
      </c>
      <c r="J1439" t="str">
        <f>TEXT(Ventas[[#This Row],[Fecha_venta]],"yyyy")</f>
        <v>2010</v>
      </c>
    </row>
    <row r="1440" spans="1:10" x14ac:dyDescent="0.25">
      <c r="A1440">
        <v>11</v>
      </c>
      <c r="B1440" s="1">
        <v>40298</v>
      </c>
      <c r="C1440">
        <v>0</v>
      </c>
      <c r="D1440">
        <v>71.13</v>
      </c>
      <c r="E1440">
        <v>2.78</v>
      </c>
      <c r="F1440">
        <v>213.67168150000001</v>
      </c>
      <c r="G1440">
        <v>1239766.8899999999</v>
      </c>
      <c r="H1440" t="str">
        <f>TEXT(Ventas[[#This Row],[Fecha_venta]],"dd")</f>
        <v>30</v>
      </c>
      <c r="I1440" t="str">
        <f>TEXT(Ventas[[#This Row],[Fecha_venta]],"m")</f>
        <v>4</v>
      </c>
      <c r="J1440" t="str">
        <f>TEXT(Ventas[[#This Row],[Fecha_venta]],"yyyy")</f>
        <v>2010</v>
      </c>
    </row>
    <row r="1441" spans="1:10" x14ac:dyDescent="0.25">
      <c r="A1441">
        <v>11</v>
      </c>
      <c r="B1441" s="1">
        <v>40305</v>
      </c>
      <c r="C1441">
        <v>0</v>
      </c>
      <c r="D1441">
        <v>75.569999999999993</v>
      </c>
      <c r="E1441">
        <v>2.835</v>
      </c>
      <c r="F1441">
        <v>213.6211778</v>
      </c>
      <c r="G1441">
        <v>1312329.78</v>
      </c>
      <c r="H1441" t="str">
        <f>TEXT(Ventas[[#This Row],[Fecha_venta]],"dd")</f>
        <v>07</v>
      </c>
      <c r="I1441" t="str">
        <f>TEXT(Ventas[[#This Row],[Fecha_venta]],"m")</f>
        <v>5</v>
      </c>
      <c r="J1441" t="str">
        <f>TEXT(Ventas[[#This Row],[Fecha_venta]],"yyyy")</f>
        <v>2010</v>
      </c>
    </row>
    <row r="1442" spans="1:10" x14ac:dyDescent="0.25">
      <c r="A1442">
        <v>11</v>
      </c>
      <c r="B1442" s="1">
        <v>40312</v>
      </c>
      <c r="C1442">
        <v>0</v>
      </c>
      <c r="D1442">
        <v>77.64</v>
      </c>
      <c r="E1442">
        <v>2.8540000000000001</v>
      </c>
      <c r="F1442">
        <v>213.61961389999999</v>
      </c>
      <c r="G1442">
        <v>1266796.1299999999</v>
      </c>
      <c r="H1442" t="str">
        <f>TEXT(Ventas[[#This Row],[Fecha_venta]],"dd")</f>
        <v>14</v>
      </c>
      <c r="I1442" t="str">
        <f>TEXT(Ventas[[#This Row],[Fecha_venta]],"m")</f>
        <v>5</v>
      </c>
      <c r="J1442" t="str">
        <f>TEXT(Ventas[[#This Row],[Fecha_venta]],"yyyy")</f>
        <v>2010</v>
      </c>
    </row>
    <row r="1443" spans="1:10" x14ac:dyDescent="0.25">
      <c r="A1443">
        <v>11</v>
      </c>
      <c r="B1443" s="1">
        <v>40319</v>
      </c>
      <c r="C1443">
        <v>0</v>
      </c>
      <c r="D1443">
        <v>76.97</v>
      </c>
      <c r="E1443">
        <v>2.8260000000000001</v>
      </c>
      <c r="F1443">
        <v>213.91168859999999</v>
      </c>
      <c r="G1443">
        <v>1271646.6200000001</v>
      </c>
      <c r="H1443" t="str">
        <f>TEXT(Ventas[[#This Row],[Fecha_venta]],"dd")</f>
        <v>21</v>
      </c>
      <c r="I1443" t="str">
        <f>TEXT(Ventas[[#This Row],[Fecha_venta]],"m")</f>
        <v>5</v>
      </c>
      <c r="J1443" t="str">
        <f>TEXT(Ventas[[#This Row],[Fecha_venta]],"yyyy")</f>
        <v>2010</v>
      </c>
    </row>
    <row r="1444" spans="1:10" x14ac:dyDescent="0.25">
      <c r="A1444">
        <v>11</v>
      </c>
      <c r="B1444" s="1">
        <v>40326</v>
      </c>
      <c r="C1444">
        <v>0</v>
      </c>
      <c r="D1444">
        <v>79.69</v>
      </c>
      <c r="E1444">
        <v>2.7589999999999999</v>
      </c>
      <c r="F1444">
        <v>214.20376340000001</v>
      </c>
      <c r="G1444">
        <v>1264272.52</v>
      </c>
      <c r="H1444" t="str">
        <f>TEXT(Ventas[[#This Row],[Fecha_venta]],"dd")</f>
        <v>28</v>
      </c>
      <c r="I1444" t="str">
        <f>TEXT(Ventas[[#This Row],[Fecha_venta]],"m")</f>
        <v>5</v>
      </c>
      <c r="J1444" t="str">
        <f>TEXT(Ventas[[#This Row],[Fecha_venta]],"yyyy")</f>
        <v>2010</v>
      </c>
    </row>
    <row r="1445" spans="1:10" x14ac:dyDescent="0.25">
      <c r="A1445">
        <v>11</v>
      </c>
      <c r="B1445" s="1">
        <v>40333</v>
      </c>
      <c r="C1445">
        <v>0</v>
      </c>
      <c r="D1445">
        <v>79.66</v>
      </c>
      <c r="E1445">
        <v>2.7050000000000001</v>
      </c>
      <c r="F1445">
        <v>214.49583820000001</v>
      </c>
      <c r="G1445">
        <v>1396322.19</v>
      </c>
      <c r="H1445" t="str">
        <f>TEXT(Ventas[[#This Row],[Fecha_venta]],"dd")</f>
        <v>04</v>
      </c>
      <c r="I1445" t="str">
        <f>TEXT(Ventas[[#This Row],[Fecha_venta]],"m")</f>
        <v>6</v>
      </c>
      <c r="J1445" t="str">
        <f>TEXT(Ventas[[#This Row],[Fecha_venta]],"yyyy")</f>
        <v>2010</v>
      </c>
    </row>
    <row r="1446" spans="1:10" x14ac:dyDescent="0.25">
      <c r="A1446">
        <v>11</v>
      </c>
      <c r="B1446" s="1">
        <v>40340</v>
      </c>
      <c r="C1446">
        <v>0</v>
      </c>
      <c r="D1446">
        <v>82.81</v>
      </c>
      <c r="E1446">
        <v>2.6680000000000001</v>
      </c>
      <c r="F1446">
        <v>214.787913</v>
      </c>
      <c r="G1446">
        <v>1339570.8500000001</v>
      </c>
      <c r="H1446" t="str">
        <f>TEXT(Ventas[[#This Row],[Fecha_venta]],"dd")</f>
        <v>11</v>
      </c>
      <c r="I1446" t="str">
        <f>TEXT(Ventas[[#This Row],[Fecha_venta]],"m")</f>
        <v>6</v>
      </c>
      <c r="J1446" t="str">
        <f>TEXT(Ventas[[#This Row],[Fecha_venta]],"yyyy")</f>
        <v>2010</v>
      </c>
    </row>
    <row r="1447" spans="1:10" x14ac:dyDescent="0.25">
      <c r="A1447">
        <v>11</v>
      </c>
      <c r="B1447" s="1">
        <v>40347</v>
      </c>
      <c r="C1447">
        <v>0</v>
      </c>
      <c r="D1447">
        <v>84.13</v>
      </c>
      <c r="E1447">
        <v>2.637</v>
      </c>
      <c r="F1447">
        <v>214.78582589999999</v>
      </c>
      <c r="G1447">
        <v>1336522.92</v>
      </c>
      <c r="H1447" t="str">
        <f>TEXT(Ventas[[#This Row],[Fecha_venta]],"dd")</f>
        <v>18</v>
      </c>
      <c r="I1447" t="str">
        <f>TEXT(Ventas[[#This Row],[Fecha_venta]],"m")</f>
        <v>6</v>
      </c>
      <c r="J1447" t="str">
        <f>TEXT(Ventas[[#This Row],[Fecha_venta]],"yyyy")</f>
        <v>2010</v>
      </c>
    </row>
    <row r="1448" spans="1:10" x14ac:dyDescent="0.25">
      <c r="A1448">
        <v>11</v>
      </c>
      <c r="B1448" s="1">
        <v>40354</v>
      </c>
      <c r="C1448">
        <v>0</v>
      </c>
      <c r="D1448">
        <v>84.5</v>
      </c>
      <c r="E1448">
        <v>2.653</v>
      </c>
      <c r="F1448">
        <v>214.6660741</v>
      </c>
      <c r="G1448">
        <v>1262025.08</v>
      </c>
      <c r="H1448" t="str">
        <f>TEXT(Ventas[[#This Row],[Fecha_venta]],"dd")</f>
        <v>25</v>
      </c>
      <c r="I1448" t="str">
        <f>TEXT(Ventas[[#This Row],[Fecha_venta]],"m")</f>
        <v>6</v>
      </c>
      <c r="J1448" t="str">
        <f>TEXT(Ventas[[#This Row],[Fecha_venta]],"yyyy")</f>
        <v>2010</v>
      </c>
    </row>
    <row r="1449" spans="1:10" x14ac:dyDescent="0.25">
      <c r="A1449">
        <v>11</v>
      </c>
      <c r="B1449" s="1">
        <v>40361</v>
      </c>
      <c r="C1449">
        <v>0</v>
      </c>
      <c r="D1449">
        <v>83.09</v>
      </c>
      <c r="E1449">
        <v>2.669</v>
      </c>
      <c r="F1449">
        <v>214.54632219999999</v>
      </c>
      <c r="G1449">
        <v>1302600.1399999999</v>
      </c>
      <c r="H1449" t="str">
        <f>TEXT(Ventas[[#This Row],[Fecha_venta]],"dd")</f>
        <v>02</v>
      </c>
      <c r="I1449" t="str">
        <f>TEXT(Ventas[[#This Row],[Fecha_venta]],"m")</f>
        <v>7</v>
      </c>
      <c r="J1449" t="str">
        <f>TEXT(Ventas[[#This Row],[Fecha_venta]],"yyyy")</f>
        <v>2010</v>
      </c>
    </row>
    <row r="1450" spans="1:10" x14ac:dyDescent="0.25">
      <c r="A1450">
        <v>11</v>
      </c>
      <c r="B1450" s="1">
        <v>40368</v>
      </c>
      <c r="C1450">
        <v>0</v>
      </c>
      <c r="D1450">
        <v>83.01</v>
      </c>
      <c r="E1450">
        <v>2.6419999999999999</v>
      </c>
      <c r="F1450">
        <v>214.4265704</v>
      </c>
      <c r="G1450">
        <v>1280156.47</v>
      </c>
      <c r="H1450" t="str">
        <f>TEXT(Ventas[[#This Row],[Fecha_venta]],"dd")</f>
        <v>09</v>
      </c>
      <c r="I1450" t="str">
        <f>TEXT(Ventas[[#This Row],[Fecha_venta]],"m")</f>
        <v>7</v>
      </c>
      <c r="J1450" t="str">
        <f>TEXT(Ventas[[#This Row],[Fecha_venta]],"yyyy")</f>
        <v>2010</v>
      </c>
    </row>
    <row r="1451" spans="1:10" x14ac:dyDescent="0.25">
      <c r="A1451">
        <v>11</v>
      </c>
      <c r="B1451" s="1">
        <v>40375</v>
      </c>
      <c r="C1451">
        <v>0</v>
      </c>
      <c r="D1451">
        <v>84.9</v>
      </c>
      <c r="E1451">
        <v>2.6230000000000002</v>
      </c>
      <c r="F1451">
        <v>214.41764760000001</v>
      </c>
      <c r="G1451">
        <v>1290609.54</v>
      </c>
      <c r="H1451" t="str">
        <f>TEXT(Ventas[[#This Row],[Fecha_venta]],"dd")</f>
        <v>16</v>
      </c>
      <c r="I1451" t="str">
        <f>TEXT(Ventas[[#This Row],[Fecha_venta]],"m")</f>
        <v>7</v>
      </c>
      <c r="J1451" t="str">
        <f>TEXT(Ventas[[#This Row],[Fecha_venta]],"yyyy")</f>
        <v>2010</v>
      </c>
    </row>
    <row r="1452" spans="1:10" x14ac:dyDescent="0.25">
      <c r="A1452">
        <v>11</v>
      </c>
      <c r="B1452" s="1">
        <v>40382</v>
      </c>
      <c r="C1452">
        <v>0</v>
      </c>
      <c r="D1452">
        <v>84.57</v>
      </c>
      <c r="E1452">
        <v>2.6080000000000001</v>
      </c>
      <c r="F1452">
        <v>214.55649679999999</v>
      </c>
      <c r="G1452">
        <v>1244390.03</v>
      </c>
      <c r="H1452" t="str">
        <f>TEXT(Ventas[[#This Row],[Fecha_venta]],"dd")</f>
        <v>23</v>
      </c>
      <c r="I1452" t="str">
        <f>TEXT(Ventas[[#This Row],[Fecha_venta]],"m")</f>
        <v>7</v>
      </c>
      <c r="J1452" t="str">
        <f>TEXT(Ventas[[#This Row],[Fecha_venta]],"yyyy")</f>
        <v>2010</v>
      </c>
    </row>
    <row r="1453" spans="1:10" x14ac:dyDescent="0.25">
      <c r="A1453">
        <v>11</v>
      </c>
      <c r="B1453" s="1">
        <v>40389</v>
      </c>
      <c r="C1453">
        <v>0</v>
      </c>
      <c r="D1453">
        <v>83.26</v>
      </c>
      <c r="E1453">
        <v>2.64</v>
      </c>
      <c r="F1453">
        <v>214.695346</v>
      </c>
      <c r="G1453">
        <v>1250178.8899999999</v>
      </c>
      <c r="H1453" t="str">
        <f>TEXT(Ventas[[#This Row],[Fecha_venta]],"dd")</f>
        <v>30</v>
      </c>
      <c r="I1453" t="str">
        <f>TEXT(Ventas[[#This Row],[Fecha_venta]],"m")</f>
        <v>7</v>
      </c>
      <c r="J1453" t="str">
        <f>TEXT(Ventas[[#This Row],[Fecha_venta]],"yyyy")</f>
        <v>2010</v>
      </c>
    </row>
    <row r="1454" spans="1:10" x14ac:dyDescent="0.25">
      <c r="A1454">
        <v>11</v>
      </c>
      <c r="B1454" s="1">
        <v>40396</v>
      </c>
      <c r="C1454">
        <v>0</v>
      </c>
      <c r="D1454">
        <v>86.54</v>
      </c>
      <c r="E1454">
        <v>2.6269999999999998</v>
      </c>
      <c r="F1454">
        <v>214.83419520000001</v>
      </c>
      <c r="G1454">
        <v>1369634.92</v>
      </c>
      <c r="H1454" t="str">
        <f>TEXT(Ventas[[#This Row],[Fecha_venta]],"dd")</f>
        <v>06</v>
      </c>
      <c r="I1454" t="str">
        <f>TEXT(Ventas[[#This Row],[Fecha_venta]],"m")</f>
        <v>8</v>
      </c>
      <c r="J1454" t="str">
        <f>TEXT(Ventas[[#This Row],[Fecha_venta]],"yyyy")</f>
        <v>2010</v>
      </c>
    </row>
    <row r="1455" spans="1:10" x14ac:dyDescent="0.25">
      <c r="A1455">
        <v>11</v>
      </c>
      <c r="B1455" s="1">
        <v>40403</v>
      </c>
      <c r="C1455">
        <v>0</v>
      </c>
      <c r="D1455">
        <v>87.73</v>
      </c>
      <c r="E1455">
        <v>2.6920000000000002</v>
      </c>
      <c r="F1455">
        <v>214.97304439999999</v>
      </c>
      <c r="G1455">
        <v>1384339.1</v>
      </c>
      <c r="H1455" t="str">
        <f>TEXT(Ventas[[#This Row],[Fecha_venta]],"dd")</f>
        <v>13</v>
      </c>
      <c r="I1455" t="str">
        <f>TEXT(Ventas[[#This Row],[Fecha_venta]],"m")</f>
        <v>8</v>
      </c>
      <c r="J1455" t="str">
        <f>TEXT(Ventas[[#This Row],[Fecha_venta]],"yyyy")</f>
        <v>2010</v>
      </c>
    </row>
    <row r="1456" spans="1:10" x14ac:dyDescent="0.25">
      <c r="A1456">
        <v>11</v>
      </c>
      <c r="B1456" s="1">
        <v>40410</v>
      </c>
      <c r="C1456">
        <v>0</v>
      </c>
      <c r="D1456">
        <v>88.93</v>
      </c>
      <c r="E1456">
        <v>2.6640000000000001</v>
      </c>
      <c r="F1456">
        <v>214.9314191</v>
      </c>
      <c r="G1456">
        <v>1430192.37</v>
      </c>
      <c r="H1456" t="str">
        <f>TEXT(Ventas[[#This Row],[Fecha_venta]],"dd")</f>
        <v>20</v>
      </c>
      <c r="I1456" t="str">
        <f>TEXT(Ventas[[#This Row],[Fecha_venta]],"m")</f>
        <v>8</v>
      </c>
      <c r="J1456" t="str">
        <f>TEXT(Ventas[[#This Row],[Fecha_venta]],"yyyy")</f>
        <v>2010</v>
      </c>
    </row>
    <row r="1457" spans="1:10" x14ac:dyDescent="0.25">
      <c r="A1457">
        <v>11</v>
      </c>
      <c r="B1457" s="1">
        <v>40417</v>
      </c>
      <c r="C1457">
        <v>0</v>
      </c>
      <c r="D1457">
        <v>87.7</v>
      </c>
      <c r="E1457">
        <v>2.6190000000000002</v>
      </c>
      <c r="F1457">
        <v>214.88979380000001</v>
      </c>
      <c r="G1457">
        <v>1311263.07</v>
      </c>
      <c r="H1457" t="str">
        <f>TEXT(Ventas[[#This Row],[Fecha_venta]],"dd")</f>
        <v>27</v>
      </c>
      <c r="I1457" t="str">
        <f>TEXT(Ventas[[#This Row],[Fecha_venta]],"m")</f>
        <v>8</v>
      </c>
      <c r="J1457" t="str">
        <f>TEXT(Ventas[[#This Row],[Fecha_venta]],"yyyy")</f>
        <v>2010</v>
      </c>
    </row>
    <row r="1458" spans="1:10" x14ac:dyDescent="0.25">
      <c r="A1458">
        <v>11</v>
      </c>
      <c r="B1458" s="1">
        <v>40424</v>
      </c>
      <c r="C1458">
        <v>0</v>
      </c>
      <c r="D1458">
        <v>84.94</v>
      </c>
      <c r="E1458">
        <v>2.577</v>
      </c>
      <c r="F1458">
        <v>214.84816850000001</v>
      </c>
      <c r="G1458">
        <v>1303914.27</v>
      </c>
      <c r="H1458" t="str">
        <f>TEXT(Ventas[[#This Row],[Fecha_venta]],"dd")</f>
        <v>03</v>
      </c>
      <c r="I1458" t="str">
        <f>TEXT(Ventas[[#This Row],[Fecha_venta]],"m")</f>
        <v>9</v>
      </c>
      <c r="J1458" t="str">
        <f>TEXT(Ventas[[#This Row],[Fecha_venta]],"yyyy")</f>
        <v>2010</v>
      </c>
    </row>
    <row r="1459" spans="1:10" x14ac:dyDescent="0.25">
      <c r="A1459">
        <v>11</v>
      </c>
      <c r="B1459" s="1">
        <v>40431</v>
      </c>
      <c r="C1459">
        <v>1</v>
      </c>
      <c r="D1459">
        <v>81.93</v>
      </c>
      <c r="E1459">
        <v>2.5649999999999999</v>
      </c>
      <c r="F1459">
        <v>214.8065431</v>
      </c>
      <c r="G1459">
        <v>1231428.46</v>
      </c>
      <c r="H1459" t="str">
        <f>TEXT(Ventas[[#This Row],[Fecha_venta]],"dd")</f>
        <v>10</v>
      </c>
      <c r="I1459" t="str">
        <f>TEXT(Ventas[[#This Row],[Fecha_venta]],"m")</f>
        <v>9</v>
      </c>
      <c r="J1459" t="str">
        <f>TEXT(Ventas[[#This Row],[Fecha_venta]],"yyyy")</f>
        <v>2010</v>
      </c>
    </row>
    <row r="1460" spans="1:10" x14ac:dyDescent="0.25">
      <c r="A1460">
        <v>11</v>
      </c>
      <c r="B1460" s="1">
        <v>40438</v>
      </c>
      <c r="C1460">
        <v>0</v>
      </c>
      <c r="D1460">
        <v>83.04</v>
      </c>
      <c r="E1460">
        <v>2.5819999999999999</v>
      </c>
      <c r="F1460">
        <v>214.8322484</v>
      </c>
      <c r="G1460">
        <v>1215676.31</v>
      </c>
      <c r="H1460" t="str">
        <f>TEXT(Ventas[[#This Row],[Fecha_venta]],"dd")</f>
        <v>17</v>
      </c>
      <c r="I1460" t="str">
        <f>TEXT(Ventas[[#This Row],[Fecha_venta]],"m")</f>
        <v>9</v>
      </c>
      <c r="J1460" t="str">
        <f>TEXT(Ventas[[#This Row],[Fecha_venta]],"yyyy")</f>
        <v>2010</v>
      </c>
    </row>
    <row r="1461" spans="1:10" x14ac:dyDescent="0.25">
      <c r="A1461">
        <v>11</v>
      </c>
      <c r="B1461" s="1">
        <v>40445</v>
      </c>
      <c r="C1461">
        <v>0</v>
      </c>
      <c r="D1461">
        <v>77.36</v>
      </c>
      <c r="E1461">
        <v>2.6240000000000001</v>
      </c>
      <c r="F1461">
        <v>214.90845160000001</v>
      </c>
      <c r="G1461">
        <v>1170103.25</v>
      </c>
      <c r="H1461" t="str">
        <f>TEXT(Ventas[[#This Row],[Fecha_venta]],"dd")</f>
        <v>24</v>
      </c>
      <c r="I1461" t="str">
        <f>TEXT(Ventas[[#This Row],[Fecha_venta]],"m")</f>
        <v>9</v>
      </c>
      <c r="J1461" t="str">
        <f>TEXT(Ventas[[#This Row],[Fecha_venta]],"yyyy")</f>
        <v>2010</v>
      </c>
    </row>
    <row r="1462" spans="1:10" x14ac:dyDescent="0.25">
      <c r="A1462">
        <v>11</v>
      </c>
      <c r="B1462" s="1">
        <v>40452</v>
      </c>
      <c r="C1462">
        <v>0</v>
      </c>
      <c r="D1462">
        <v>75.11</v>
      </c>
      <c r="E1462">
        <v>2.6030000000000002</v>
      </c>
      <c r="F1462">
        <v>214.98465479999999</v>
      </c>
      <c r="G1462">
        <v>1182490.46</v>
      </c>
      <c r="H1462" t="str">
        <f>TEXT(Ventas[[#This Row],[Fecha_venta]],"dd")</f>
        <v>01</v>
      </c>
      <c r="I1462" t="str">
        <f>TEXT(Ventas[[#This Row],[Fecha_venta]],"m")</f>
        <v>10</v>
      </c>
      <c r="J1462" t="str">
        <f>TEXT(Ventas[[#This Row],[Fecha_venta]],"yyyy")</f>
        <v>2010</v>
      </c>
    </row>
    <row r="1463" spans="1:10" x14ac:dyDescent="0.25">
      <c r="A1463">
        <v>11</v>
      </c>
      <c r="B1463" s="1">
        <v>40459</v>
      </c>
      <c r="C1463">
        <v>0</v>
      </c>
      <c r="D1463">
        <v>68.709999999999994</v>
      </c>
      <c r="E1463">
        <v>2.633</v>
      </c>
      <c r="F1463">
        <v>215.060858</v>
      </c>
      <c r="G1463">
        <v>1293472.8</v>
      </c>
      <c r="H1463" t="str">
        <f>TEXT(Ventas[[#This Row],[Fecha_venta]],"dd")</f>
        <v>08</v>
      </c>
      <c r="I1463" t="str">
        <f>TEXT(Ventas[[#This Row],[Fecha_venta]],"m")</f>
        <v>10</v>
      </c>
      <c r="J1463" t="str">
        <f>TEXT(Ventas[[#This Row],[Fecha_venta]],"yyyy")</f>
        <v>2010</v>
      </c>
    </row>
    <row r="1464" spans="1:10" x14ac:dyDescent="0.25">
      <c r="A1464">
        <v>11</v>
      </c>
      <c r="B1464" s="1">
        <v>40466</v>
      </c>
      <c r="C1464">
        <v>0</v>
      </c>
      <c r="D1464">
        <v>71.459999999999994</v>
      </c>
      <c r="E1464">
        <v>2.72</v>
      </c>
      <c r="F1464">
        <v>215.12931140000001</v>
      </c>
      <c r="G1464">
        <v>1175003.67</v>
      </c>
      <c r="H1464" t="str">
        <f>TEXT(Ventas[[#This Row],[Fecha_venta]],"dd")</f>
        <v>15</v>
      </c>
      <c r="I1464" t="str">
        <f>TEXT(Ventas[[#This Row],[Fecha_venta]],"m")</f>
        <v>10</v>
      </c>
      <c r="J1464" t="str">
        <f>TEXT(Ventas[[#This Row],[Fecha_venta]],"yyyy")</f>
        <v>2010</v>
      </c>
    </row>
    <row r="1465" spans="1:10" x14ac:dyDescent="0.25">
      <c r="A1465">
        <v>11</v>
      </c>
      <c r="B1465" s="1">
        <v>40473</v>
      </c>
      <c r="C1465">
        <v>0</v>
      </c>
      <c r="D1465">
        <v>72.599999999999994</v>
      </c>
      <c r="E1465">
        <v>2.7250000000000001</v>
      </c>
      <c r="F1465">
        <v>215.17839000000001</v>
      </c>
      <c r="G1465">
        <v>1169831.3799999999</v>
      </c>
      <c r="H1465" t="str">
        <f>TEXT(Ventas[[#This Row],[Fecha_venta]],"dd")</f>
        <v>22</v>
      </c>
      <c r="I1465" t="str">
        <f>TEXT(Ventas[[#This Row],[Fecha_venta]],"m")</f>
        <v>10</v>
      </c>
      <c r="J1465" t="str">
        <f>TEXT(Ventas[[#This Row],[Fecha_venta]],"yyyy")</f>
        <v>2010</v>
      </c>
    </row>
    <row r="1466" spans="1:10" x14ac:dyDescent="0.25">
      <c r="A1466">
        <v>11</v>
      </c>
      <c r="B1466" s="1">
        <v>40480</v>
      </c>
      <c r="C1466">
        <v>0</v>
      </c>
      <c r="D1466">
        <v>74.209999999999994</v>
      </c>
      <c r="E1466">
        <v>2.7160000000000002</v>
      </c>
      <c r="F1466">
        <v>215.22746860000001</v>
      </c>
      <c r="G1466">
        <v>1195036</v>
      </c>
      <c r="H1466" t="str">
        <f>TEXT(Ventas[[#This Row],[Fecha_venta]],"dd")</f>
        <v>29</v>
      </c>
      <c r="I1466" t="str">
        <f>TEXT(Ventas[[#This Row],[Fecha_venta]],"m")</f>
        <v>10</v>
      </c>
      <c r="J1466" t="str">
        <f>TEXT(Ventas[[#This Row],[Fecha_venta]],"yyyy")</f>
        <v>2010</v>
      </c>
    </row>
    <row r="1467" spans="1:10" x14ac:dyDescent="0.25">
      <c r="A1467">
        <v>11</v>
      </c>
      <c r="B1467" s="1">
        <v>40487</v>
      </c>
      <c r="C1467">
        <v>0</v>
      </c>
      <c r="D1467">
        <v>64.41</v>
      </c>
      <c r="E1467">
        <v>2.6890000000000001</v>
      </c>
      <c r="F1467">
        <v>215.27654720000001</v>
      </c>
      <c r="G1467">
        <v>1332759.1299999999</v>
      </c>
      <c r="H1467" t="str">
        <f>TEXT(Ventas[[#This Row],[Fecha_venta]],"dd")</f>
        <v>05</v>
      </c>
      <c r="I1467" t="str">
        <f>TEXT(Ventas[[#This Row],[Fecha_venta]],"m")</f>
        <v>11</v>
      </c>
      <c r="J1467" t="str">
        <f>TEXT(Ventas[[#This Row],[Fecha_venta]],"yyyy")</f>
        <v>2010</v>
      </c>
    </row>
    <row r="1468" spans="1:10" x14ac:dyDescent="0.25">
      <c r="A1468">
        <v>11</v>
      </c>
      <c r="B1468" s="1">
        <v>40494</v>
      </c>
      <c r="C1468">
        <v>0</v>
      </c>
      <c r="D1468">
        <v>63.74</v>
      </c>
      <c r="E1468">
        <v>2.7280000000000002</v>
      </c>
      <c r="F1468">
        <v>215.32562580000001</v>
      </c>
      <c r="G1468">
        <v>1281675.6000000001</v>
      </c>
      <c r="H1468" t="str">
        <f>TEXT(Ventas[[#This Row],[Fecha_venta]],"dd")</f>
        <v>12</v>
      </c>
      <c r="I1468" t="str">
        <f>TEXT(Ventas[[#This Row],[Fecha_venta]],"m")</f>
        <v>11</v>
      </c>
      <c r="J1468" t="str">
        <f>TEXT(Ventas[[#This Row],[Fecha_venta]],"yyyy")</f>
        <v>2010</v>
      </c>
    </row>
    <row r="1469" spans="1:10" x14ac:dyDescent="0.25">
      <c r="A1469">
        <v>11</v>
      </c>
      <c r="B1469" s="1">
        <v>40501</v>
      </c>
      <c r="C1469">
        <v>0</v>
      </c>
      <c r="D1469">
        <v>58.63</v>
      </c>
      <c r="E1469">
        <v>2.7709999999999999</v>
      </c>
      <c r="F1469">
        <v>215.2074519</v>
      </c>
      <c r="G1469">
        <v>1292346.57</v>
      </c>
      <c r="H1469" t="str">
        <f>TEXT(Ventas[[#This Row],[Fecha_venta]],"dd")</f>
        <v>19</v>
      </c>
      <c r="I1469" t="str">
        <f>TEXT(Ventas[[#This Row],[Fecha_venta]],"m")</f>
        <v>11</v>
      </c>
      <c r="J1469" t="str">
        <f>TEXT(Ventas[[#This Row],[Fecha_venta]],"yyyy")</f>
        <v>2010</v>
      </c>
    </row>
    <row r="1470" spans="1:10" x14ac:dyDescent="0.25">
      <c r="A1470">
        <v>11</v>
      </c>
      <c r="B1470" s="1">
        <v>40508</v>
      </c>
      <c r="C1470">
        <v>1</v>
      </c>
      <c r="D1470">
        <v>69.900000000000006</v>
      </c>
      <c r="E1470">
        <v>2.7349999999999999</v>
      </c>
      <c r="F1470">
        <v>215.06140250000001</v>
      </c>
      <c r="G1470">
        <v>1757242.51</v>
      </c>
      <c r="H1470" t="str">
        <f>TEXT(Ventas[[#This Row],[Fecha_venta]],"dd")</f>
        <v>26</v>
      </c>
      <c r="I1470" t="str">
        <f>TEXT(Ventas[[#This Row],[Fecha_venta]],"m")</f>
        <v>11</v>
      </c>
      <c r="J1470" t="str">
        <f>TEXT(Ventas[[#This Row],[Fecha_venta]],"yyyy")</f>
        <v>2010</v>
      </c>
    </row>
    <row r="1471" spans="1:10" x14ac:dyDescent="0.25">
      <c r="A1471">
        <v>11</v>
      </c>
      <c r="B1471" s="1">
        <v>40515</v>
      </c>
      <c r="C1471">
        <v>0</v>
      </c>
      <c r="D1471">
        <v>55.9</v>
      </c>
      <c r="E1471">
        <v>2.7080000000000002</v>
      </c>
      <c r="F1471">
        <v>214.9153531</v>
      </c>
      <c r="G1471">
        <v>1380522.64</v>
      </c>
      <c r="H1471" t="str">
        <f>TEXT(Ventas[[#This Row],[Fecha_venta]],"dd")</f>
        <v>03</v>
      </c>
      <c r="I1471" t="str">
        <f>TEXT(Ventas[[#This Row],[Fecha_venta]],"m")</f>
        <v>12</v>
      </c>
      <c r="J1471" t="str">
        <f>TEXT(Ventas[[#This Row],[Fecha_venta]],"yyyy")</f>
        <v>2010</v>
      </c>
    </row>
    <row r="1472" spans="1:10" x14ac:dyDescent="0.25">
      <c r="A1472">
        <v>11</v>
      </c>
      <c r="B1472" s="1">
        <v>40522</v>
      </c>
      <c r="C1472">
        <v>0</v>
      </c>
      <c r="D1472">
        <v>53.33</v>
      </c>
      <c r="E1472">
        <v>2.843</v>
      </c>
      <c r="F1472">
        <v>214.76930369999999</v>
      </c>
      <c r="G1472">
        <v>1564516.43</v>
      </c>
      <c r="H1472" t="str">
        <f>TEXT(Ventas[[#This Row],[Fecha_venta]],"dd")</f>
        <v>10</v>
      </c>
      <c r="I1472" t="str">
        <f>TEXT(Ventas[[#This Row],[Fecha_venta]],"m")</f>
        <v>12</v>
      </c>
      <c r="J1472" t="str">
        <f>TEXT(Ventas[[#This Row],[Fecha_venta]],"yyyy")</f>
        <v>2010</v>
      </c>
    </row>
    <row r="1473" spans="1:10" x14ac:dyDescent="0.25">
      <c r="A1473">
        <v>11</v>
      </c>
      <c r="B1473" s="1">
        <v>40529</v>
      </c>
      <c r="C1473">
        <v>0</v>
      </c>
      <c r="D1473">
        <v>54.63</v>
      </c>
      <c r="E1473">
        <v>2.8690000000000002</v>
      </c>
      <c r="F1473">
        <v>214.70491899999999</v>
      </c>
      <c r="G1473">
        <v>1843971.15</v>
      </c>
      <c r="H1473" t="str">
        <f>TEXT(Ventas[[#This Row],[Fecha_venta]],"dd")</f>
        <v>17</v>
      </c>
      <c r="I1473" t="str">
        <f>TEXT(Ventas[[#This Row],[Fecha_venta]],"m")</f>
        <v>12</v>
      </c>
      <c r="J1473" t="str">
        <f>TEXT(Ventas[[#This Row],[Fecha_venta]],"yyyy")</f>
        <v>2010</v>
      </c>
    </row>
    <row r="1474" spans="1:10" x14ac:dyDescent="0.25">
      <c r="A1474">
        <v>11</v>
      </c>
      <c r="B1474" s="1">
        <v>40536</v>
      </c>
      <c r="C1474">
        <v>0</v>
      </c>
      <c r="D1474">
        <v>59.33</v>
      </c>
      <c r="E1474">
        <v>2.8860000000000001</v>
      </c>
      <c r="F1474">
        <v>214.70178279999999</v>
      </c>
      <c r="G1474">
        <v>2306265.36</v>
      </c>
      <c r="H1474" t="str">
        <f>TEXT(Ventas[[#This Row],[Fecha_venta]],"dd")</f>
        <v>24</v>
      </c>
      <c r="I1474" t="str">
        <f>TEXT(Ventas[[#This Row],[Fecha_venta]],"m")</f>
        <v>12</v>
      </c>
      <c r="J1474" t="str">
        <f>TEXT(Ventas[[#This Row],[Fecha_venta]],"yyyy")</f>
        <v>2010</v>
      </c>
    </row>
    <row r="1475" spans="1:10" x14ac:dyDescent="0.25">
      <c r="A1475">
        <v>11</v>
      </c>
      <c r="B1475" s="1">
        <v>40543</v>
      </c>
      <c r="C1475">
        <v>1</v>
      </c>
      <c r="D1475">
        <v>55.03</v>
      </c>
      <c r="E1475">
        <v>2.9430000000000001</v>
      </c>
      <c r="F1475">
        <v>214.69864659999999</v>
      </c>
      <c r="G1475">
        <v>1172003.1000000001</v>
      </c>
      <c r="H1475" t="str">
        <f>TEXT(Ventas[[#This Row],[Fecha_venta]],"dd")</f>
        <v>31</v>
      </c>
      <c r="I1475" t="str">
        <f>TEXT(Ventas[[#This Row],[Fecha_venta]],"m")</f>
        <v>12</v>
      </c>
      <c r="J1475" t="str">
        <f>TEXT(Ventas[[#This Row],[Fecha_venta]],"yyyy")</f>
        <v>2010</v>
      </c>
    </row>
    <row r="1476" spans="1:10" x14ac:dyDescent="0.25">
      <c r="A1476">
        <v>11</v>
      </c>
      <c r="B1476" s="1">
        <v>40550</v>
      </c>
      <c r="C1476">
        <v>0</v>
      </c>
      <c r="D1476">
        <v>54.43</v>
      </c>
      <c r="E1476">
        <v>2.976</v>
      </c>
      <c r="F1476">
        <v>214.69551039999999</v>
      </c>
      <c r="G1476">
        <v>1178905.44</v>
      </c>
      <c r="H1476" t="str">
        <f>TEXT(Ventas[[#This Row],[Fecha_venta]],"dd")</f>
        <v>07</v>
      </c>
      <c r="I1476" t="str">
        <f>TEXT(Ventas[[#This Row],[Fecha_venta]],"m")</f>
        <v>1</v>
      </c>
      <c r="J1476" t="str">
        <f>TEXT(Ventas[[#This Row],[Fecha_venta]],"yyyy")</f>
        <v>2011</v>
      </c>
    </row>
    <row r="1477" spans="1:10" x14ac:dyDescent="0.25">
      <c r="A1477">
        <v>11</v>
      </c>
      <c r="B1477" s="1">
        <v>40557</v>
      </c>
      <c r="C1477">
        <v>0</v>
      </c>
      <c r="D1477">
        <v>45.34</v>
      </c>
      <c r="E1477">
        <v>2.9830000000000001</v>
      </c>
      <c r="F1477">
        <v>214.74707290000001</v>
      </c>
      <c r="G1477">
        <v>1194449.78</v>
      </c>
      <c r="H1477" t="str">
        <f>TEXT(Ventas[[#This Row],[Fecha_venta]],"dd")</f>
        <v>14</v>
      </c>
      <c r="I1477" t="str">
        <f>TEXT(Ventas[[#This Row],[Fecha_venta]],"m")</f>
        <v>1</v>
      </c>
      <c r="J1477" t="str">
        <f>TEXT(Ventas[[#This Row],[Fecha_venta]],"yyyy")</f>
        <v>2011</v>
      </c>
    </row>
    <row r="1478" spans="1:10" x14ac:dyDescent="0.25">
      <c r="A1478">
        <v>11</v>
      </c>
      <c r="B1478" s="1">
        <v>40564</v>
      </c>
      <c r="C1478">
        <v>0</v>
      </c>
      <c r="D1478">
        <v>51.51</v>
      </c>
      <c r="E1478">
        <v>3.016</v>
      </c>
      <c r="F1478">
        <v>215.12682749999999</v>
      </c>
      <c r="G1478">
        <v>1187776.19</v>
      </c>
      <c r="H1478" t="str">
        <f>TEXT(Ventas[[#This Row],[Fecha_venta]],"dd")</f>
        <v>21</v>
      </c>
      <c r="I1478" t="str">
        <f>TEXT(Ventas[[#This Row],[Fecha_venta]],"m")</f>
        <v>1</v>
      </c>
      <c r="J1478" t="str">
        <f>TEXT(Ventas[[#This Row],[Fecha_venta]],"yyyy")</f>
        <v>2011</v>
      </c>
    </row>
    <row r="1479" spans="1:10" x14ac:dyDescent="0.25">
      <c r="A1479">
        <v>11</v>
      </c>
      <c r="B1479" s="1">
        <v>40571</v>
      </c>
      <c r="C1479">
        <v>0</v>
      </c>
      <c r="D1479">
        <v>51.04</v>
      </c>
      <c r="E1479">
        <v>3.01</v>
      </c>
      <c r="F1479">
        <v>215.5065821</v>
      </c>
      <c r="G1479">
        <v>1100418.69</v>
      </c>
      <c r="H1479" t="str">
        <f>TEXT(Ventas[[#This Row],[Fecha_venta]],"dd")</f>
        <v>28</v>
      </c>
      <c r="I1479" t="str">
        <f>TEXT(Ventas[[#This Row],[Fecha_venta]],"m")</f>
        <v>1</v>
      </c>
      <c r="J1479" t="str">
        <f>TEXT(Ventas[[#This Row],[Fecha_venta]],"yyyy")</f>
        <v>2011</v>
      </c>
    </row>
    <row r="1480" spans="1:10" x14ac:dyDescent="0.25">
      <c r="A1480">
        <v>11</v>
      </c>
      <c r="B1480" s="1">
        <v>40578</v>
      </c>
      <c r="C1480">
        <v>0</v>
      </c>
      <c r="D1480">
        <v>47.17</v>
      </c>
      <c r="E1480">
        <v>2.9889999999999999</v>
      </c>
      <c r="F1480">
        <v>215.88633669999999</v>
      </c>
      <c r="G1480">
        <v>1422546.05</v>
      </c>
      <c r="H1480" t="str">
        <f>TEXT(Ventas[[#This Row],[Fecha_venta]],"dd")</f>
        <v>04</v>
      </c>
      <c r="I1480" t="str">
        <f>TEXT(Ventas[[#This Row],[Fecha_venta]],"m")</f>
        <v>2</v>
      </c>
      <c r="J1480" t="str">
        <f>TEXT(Ventas[[#This Row],[Fecha_venta]],"yyyy")</f>
        <v>2011</v>
      </c>
    </row>
    <row r="1481" spans="1:10" x14ac:dyDescent="0.25">
      <c r="A1481">
        <v>11</v>
      </c>
      <c r="B1481" s="1">
        <v>40585</v>
      </c>
      <c r="C1481">
        <v>1</v>
      </c>
      <c r="D1481">
        <v>44.61</v>
      </c>
      <c r="E1481">
        <v>3.0219999999999998</v>
      </c>
      <c r="F1481">
        <v>216.2660913</v>
      </c>
      <c r="G1481">
        <v>1419236.9</v>
      </c>
      <c r="H1481" t="str">
        <f>TEXT(Ventas[[#This Row],[Fecha_venta]],"dd")</f>
        <v>11</v>
      </c>
      <c r="I1481" t="str">
        <f>TEXT(Ventas[[#This Row],[Fecha_venta]],"m")</f>
        <v>2</v>
      </c>
      <c r="J1481" t="str">
        <f>TEXT(Ventas[[#This Row],[Fecha_venta]],"yyyy")</f>
        <v>2011</v>
      </c>
    </row>
    <row r="1482" spans="1:10" x14ac:dyDescent="0.25">
      <c r="A1482">
        <v>11</v>
      </c>
      <c r="B1482" s="1">
        <v>40592</v>
      </c>
      <c r="C1482">
        <v>0</v>
      </c>
      <c r="D1482">
        <v>61.5</v>
      </c>
      <c r="E1482">
        <v>3.0449999999999999</v>
      </c>
      <c r="F1482">
        <v>216.58435710000001</v>
      </c>
      <c r="G1482">
        <v>1554747.15</v>
      </c>
      <c r="H1482" t="str">
        <f>TEXT(Ventas[[#This Row],[Fecha_venta]],"dd")</f>
        <v>18</v>
      </c>
      <c r="I1482" t="str">
        <f>TEXT(Ventas[[#This Row],[Fecha_venta]],"m")</f>
        <v>2</v>
      </c>
      <c r="J1482" t="str">
        <f>TEXT(Ventas[[#This Row],[Fecha_venta]],"yyyy")</f>
        <v>2011</v>
      </c>
    </row>
    <row r="1483" spans="1:10" x14ac:dyDescent="0.25">
      <c r="A1483">
        <v>11</v>
      </c>
      <c r="B1483" s="1">
        <v>40599</v>
      </c>
      <c r="C1483">
        <v>0</v>
      </c>
      <c r="D1483">
        <v>68.739999999999995</v>
      </c>
      <c r="E1483">
        <v>3.0649999999999999</v>
      </c>
      <c r="F1483">
        <v>216.8780275</v>
      </c>
      <c r="G1483">
        <v>1323999.3600000001</v>
      </c>
      <c r="H1483" t="str">
        <f>TEXT(Ventas[[#This Row],[Fecha_venta]],"dd")</f>
        <v>25</v>
      </c>
      <c r="I1483" t="str">
        <f>TEXT(Ventas[[#This Row],[Fecha_venta]],"m")</f>
        <v>2</v>
      </c>
      <c r="J1483" t="str">
        <f>TEXT(Ventas[[#This Row],[Fecha_venta]],"yyyy")</f>
        <v>2011</v>
      </c>
    </row>
    <row r="1484" spans="1:10" x14ac:dyDescent="0.25">
      <c r="A1484">
        <v>11</v>
      </c>
      <c r="B1484" s="1">
        <v>40606</v>
      </c>
      <c r="C1484">
        <v>0</v>
      </c>
      <c r="D1484">
        <v>66.5</v>
      </c>
      <c r="E1484">
        <v>3.2879999999999998</v>
      </c>
      <c r="F1484">
        <v>217.1716979</v>
      </c>
      <c r="G1484">
        <v>1399456.99</v>
      </c>
      <c r="H1484" t="str">
        <f>TEXT(Ventas[[#This Row],[Fecha_venta]],"dd")</f>
        <v>04</v>
      </c>
      <c r="I1484" t="str">
        <f>TEXT(Ventas[[#This Row],[Fecha_venta]],"m")</f>
        <v>3</v>
      </c>
      <c r="J1484" t="str">
        <f>TEXT(Ventas[[#This Row],[Fecha_venta]],"yyyy")</f>
        <v>2011</v>
      </c>
    </row>
    <row r="1485" spans="1:10" x14ac:dyDescent="0.25">
      <c r="A1485">
        <v>11</v>
      </c>
      <c r="B1485" s="1">
        <v>40613</v>
      </c>
      <c r="C1485">
        <v>0</v>
      </c>
      <c r="D1485">
        <v>63.29</v>
      </c>
      <c r="E1485">
        <v>3.4590000000000001</v>
      </c>
      <c r="F1485">
        <v>217.46536829999999</v>
      </c>
      <c r="G1485">
        <v>1314557.31</v>
      </c>
      <c r="H1485" t="str">
        <f>TEXT(Ventas[[#This Row],[Fecha_venta]],"dd")</f>
        <v>11</v>
      </c>
      <c r="I1485" t="str">
        <f>TEXT(Ventas[[#This Row],[Fecha_venta]],"m")</f>
        <v>3</v>
      </c>
      <c r="J1485" t="str">
        <f>TEXT(Ventas[[#This Row],[Fecha_venta]],"yyyy")</f>
        <v>2011</v>
      </c>
    </row>
    <row r="1486" spans="1:10" x14ac:dyDescent="0.25">
      <c r="A1486">
        <v>11</v>
      </c>
      <c r="B1486" s="1">
        <v>40620</v>
      </c>
      <c r="C1486">
        <v>0</v>
      </c>
      <c r="D1486">
        <v>70.17</v>
      </c>
      <c r="E1486">
        <v>3.488</v>
      </c>
      <c r="F1486">
        <v>217.7235226</v>
      </c>
      <c r="G1486">
        <v>1391813.69</v>
      </c>
      <c r="H1486" t="str">
        <f>TEXT(Ventas[[#This Row],[Fecha_venta]],"dd")</f>
        <v>18</v>
      </c>
      <c r="I1486" t="str">
        <f>TEXT(Ventas[[#This Row],[Fecha_venta]],"m")</f>
        <v>3</v>
      </c>
      <c r="J1486" t="str">
        <f>TEXT(Ventas[[#This Row],[Fecha_venta]],"yyyy")</f>
        <v>2011</v>
      </c>
    </row>
    <row r="1487" spans="1:10" x14ac:dyDescent="0.25">
      <c r="A1487">
        <v>11</v>
      </c>
      <c r="B1487" s="1">
        <v>40627</v>
      </c>
      <c r="C1487">
        <v>0</v>
      </c>
      <c r="D1487">
        <v>73.739999999999995</v>
      </c>
      <c r="E1487">
        <v>3.4729999999999999</v>
      </c>
      <c r="F1487">
        <v>217.96747049999999</v>
      </c>
      <c r="G1487">
        <v>1229777.24</v>
      </c>
      <c r="H1487" t="str">
        <f>TEXT(Ventas[[#This Row],[Fecha_venta]],"dd")</f>
        <v>25</v>
      </c>
      <c r="I1487" t="str">
        <f>TEXT(Ventas[[#This Row],[Fecha_venta]],"m")</f>
        <v>3</v>
      </c>
      <c r="J1487" t="str">
        <f>TEXT(Ventas[[#This Row],[Fecha_venta]],"yyyy")</f>
        <v>2011</v>
      </c>
    </row>
    <row r="1488" spans="1:10" x14ac:dyDescent="0.25">
      <c r="A1488">
        <v>11</v>
      </c>
      <c r="B1488" s="1">
        <v>40634</v>
      </c>
      <c r="C1488">
        <v>0</v>
      </c>
      <c r="D1488">
        <v>69.099999999999994</v>
      </c>
      <c r="E1488">
        <v>3.524</v>
      </c>
      <c r="F1488">
        <v>218.21141840000001</v>
      </c>
      <c r="G1488">
        <v>1258674.1200000001</v>
      </c>
      <c r="H1488" t="str">
        <f>TEXT(Ventas[[#This Row],[Fecha_venta]],"dd")</f>
        <v>01</v>
      </c>
      <c r="I1488" t="str">
        <f>TEXT(Ventas[[#This Row],[Fecha_venta]],"m")</f>
        <v>4</v>
      </c>
      <c r="J1488" t="str">
        <f>TEXT(Ventas[[#This Row],[Fecha_venta]],"yyyy")</f>
        <v>2011</v>
      </c>
    </row>
    <row r="1489" spans="1:10" x14ac:dyDescent="0.25">
      <c r="A1489">
        <v>11</v>
      </c>
      <c r="B1489" s="1">
        <v>40641</v>
      </c>
      <c r="C1489">
        <v>0</v>
      </c>
      <c r="D1489">
        <v>73.569999999999993</v>
      </c>
      <c r="E1489">
        <v>3.6219999999999999</v>
      </c>
      <c r="F1489">
        <v>218.45536630000001</v>
      </c>
      <c r="G1489">
        <v>1327401.06</v>
      </c>
      <c r="H1489" t="str">
        <f>TEXT(Ventas[[#This Row],[Fecha_venta]],"dd")</f>
        <v>08</v>
      </c>
      <c r="I1489" t="str">
        <f>TEXT(Ventas[[#This Row],[Fecha_venta]],"m")</f>
        <v>4</v>
      </c>
      <c r="J1489" t="str">
        <f>TEXT(Ventas[[#This Row],[Fecha_venta]],"yyyy")</f>
        <v>2011</v>
      </c>
    </row>
    <row r="1490" spans="1:10" x14ac:dyDescent="0.25">
      <c r="A1490">
        <v>11</v>
      </c>
      <c r="B1490" s="1">
        <v>40648</v>
      </c>
      <c r="C1490">
        <v>0</v>
      </c>
      <c r="D1490">
        <v>76.64</v>
      </c>
      <c r="E1490">
        <v>3.7429999999999999</v>
      </c>
      <c r="F1490">
        <v>218.67886419999999</v>
      </c>
      <c r="G1490">
        <v>1312905.8</v>
      </c>
      <c r="H1490" t="str">
        <f>TEXT(Ventas[[#This Row],[Fecha_venta]],"dd")</f>
        <v>15</v>
      </c>
      <c r="I1490" t="str">
        <f>TEXT(Ventas[[#This Row],[Fecha_venta]],"m")</f>
        <v>4</v>
      </c>
      <c r="J1490" t="str">
        <f>TEXT(Ventas[[#This Row],[Fecha_venta]],"yyyy")</f>
        <v>2011</v>
      </c>
    </row>
    <row r="1491" spans="1:10" x14ac:dyDescent="0.25">
      <c r="A1491">
        <v>11</v>
      </c>
      <c r="B1491" s="1">
        <v>40655</v>
      </c>
      <c r="C1491">
        <v>0</v>
      </c>
      <c r="D1491">
        <v>78.31</v>
      </c>
      <c r="E1491">
        <v>3.8069999999999999</v>
      </c>
      <c r="F1491">
        <v>218.851237</v>
      </c>
      <c r="G1491">
        <v>1388118.53</v>
      </c>
      <c r="H1491" t="str">
        <f>TEXT(Ventas[[#This Row],[Fecha_venta]],"dd")</f>
        <v>22</v>
      </c>
      <c r="I1491" t="str">
        <f>TEXT(Ventas[[#This Row],[Fecha_venta]],"m")</f>
        <v>4</v>
      </c>
      <c r="J1491" t="str">
        <f>TEXT(Ventas[[#This Row],[Fecha_venta]],"yyyy")</f>
        <v>2011</v>
      </c>
    </row>
    <row r="1492" spans="1:10" x14ac:dyDescent="0.25">
      <c r="A1492">
        <v>11</v>
      </c>
      <c r="B1492" s="1">
        <v>40662</v>
      </c>
      <c r="C1492">
        <v>0</v>
      </c>
      <c r="D1492">
        <v>79.97</v>
      </c>
      <c r="E1492">
        <v>3.81</v>
      </c>
      <c r="F1492">
        <v>219.0236099</v>
      </c>
      <c r="G1492">
        <v>1357589.89</v>
      </c>
      <c r="H1492" t="str">
        <f>TEXT(Ventas[[#This Row],[Fecha_venta]],"dd")</f>
        <v>29</v>
      </c>
      <c r="I1492" t="str">
        <f>TEXT(Ventas[[#This Row],[Fecha_venta]],"m")</f>
        <v>4</v>
      </c>
      <c r="J1492" t="str">
        <f>TEXT(Ventas[[#This Row],[Fecha_venta]],"yyyy")</f>
        <v>2011</v>
      </c>
    </row>
    <row r="1493" spans="1:10" x14ac:dyDescent="0.25">
      <c r="A1493">
        <v>11</v>
      </c>
      <c r="B1493" s="1">
        <v>40669</v>
      </c>
      <c r="C1493">
        <v>0</v>
      </c>
      <c r="D1493">
        <v>71.39</v>
      </c>
      <c r="E1493">
        <v>3.9060000000000001</v>
      </c>
      <c r="F1493">
        <v>219.1959827</v>
      </c>
      <c r="G1493">
        <v>1331453.4099999999</v>
      </c>
      <c r="H1493" t="str">
        <f>TEXT(Ventas[[#This Row],[Fecha_venta]],"dd")</f>
        <v>06</v>
      </c>
      <c r="I1493" t="str">
        <f>TEXT(Ventas[[#This Row],[Fecha_venta]],"m")</f>
        <v>5</v>
      </c>
      <c r="J1493" t="str">
        <f>TEXT(Ventas[[#This Row],[Fecha_venta]],"yyyy")</f>
        <v>2011</v>
      </c>
    </row>
    <row r="1494" spans="1:10" x14ac:dyDescent="0.25">
      <c r="A1494">
        <v>11</v>
      </c>
      <c r="B1494" s="1">
        <v>40676</v>
      </c>
      <c r="C1494">
        <v>0</v>
      </c>
      <c r="D1494">
        <v>80.930000000000007</v>
      </c>
      <c r="E1494">
        <v>3.899</v>
      </c>
      <c r="F1494">
        <v>219.3683556</v>
      </c>
      <c r="G1494">
        <v>1277959.42</v>
      </c>
      <c r="H1494" t="str">
        <f>TEXT(Ventas[[#This Row],[Fecha_venta]],"dd")</f>
        <v>13</v>
      </c>
      <c r="I1494" t="str">
        <f>TEXT(Ventas[[#This Row],[Fecha_venta]],"m")</f>
        <v>5</v>
      </c>
      <c r="J1494" t="str">
        <f>TEXT(Ventas[[#This Row],[Fecha_venta]],"yyyy")</f>
        <v>2011</v>
      </c>
    </row>
    <row r="1495" spans="1:10" x14ac:dyDescent="0.25">
      <c r="A1495">
        <v>11</v>
      </c>
      <c r="B1495" s="1">
        <v>40683</v>
      </c>
      <c r="C1495">
        <v>0</v>
      </c>
      <c r="D1495">
        <v>76.97</v>
      </c>
      <c r="E1495">
        <v>3.907</v>
      </c>
      <c r="F1495">
        <v>219.127216</v>
      </c>
      <c r="G1495">
        <v>1239466.97</v>
      </c>
      <c r="H1495" t="str">
        <f>TEXT(Ventas[[#This Row],[Fecha_venta]],"dd")</f>
        <v>20</v>
      </c>
      <c r="I1495" t="str">
        <f>TEXT(Ventas[[#This Row],[Fecha_venta]],"m")</f>
        <v>5</v>
      </c>
      <c r="J1495" t="str">
        <f>TEXT(Ventas[[#This Row],[Fecha_venta]],"yyyy")</f>
        <v>2011</v>
      </c>
    </row>
    <row r="1496" spans="1:10" x14ac:dyDescent="0.25">
      <c r="A1496">
        <v>11</v>
      </c>
      <c r="B1496" s="1">
        <v>40690</v>
      </c>
      <c r="C1496">
        <v>0</v>
      </c>
      <c r="D1496">
        <v>85.61</v>
      </c>
      <c r="E1496">
        <v>3.786</v>
      </c>
      <c r="F1496">
        <v>218.8860765</v>
      </c>
      <c r="G1496">
        <v>1216876.52</v>
      </c>
      <c r="H1496" t="str">
        <f>TEXT(Ventas[[#This Row],[Fecha_venta]],"dd")</f>
        <v>27</v>
      </c>
      <c r="I1496" t="str">
        <f>TEXT(Ventas[[#This Row],[Fecha_venta]],"m")</f>
        <v>5</v>
      </c>
      <c r="J1496" t="str">
        <f>TEXT(Ventas[[#This Row],[Fecha_venta]],"yyyy")</f>
        <v>2011</v>
      </c>
    </row>
    <row r="1497" spans="1:10" x14ac:dyDescent="0.25">
      <c r="A1497">
        <v>11</v>
      </c>
      <c r="B1497" s="1">
        <v>40697</v>
      </c>
      <c r="C1497">
        <v>0</v>
      </c>
      <c r="D1497">
        <v>86.14</v>
      </c>
      <c r="E1497">
        <v>3.6989999999999998</v>
      </c>
      <c r="F1497">
        <v>218.6449369</v>
      </c>
      <c r="G1497">
        <v>1343637</v>
      </c>
      <c r="H1497" t="str">
        <f>TEXT(Ventas[[#This Row],[Fecha_venta]],"dd")</f>
        <v>03</v>
      </c>
      <c r="I1497" t="str">
        <f>TEXT(Ventas[[#This Row],[Fecha_venta]],"m")</f>
        <v>6</v>
      </c>
      <c r="J1497" t="str">
        <f>TEXT(Ventas[[#This Row],[Fecha_venta]],"yyyy")</f>
        <v>2011</v>
      </c>
    </row>
    <row r="1498" spans="1:10" x14ac:dyDescent="0.25">
      <c r="A1498">
        <v>11</v>
      </c>
      <c r="B1498" s="1">
        <v>40704</v>
      </c>
      <c r="C1498">
        <v>0</v>
      </c>
      <c r="D1498">
        <v>85.79</v>
      </c>
      <c r="E1498">
        <v>3.6480000000000001</v>
      </c>
      <c r="F1498">
        <v>218.4037974</v>
      </c>
      <c r="G1498">
        <v>1314626.75</v>
      </c>
      <c r="H1498" t="str">
        <f>TEXT(Ventas[[#This Row],[Fecha_venta]],"dd")</f>
        <v>10</v>
      </c>
      <c r="I1498" t="str">
        <f>TEXT(Ventas[[#This Row],[Fecha_venta]],"m")</f>
        <v>6</v>
      </c>
      <c r="J1498" t="str">
        <f>TEXT(Ventas[[#This Row],[Fecha_venta]],"yyyy")</f>
        <v>2011</v>
      </c>
    </row>
    <row r="1499" spans="1:10" x14ac:dyDescent="0.25">
      <c r="A1499">
        <v>11</v>
      </c>
      <c r="B1499" s="1">
        <v>40711</v>
      </c>
      <c r="C1499">
        <v>0</v>
      </c>
      <c r="D1499">
        <v>87.9</v>
      </c>
      <c r="E1499">
        <v>3.637</v>
      </c>
      <c r="F1499">
        <v>218.35517479999999</v>
      </c>
      <c r="G1499">
        <v>1337506.74</v>
      </c>
      <c r="H1499" t="str">
        <f>TEXT(Ventas[[#This Row],[Fecha_venta]],"dd")</f>
        <v>17</v>
      </c>
      <c r="I1499" t="str">
        <f>TEXT(Ventas[[#This Row],[Fecha_venta]],"m")</f>
        <v>6</v>
      </c>
      <c r="J1499" t="str">
        <f>TEXT(Ventas[[#This Row],[Fecha_venta]],"yyyy")</f>
        <v>2011</v>
      </c>
    </row>
    <row r="1500" spans="1:10" x14ac:dyDescent="0.25">
      <c r="A1500">
        <v>11</v>
      </c>
      <c r="B1500" s="1">
        <v>40718</v>
      </c>
      <c r="C1500">
        <v>0</v>
      </c>
      <c r="D1500">
        <v>86.13</v>
      </c>
      <c r="E1500">
        <v>3.5939999999999999</v>
      </c>
      <c r="F1500">
        <v>218.45094</v>
      </c>
      <c r="G1500">
        <v>1254587.8400000001</v>
      </c>
      <c r="H1500" t="str">
        <f>TEXT(Ventas[[#This Row],[Fecha_venta]],"dd")</f>
        <v>24</v>
      </c>
      <c r="I1500" t="str">
        <f>TEXT(Ventas[[#This Row],[Fecha_venta]],"m")</f>
        <v>6</v>
      </c>
      <c r="J1500" t="str">
        <f>TEXT(Ventas[[#This Row],[Fecha_venta]],"yyyy")</f>
        <v>2011</v>
      </c>
    </row>
    <row r="1501" spans="1:10" x14ac:dyDescent="0.25">
      <c r="A1501">
        <v>11</v>
      </c>
      <c r="B1501" s="1">
        <v>40725</v>
      </c>
      <c r="C1501">
        <v>0</v>
      </c>
      <c r="D1501">
        <v>86.43</v>
      </c>
      <c r="E1501">
        <v>3.524</v>
      </c>
      <c r="F1501">
        <v>218.54670519999999</v>
      </c>
      <c r="G1501">
        <v>1297472.06</v>
      </c>
      <c r="H1501" t="str">
        <f>TEXT(Ventas[[#This Row],[Fecha_venta]],"dd")</f>
        <v>01</v>
      </c>
      <c r="I1501" t="str">
        <f>TEXT(Ventas[[#This Row],[Fecha_venta]],"m")</f>
        <v>7</v>
      </c>
      <c r="J1501" t="str">
        <f>TEXT(Ventas[[#This Row],[Fecha_venta]],"yyyy")</f>
        <v>2011</v>
      </c>
    </row>
    <row r="1502" spans="1:10" x14ac:dyDescent="0.25">
      <c r="A1502">
        <v>11</v>
      </c>
      <c r="B1502" s="1">
        <v>40732</v>
      </c>
      <c r="C1502">
        <v>0</v>
      </c>
      <c r="D1502">
        <v>87.17</v>
      </c>
      <c r="E1502">
        <v>3.48</v>
      </c>
      <c r="F1502">
        <v>218.64247040000001</v>
      </c>
      <c r="G1502">
        <v>1334627.96</v>
      </c>
      <c r="H1502" t="str">
        <f>TEXT(Ventas[[#This Row],[Fecha_venta]],"dd")</f>
        <v>08</v>
      </c>
      <c r="I1502" t="str">
        <f>TEXT(Ventas[[#This Row],[Fecha_venta]],"m")</f>
        <v>7</v>
      </c>
      <c r="J1502" t="str">
        <f>TEXT(Ventas[[#This Row],[Fecha_venta]],"yyyy")</f>
        <v>2011</v>
      </c>
    </row>
    <row r="1503" spans="1:10" x14ac:dyDescent="0.25">
      <c r="A1503">
        <v>11</v>
      </c>
      <c r="B1503" s="1">
        <v>40739</v>
      </c>
      <c r="C1503">
        <v>0</v>
      </c>
      <c r="D1503">
        <v>88.3</v>
      </c>
      <c r="E1503">
        <v>3.5750000000000002</v>
      </c>
      <c r="F1503">
        <v>218.72752159999999</v>
      </c>
      <c r="G1503">
        <v>1266546.73</v>
      </c>
      <c r="H1503" t="str">
        <f>TEXT(Ventas[[#This Row],[Fecha_venta]],"dd")</f>
        <v>15</v>
      </c>
      <c r="I1503" t="str">
        <f>TEXT(Ventas[[#This Row],[Fecha_venta]],"m")</f>
        <v>7</v>
      </c>
      <c r="J1503" t="str">
        <f>TEXT(Ventas[[#This Row],[Fecha_venta]],"yyyy")</f>
        <v>2011</v>
      </c>
    </row>
    <row r="1504" spans="1:10" x14ac:dyDescent="0.25">
      <c r="A1504">
        <v>11</v>
      </c>
      <c r="B1504" s="1">
        <v>40746</v>
      </c>
      <c r="C1504">
        <v>0</v>
      </c>
      <c r="D1504">
        <v>87.8</v>
      </c>
      <c r="E1504">
        <v>3.6509999999999998</v>
      </c>
      <c r="F1504">
        <v>218.78578809999999</v>
      </c>
      <c r="G1504">
        <v>1290576.44</v>
      </c>
      <c r="H1504" t="str">
        <f>TEXT(Ventas[[#This Row],[Fecha_venta]],"dd")</f>
        <v>22</v>
      </c>
      <c r="I1504" t="str">
        <f>TEXT(Ventas[[#This Row],[Fecha_venta]],"m")</f>
        <v>7</v>
      </c>
      <c r="J1504" t="str">
        <f>TEXT(Ventas[[#This Row],[Fecha_venta]],"yyyy")</f>
        <v>2011</v>
      </c>
    </row>
    <row r="1505" spans="1:10" x14ac:dyDescent="0.25">
      <c r="A1505">
        <v>11</v>
      </c>
      <c r="B1505" s="1">
        <v>40753</v>
      </c>
      <c r="C1505">
        <v>0</v>
      </c>
      <c r="D1505">
        <v>89.46</v>
      </c>
      <c r="E1505">
        <v>1</v>
      </c>
      <c r="F1505">
        <v>218.8440545</v>
      </c>
      <c r="G1505">
        <v>1212938.67</v>
      </c>
      <c r="H1505" t="str">
        <f>TEXT(Ventas[[#This Row],[Fecha_venta]],"dd")</f>
        <v>29</v>
      </c>
      <c r="I1505" t="str">
        <f>TEXT(Ventas[[#This Row],[Fecha_venta]],"m")</f>
        <v>7</v>
      </c>
      <c r="J1505" t="str">
        <f>TEXT(Ventas[[#This Row],[Fecha_venta]],"yyyy")</f>
        <v>2011</v>
      </c>
    </row>
    <row r="1506" spans="1:10" x14ac:dyDescent="0.25">
      <c r="A1506">
        <v>11</v>
      </c>
      <c r="B1506" s="1">
        <v>40760</v>
      </c>
      <c r="C1506">
        <v>0</v>
      </c>
      <c r="D1506">
        <v>90.04</v>
      </c>
      <c r="E1506">
        <v>3.6840000000000002</v>
      </c>
      <c r="F1506">
        <v>218.90232090000001</v>
      </c>
      <c r="G1506">
        <v>1403198.94</v>
      </c>
      <c r="H1506" t="str">
        <f>TEXT(Ventas[[#This Row],[Fecha_venta]],"dd")</f>
        <v>05</v>
      </c>
      <c r="I1506" t="str">
        <f>TEXT(Ventas[[#This Row],[Fecha_venta]],"m")</f>
        <v>8</v>
      </c>
      <c r="J1506" t="str">
        <f>TEXT(Ventas[[#This Row],[Fecha_venta]],"yyyy")</f>
        <v>2011</v>
      </c>
    </row>
    <row r="1507" spans="1:10" x14ac:dyDescent="0.25">
      <c r="A1507">
        <v>11</v>
      </c>
      <c r="B1507" s="1">
        <v>40767</v>
      </c>
      <c r="C1507">
        <v>0</v>
      </c>
      <c r="D1507">
        <v>90.3</v>
      </c>
      <c r="E1507">
        <v>3.6379999999999999</v>
      </c>
      <c r="F1507">
        <v>218.96058729999999</v>
      </c>
      <c r="G1507">
        <v>1354188.43</v>
      </c>
      <c r="H1507" t="str">
        <f>TEXT(Ventas[[#This Row],[Fecha_venta]],"dd")</f>
        <v>12</v>
      </c>
      <c r="I1507" t="str">
        <f>TEXT(Ventas[[#This Row],[Fecha_venta]],"m")</f>
        <v>8</v>
      </c>
      <c r="J1507" t="str">
        <f>TEXT(Ventas[[#This Row],[Fecha_venta]],"yyyy")</f>
        <v>2011</v>
      </c>
    </row>
    <row r="1508" spans="1:10" x14ac:dyDescent="0.25">
      <c r="A1508">
        <v>11</v>
      </c>
      <c r="B1508" s="1">
        <v>40774</v>
      </c>
      <c r="C1508">
        <v>0</v>
      </c>
      <c r="D1508">
        <v>89.51</v>
      </c>
      <c r="E1508">
        <v>3.5539999999999998</v>
      </c>
      <c r="F1508">
        <v>219.02327099999999</v>
      </c>
      <c r="G1508">
        <v>1484169.74</v>
      </c>
      <c r="H1508" t="str">
        <f>TEXT(Ventas[[#This Row],[Fecha_venta]],"dd")</f>
        <v>19</v>
      </c>
      <c r="I1508" t="str">
        <f>TEXT(Ventas[[#This Row],[Fecha_venta]],"m")</f>
        <v>8</v>
      </c>
      <c r="J1508" t="str">
        <f>TEXT(Ventas[[#This Row],[Fecha_venta]],"yyyy")</f>
        <v>2011</v>
      </c>
    </row>
    <row r="1509" spans="1:10" x14ac:dyDescent="0.25">
      <c r="A1509">
        <v>11</v>
      </c>
      <c r="B1509" s="1">
        <v>40781</v>
      </c>
      <c r="C1509">
        <v>0</v>
      </c>
      <c r="D1509">
        <v>89.09</v>
      </c>
      <c r="E1509">
        <v>3.5230000000000001</v>
      </c>
      <c r="F1509">
        <v>219.08669080000001</v>
      </c>
      <c r="G1509">
        <v>1304706.75</v>
      </c>
      <c r="H1509" t="str">
        <f>TEXT(Ventas[[#This Row],[Fecha_venta]],"dd")</f>
        <v>26</v>
      </c>
      <c r="I1509" t="str">
        <f>TEXT(Ventas[[#This Row],[Fecha_venta]],"m")</f>
        <v>8</v>
      </c>
      <c r="J1509" t="str">
        <f>TEXT(Ventas[[#This Row],[Fecha_venta]],"yyyy")</f>
        <v>2011</v>
      </c>
    </row>
    <row r="1510" spans="1:10" x14ac:dyDescent="0.25">
      <c r="A1510">
        <v>11</v>
      </c>
      <c r="B1510" s="1">
        <v>40788</v>
      </c>
      <c r="C1510">
        <v>0</v>
      </c>
      <c r="D1510">
        <v>91.44</v>
      </c>
      <c r="E1510">
        <v>3.5329999999999999</v>
      </c>
      <c r="F1510">
        <v>219.1501106</v>
      </c>
      <c r="G1510">
        <v>1297792.4099999999</v>
      </c>
      <c r="H1510" t="str">
        <f>TEXT(Ventas[[#This Row],[Fecha_venta]],"dd")</f>
        <v>02</v>
      </c>
      <c r="I1510" t="str">
        <f>TEXT(Ventas[[#This Row],[Fecha_venta]],"m")</f>
        <v>9</v>
      </c>
      <c r="J1510" t="str">
        <f>TEXT(Ventas[[#This Row],[Fecha_venta]],"yyyy")</f>
        <v>2011</v>
      </c>
    </row>
    <row r="1511" spans="1:10" x14ac:dyDescent="0.25">
      <c r="A1511">
        <v>11</v>
      </c>
      <c r="B1511" s="1">
        <v>40795</v>
      </c>
      <c r="C1511">
        <v>1</v>
      </c>
      <c r="D1511">
        <v>84.91</v>
      </c>
      <c r="E1511">
        <v>3.5459999999999998</v>
      </c>
      <c r="F1511">
        <v>219.21353049999999</v>
      </c>
      <c r="G1511">
        <v>1249439.95</v>
      </c>
      <c r="H1511" t="str">
        <f>TEXT(Ventas[[#This Row],[Fecha_venta]],"dd")</f>
        <v>09</v>
      </c>
      <c r="I1511" t="str">
        <f>TEXT(Ventas[[#This Row],[Fecha_venta]],"m")</f>
        <v>9</v>
      </c>
      <c r="J1511" t="str">
        <f>TEXT(Ventas[[#This Row],[Fecha_venta]],"yyyy")</f>
        <v>2011</v>
      </c>
    </row>
    <row r="1512" spans="1:10" x14ac:dyDescent="0.25">
      <c r="A1512">
        <v>11</v>
      </c>
      <c r="B1512" s="1">
        <v>40802</v>
      </c>
      <c r="C1512">
        <v>0</v>
      </c>
      <c r="D1512">
        <v>85.11</v>
      </c>
      <c r="E1512">
        <v>3.5259999999999998</v>
      </c>
      <c r="F1512">
        <v>219.3972867</v>
      </c>
      <c r="G1512">
        <v>1270816.01</v>
      </c>
      <c r="H1512" t="str">
        <f>TEXT(Ventas[[#This Row],[Fecha_venta]],"dd")</f>
        <v>16</v>
      </c>
      <c r="I1512" t="str">
        <f>TEXT(Ventas[[#This Row],[Fecha_venta]],"m")</f>
        <v>9</v>
      </c>
      <c r="J1512" t="str">
        <f>TEXT(Ventas[[#This Row],[Fecha_venta]],"yyyy")</f>
        <v>2011</v>
      </c>
    </row>
    <row r="1513" spans="1:10" x14ac:dyDescent="0.25">
      <c r="A1513">
        <v>11</v>
      </c>
      <c r="B1513" s="1">
        <v>40809</v>
      </c>
      <c r="C1513">
        <v>0</v>
      </c>
      <c r="D1513">
        <v>82.14</v>
      </c>
      <c r="E1513">
        <v>3.4670000000000001</v>
      </c>
      <c r="F1513">
        <v>219.7414914</v>
      </c>
      <c r="G1513">
        <v>1235775.1499999999</v>
      </c>
      <c r="H1513" t="str">
        <f>TEXT(Ventas[[#This Row],[Fecha_venta]],"dd")</f>
        <v>23</v>
      </c>
      <c r="I1513" t="str">
        <f>TEXT(Ventas[[#This Row],[Fecha_venta]],"m")</f>
        <v>9</v>
      </c>
      <c r="J1513" t="str">
        <f>TEXT(Ventas[[#This Row],[Fecha_venta]],"yyyy")</f>
        <v>2011</v>
      </c>
    </row>
    <row r="1514" spans="1:10" x14ac:dyDescent="0.25">
      <c r="A1514">
        <v>11</v>
      </c>
      <c r="B1514" s="1">
        <v>40816</v>
      </c>
      <c r="C1514">
        <v>0</v>
      </c>
      <c r="D1514">
        <v>84.4</v>
      </c>
      <c r="E1514">
        <v>3.355</v>
      </c>
      <c r="F1514">
        <v>220.08569600000001</v>
      </c>
      <c r="G1514">
        <v>1190515.83</v>
      </c>
      <c r="H1514" t="str">
        <f>TEXT(Ventas[[#This Row],[Fecha_venta]],"dd")</f>
        <v>30</v>
      </c>
      <c r="I1514" t="str">
        <f>TEXT(Ventas[[#This Row],[Fecha_venta]],"m")</f>
        <v>9</v>
      </c>
      <c r="J1514" t="str">
        <f>TEXT(Ventas[[#This Row],[Fecha_venta]],"yyyy")</f>
        <v>2011</v>
      </c>
    </row>
    <row r="1515" spans="1:10" x14ac:dyDescent="0.25">
      <c r="A1515">
        <v>11</v>
      </c>
      <c r="B1515" s="1">
        <v>40823</v>
      </c>
      <c r="C1515">
        <v>0</v>
      </c>
      <c r="D1515">
        <v>76.97</v>
      </c>
      <c r="E1515">
        <v>3.2850000000000001</v>
      </c>
      <c r="F1515">
        <v>220.42990069999999</v>
      </c>
      <c r="G1515">
        <v>1346271.06</v>
      </c>
      <c r="H1515" t="str">
        <f>TEXT(Ventas[[#This Row],[Fecha_venta]],"dd")</f>
        <v>07</v>
      </c>
      <c r="I1515" t="str">
        <f>TEXT(Ventas[[#This Row],[Fecha_venta]],"m")</f>
        <v>10</v>
      </c>
      <c r="J1515" t="str">
        <f>TEXT(Ventas[[#This Row],[Fecha_venta]],"yyyy")</f>
        <v>2011</v>
      </c>
    </row>
    <row r="1516" spans="1:10" x14ac:dyDescent="0.25">
      <c r="A1516">
        <v>11</v>
      </c>
      <c r="B1516" s="1">
        <v>40830</v>
      </c>
      <c r="C1516">
        <v>0</v>
      </c>
      <c r="D1516">
        <v>75.56</v>
      </c>
      <c r="E1516">
        <v>3.274</v>
      </c>
      <c r="F1516">
        <v>220.74861670000001</v>
      </c>
      <c r="G1516">
        <v>1286388.96</v>
      </c>
      <c r="H1516" t="str">
        <f>TEXT(Ventas[[#This Row],[Fecha_venta]],"dd")</f>
        <v>14</v>
      </c>
      <c r="I1516" t="str">
        <f>TEXT(Ventas[[#This Row],[Fecha_venta]],"m")</f>
        <v>10</v>
      </c>
      <c r="J1516" t="str">
        <f>TEXT(Ventas[[#This Row],[Fecha_venta]],"yyyy")</f>
        <v>2011</v>
      </c>
    </row>
    <row r="1517" spans="1:10" x14ac:dyDescent="0.25">
      <c r="A1517">
        <v>11</v>
      </c>
      <c r="B1517" s="1">
        <v>40837</v>
      </c>
      <c r="C1517">
        <v>0</v>
      </c>
      <c r="D1517">
        <v>70.91</v>
      </c>
      <c r="E1517">
        <v>3.3530000000000002</v>
      </c>
      <c r="F1517">
        <v>220.9144005</v>
      </c>
      <c r="G1517">
        <v>1325107.53</v>
      </c>
      <c r="H1517" t="str">
        <f>TEXT(Ventas[[#This Row],[Fecha_venta]],"dd")</f>
        <v>21</v>
      </c>
      <c r="I1517" t="str">
        <f>TEXT(Ventas[[#This Row],[Fecha_venta]],"m")</f>
        <v>10</v>
      </c>
      <c r="J1517" t="str">
        <f>TEXT(Ventas[[#This Row],[Fecha_venta]],"yyyy")</f>
        <v>2011</v>
      </c>
    </row>
    <row r="1518" spans="1:10" x14ac:dyDescent="0.25">
      <c r="A1518">
        <v>11</v>
      </c>
      <c r="B1518" s="1">
        <v>40844</v>
      </c>
      <c r="C1518">
        <v>0</v>
      </c>
      <c r="D1518">
        <v>72.66</v>
      </c>
      <c r="E1518">
        <v>3.3719999999999999</v>
      </c>
      <c r="F1518">
        <v>221.08018419999999</v>
      </c>
      <c r="G1518">
        <v>1310684.1000000001</v>
      </c>
      <c r="H1518" t="str">
        <f>TEXT(Ventas[[#This Row],[Fecha_venta]],"dd")</f>
        <v>28</v>
      </c>
      <c r="I1518" t="str">
        <f>TEXT(Ventas[[#This Row],[Fecha_venta]],"m")</f>
        <v>10</v>
      </c>
      <c r="J1518" t="str">
        <f>TEXT(Ventas[[#This Row],[Fecha_venta]],"yyyy")</f>
        <v>2011</v>
      </c>
    </row>
    <row r="1519" spans="1:10" x14ac:dyDescent="0.25">
      <c r="A1519">
        <v>11</v>
      </c>
      <c r="B1519" s="1">
        <v>40851</v>
      </c>
      <c r="C1519">
        <v>0</v>
      </c>
      <c r="D1519">
        <v>61.13</v>
      </c>
      <c r="E1519">
        <v>3.3319999999999999</v>
      </c>
      <c r="F1519">
        <v>221.245968</v>
      </c>
      <c r="G1519">
        <v>1458287.38</v>
      </c>
      <c r="H1519" t="str">
        <f>TEXT(Ventas[[#This Row],[Fecha_venta]],"dd")</f>
        <v>04</v>
      </c>
      <c r="I1519" t="str">
        <f>TEXT(Ventas[[#This Row],[Fecha_venta]],"m")</f>
        <v>11</v>
      </c>
      <c r="J1519" t="str">
        <f>TEXT(Ventas[[#This Row],[Fecha_venta]],"yyyy")</f>
        <v>2011</v>
      </c>
    </row>
    <row r="1520" spans="1:10" x14ac:dyDescent="0.25">
      <c r="A1520">
        <v>11</v>
      </c>
      <c r="B1520" s="1">
        <v>40858</v>
      </c>
      <c r="C1520">
        <v>0</v>
      </c>
      <c r="D1520">
        <v>64.2</v>
      </c>
      <c r="E1520">
        <v>3.2970000000000002</v>
      </c>
      <c r="F1520">
        <v>221.4117517</v>
      </c>
      <c r="G1520">
        <v>1366053.69</v>
      </c>
      <c r="H1520" t="str">
        <f>TEXT(Ventas[[#This Row],[Fecha_venta]],"dd")</f>
        <v>11</v>
      </c>
      <c r="I1520" t="str">
        <f>TEXT(Ventas[[#This Row],[Fecha_venta]],"m")</f>
        <v>11</v>
      </c>
      <c r="J1520" t="str">
        <f>TEXT(Ventas[[#This Row],[Fecha_venta]],"yyyy")</f>
        <v>2011</v>
      </c>
    </row>
    <row r="1521" spans="1:10" x14ac:dyDescent="0.25">
      <c r="A1521">
        <v>11</v>
      </c>
      <c r="B1521" s="1">
        <v>40865</v>
      </c>
      <c r="C1521">
        <v>0</v>
      </c>
      <c r="D1521">
        <v>66.17</v>
      </c>
      <c r="E1521">
        <v>3.3079999999999998</v>
      </c>
      <c r="F1521">
        <v>221.64328520000001</v>
      </c>
      <c r="G1521">
        <v>1315091.6299999999</v>
      </c>
      <c r="H1521" t="str">
        <f>TEXT(Ventas[[#This Row],[Fecha_venta]],"dd")</f>
        <v>18</v>
      </c>
      <c r="I1521" t="str">
        <f>TEXT(Ventas[[#This Row],[Fecha_venta]],"m")</f>
        <v>11</v>
      </c>
      <c r="J1521" t="str">
        <f>TEXT(Ventas[[#This Row],[Fecha_venta]],"yyyy")</f>
        <v>2011</v>
      </c>
    </row>
    <row r="1522" spans="1:10" x14ac:dyDescent="0.25">
      <c r="A1522">
        <v>11</v>
      </c>
      <c r="B1522" s="1">
        <v>40872</v>
      </c>
      <c r="C1522">
        <v>1</v>
      </c>
      <c r="D1522">
        <v>70.03</v>
      </c>
      <c r="E1522">
        <v>3.2360000000000002</v>
      </c>
      <c r="F1522">
        <v>221.9011185</v>
      </c>
      <c r="G1522">
        <v>1848953.48</v>
      </c>
      <c r="H1522" t="str">
        <f>TEXT(Ventas[[#This Row],[Fecha_venta]],"dd")</f>
        <v>25</v>
      </c>
      <c r="I1522" t="str">
        <f>TEXT(Ventas[[#This Row],[Fecha_venta]],"m")</f>
        <v>11</v>
      </c>
      <c r="J1522" t="str">
        <f>TEXT(Ventas[[#This Row],[Fecha_venta]],"yyyy")</f>
        <v>2011</v>
      </c>
    </row>
    <row r="1523" spans="1:10" x14ac:dyDescent="0.25">
      <c r="A1523">
        <v>11</v>
      </c>
      <c r="B1523" s="1">
        <v>40879</v>
      </c>
      <c r="C1523">
        <v>0</v>
      </c>
      <c r="D1523">
        <v>56.89</v>
      </c>
      <c r="E1523">
        <v>3.1720000000000002</v>
      </c>
      <c r="F1523">
        <v>222.15895190000001</v>
      </c>
      <c r="G1523">
        <v>1399322.44</v>
      </c>
      <c r="H1523" t="str">
        <f>TEXT(Ventas[[#This Row],[Fecha_venta]],"dd")</f>
        <v>02</v>
      </c>
      <c r="I1523" t="str">
        <f>TEXT(Ventas[[#This Row],[Fecha_venta]],"m")</f>
        <v>12</v>
      </c>
      <c r="J1523" t="str">
        <f>TEXT(Ventas[[#This Row],[Fecha_venta]],"yyyy")</f>
        <v>2011</v>
      </c>
    </row>
    <row r="1524" spans="1:10" x14ac:dyDescent="0.25">
      <c r="A1524">
        <v>11</v>
      </c>
      <c r="B1524" s="1">
        <v>40886</v>
      </c>
      <c r="C1524">
        <v>0</v>
      </c>
      <c r="D1524">
        <v>50.63</v>
      </c>
      <c r="E1524">
        <v>3.1579999999999999</v>
      </c>
      <c r="F1524">
        <v>222.41678519999999</v>
      </c>
      <c r="G1524">
        <v>1646655.94</v>
      </c>
      <c r="H1524" t="str">
        <f>TEXT(Ventas[[#This Row],[Fecha_venta]],"dd")</f>
        <v>09</v>
      </c>
      <c r="I1524" t="str">
        <f>TEXT(Ventas[[#This Row],[Fecha_venta]],"m")</f>
        <v>12</v>
      </c>
      <c r="J1524" t="str">
        <f>TEXT(Ventas[[#This Row],[Fecha_venta]],"yyyy")</f>
        <v>2011</v>
      </c>
    </row>
    <row r="1525" spans="1:10" x14ac:dyDescent="0.25">
      <c r="A1525">
        <v>11</v>
      </c>
      <c r="B1525" s="1">
        <v>40893</v>
      </c>
      <c r="C1525">
        <v>0</v>
      </c>
      <c r="D1525">
        <v>59.69</v>
      </c>
      <c r="E1525">
        <v>3.1589999999999998</v>
      </c>
      <c r="F1525">
        <v>222.64264180000001</v>
      </c>
      <c r="G1525">
        <v>1783910.06</v>
      </c>
      <c r="H1525" t="str">
        <f>TEXT(Ventas[[#This Row],[Fecha_venta]],"dd")</f>
        <v>16</v>
      </c>
      <c r="I1525" t="str">
        <f>TEXT(Ventas[[#This Row],[Fecha_venta]],"m")</f>
        <v>12</v>
      </c>
      <c r="J1525" t="str">
        <f>TEXT(Ventas[[#This Row],[Fecha_venta]],"yyyy")</f>
        <v>2011</v>
      </c>
    </row>
    <row r="1526" spans="1:10" x14ac:dyDescent="0.25">
      <c r="A1526">
        <v>11</v>
      </c>
      <c r="B1526" s="1">
        <v>40900</v>
      </c>
      <c r="C1526">
        <v>0</v>
      </c>
      <c r="D1526">
        <v>54.29</v>
      </c>
      <c r="E1526">
        <v>3.1120000000000001</v>
      </c>
      <c r="F1526">
        <v>222.82586280000001</v>
      </c>
      <c r="G1526">
        <v>2213518.5</v>
      </c>
      <c r="H1526" t="str">
        <f>TEXT(Ventas[[#This Row],[Fecha_venta]],"dd")</f>
        <v>23</v>
      </c>
      <c r="I1526" t="str">
        <f>TEXT(Ventas[[#This Row],[Fecha_venta]],"m")</f>
        <v>12</v>
      </c>
      <c r="J1526" t="str">
        <f>TEXT(Ventas[[#This Row],[Fecha_venta]],"yyyy")</f>
        <v>2011</v>
      </c>
    </row>
    <row r="1527" spans="1:10" x14ac:dyDescent="0.25">
      <c r="A1527">
        <v>11</v>
      </c>
      <c r="B1527" s="1">
        <v>40907</v>
      </c>
      <c r="C1527">
        <v>1</v>
      </c>
      <c r="D1527">
        <v>48.86</v>
      </c>
      <c r="E1527">
        <v>3.129</v>
      </c>
      <c r="F1527">
        <v>223.00908390000001</v>
      </c>
      <c r="G1527">
        <v>1352084.21</v>
      </c>
      <c r="H1527" t="str">
        <f>TEXT(Ventas[[#This Row],[Fecha_venta]],"dd")</f>
        <v>30</v>
      </c>
      <c r="I1527" t="str">
        <f>TEXT(Ventas[[#This Row],[Fecha_venta]],"m")</f>
        <v>12</v>
      </c>
      <c r="J1527" t="str">
        <f>TEXT(Ventas[[#This Row],[Fecha_venta]],"yyyy")</f>
        <v>2011</v>
      </c>
    </row>
    <row r="1528" spans="1:10" x14ac:dyDescent="0.25">
      <c r="A1528">
        <v>11</v>
      </c>
      <c r="B1528" s="1">
        <v>40914</v>
      </c>
      <c r="C1528">
        <v>0</v>
      </c>
      <c r="D1528">
        <v>54.44</v>
      </c>
      <c r="E1528">
        <v>3.157</v>
      </c>
      <c r="F1528">
        <v>223.19230490000001</v>
      </c>
      <c r="G1528">
        <v>1283885.55</v>
      </c>
      <c r="H1528" t="str">
        <f>TEXT(Ventas[[#This Row],[Fecha_venta]],"dd")</f>
        <v>06</v>
      </c>
      <c r="I1528" t="str">
        <f>TEXT(Ventas[[#This Row],[Fecha_venta]],"m")</f>
        <v>1</v>
      </c>
      <c r="J1528" t="str">
        <f>TEXT(Ventas[[#This Row],[Fecha_venta]],"yyyy")</f>
        <v>2012</v>
      </c>
    </row>
    <row r="1529" spans="1:10" x14ac:dyDescent="0.25">
      <c r="A1529">
        <v>11</v>
      </c>
      <c r="B1529" s="1">
        <v>40921</v>
      </c>
      <c r="C1529">
        <v>0</v>
      </c>
      <c r="D1529">
        <v>53.1</v>
      </c>
      <c r="E1529">
        <v>3.2610000000000001</v>
      </c>
      <c r="F1529">
        <v>223.37552590000001</v>
      </c>
      <c r="G1529">
        <v>1264736.5900000001</v>
      </c>
      <c r="H1529" t="str">
        <f>TEXT(Ventas[[#This Row],[Fecha_venta]],"dd")</f>
        <v>13</v>
      </c>
      <c r="I1529" t="str">
        <f>TEXT(Ventas[[#This Row],[Fecha_venta]],"m")</f>
        <v>1</v>
      </c>
      <c r="J1529" t="str">
        <f>TEXT(Ventas[[#This Row],[Fecha_venta]],"yyyy")</f>
        <v>2012</v>
      </c>
    </row>
    <row r="1530" spans="1:10" x14ac:dyDescent="0.25">
      <c r="A1530">
        <v>11</v>
      </c>
      <c r="B1530" s="1">
        <v>40928</v>
      </c>
      <c r="C1530">
        <v>0</v>
      </c>
      <c r="D1530">
        <v>56.43</v>
      </c>
      <c r="E1530">
        <v>3.2679999999999998</v>
      </c>
      <c r="F1530">
        <v>223.47005519999999</v>
      </c>
      <c r="G1530">
        <v>1207303.29</v>
      </c>
      <c r="H1530" t="str">
        <f>TEXT(Ventas[[#This Row],[Fecha_venta]],"dd")</f>
        <v>20</v>
      </c>
      <c r="I1530" t="str">
        <f>TEXT(Ventas[[#This Row],[Fecha_venta]],"m")</f>
        <v>1</v>
      </c>
      <c r="J1530" t="str">
        <f>TEXT(Ventas[[#This Row],[Fecha_venta]],"yyyy")</f>
        <v>2012</v>
      </c>
    </row>
    <row r="1531" spans="1:10" x14ac:dyDescent="0.25">
      <c r="A1531">
        <v>11</v>
      </c>
      <c r="B1531" s="1">
        <v>40935</v>
      </c>
      <c r="C1531">
        <v>0</v>
      </c>
      <c r="D1531">
        <v>58.36</v>
      </c>
      <c r="E1531">
        <v>3.29</v>
      </c>
      <c r="F1531">
        <v>223.5645845</v>
      </c>
      <c r="G1531">
        <v>1162675.8500000001</v>
      </c>
      <c r="H1531" t="str">
        <f>TEXT(Ventas[[#This Row],[Fecha_venta]],"dd")</f>
        <v>27</v>
      </c>
      <c r="I1531" t="str">
        <f>TEXT(Ventas[[#This Row],[Fecha_venta]],"m")</f>
        <v>1</v>
      </c>
      <c r="J1531" t="str">
        <f>TEXT(Ventas[[#This Row],[Fecha_venta]],"yyyy")</f>
        <v>2012</v>
      </c>
    </row>
    <row r="1532" spans="1:10" x14ac:dyDescent="0.25">
      <c r="A1532">
        <v>11</v>
      </c>
      <c r="B1532" s="1">
        <v>40942</v>
      </c>
      <c r="C1532">
        <v>0</v>
      </c>
      <c r="D1532">
        <v>60.24</v>
      </c>
      <c r="E1532">
        <v>3.36</v>
      </c>
      <c r="F1532">
        <v>223.65911370000001</v>
      </c>
      <c r="G1532">
        <v>1376732.18</v>
      </c>
      <c r="H1532" t="str">
        <f>TEXT(Ventas[[#This Row],[Fecha_venta]],"dd")</f>
        <v>03</v>
      </c>
      <c r="I1532" t="str">
        <f>TEXT(Ventas[[#This Row],[Fecha_venta]],"m")</f>
        <v>2</v>
      </c>
      <c r="J1532" t="str">
        <f>TEXT(Ventas[[#This Row],[Fecha_venta]],"yyyy")</f>
        <v>2012</v>
      </c>
    </row>
    <row r="1533" spans="1:10" x14ac:dyDescent="0.25">
      <c r="A1533">
        <v>11</v>
      </c>
      <c r="B1533" s="1">
        <v>40949</v>
      </c>
      <c r="C1533">
        <v>1</v>
      </c>
      <c r="D1533">
        <v>52.23</v>
      </c>
      <c r="E1533">
        <v>3.4089999999999998</v>
      </c>
      <c r="F1533">
        <v>223.75364300000001</v>
      </c>
      <c r="G1533">
        <v>1574287.76</v>
      </c>
      <c r="H1533" t="str">
        <f>TEXT(Ventas[[#This Row],[Fecha_venta]],"dd")</f>
        <v>10</v>
      </c>
      <c r="I1533" t="str">
        <f>TEXT(Ventas[[#This Row],[Fecha_venta]],"m")</f>
        <v>2</v>
      </c>
      <c r="J1533" t="str">
        <f>TEXT(Ventas[[#This Row],[Fecha_venta]],"yyyy")</f>
        <v>2012</v>
      </c>
    </row>
    <row r="1534" spans="1:10" x14ac:dyDescent="0.25">
      <c r="A1534">
        <v>11</v>
      </c>
      <c r="B1534" s="1">
        <v>40956</v>
      </c>
      <c r="C1534">
        <v>0</v>
      </c>
      <c r="D1534">
        <v>52.77</v>
      </c>
      <c r="E1534">
        <v>3.51</v>
      </c>
      <c r="F1534">
        <v>223.9170153</v>
      </c>
      <c r="G1534">
        <v>1569607.94</v>
      </c>
      <c r="H1534" t="str">
        <f>TEXT(Ventas[[#This Row],[Fecha_venta]],"dd")</f>
        <v>17</v>
      </c>
      <c r="I1534" t="str">
        <f>TEXT(Ventas[[#This Row],[Fecha_venta]],"m")</f>
        <v>2</v>
      </c>
      <c r="J1534" t="str">
        <f>TEXT(Ventas[[#This Row],[Fecha_venta]],"yyyy")</f>
        <v>2012</v>
      </c>
    </row>
    <row r="1535" spans="1:10" x14ac:dyDescent="0.25">
      <c r="A1535">
        <v>11</v>
      </c>
      <c r="B1535" s="1">
        <v>40963</v>
      </c>
      <c r="C1535">
        <v>0</v>
      </c>
      <c r="D1535">
        <v>61.11</v>
      </c>
      <c r="E1535">
        <v>3.5550000000000002</v>
      </c>
      <c r="F1535">
        <v>224.13201989999999</v>
      </c>
      <c r="G1535">
        <v>1379473.03</v>
      </c>
      <c r="H1535" t="str">
        <f>TEXT(Ventas[[#This Row],[Fecha_venta]],"dd")</f>
        <v>24</v>
      </c>
      <c r="I1535" t="str">
        <f>TEXT(Ventas[[#This Row],[Fecha_venta]],"m")</f>
        <v>2</v>
      </c>
      <c r="J1535" t="str">
        <f>TEXT(Ventas[[#This Row],[Fecha_venta]],"yyyy")</f>
        <v>2012</v>
      </c>
    </row>
    <row r="1536" spans="1:10" x14ac:dyDescent="0.25">
      <c r="A1536">
        <v>11</v>
      </c>
      <c r="B1536" s="1">
        <v>40970</v>
      </c>
      <c r="C1536">
        <v>0</v>
      </c>
      <c r="D1536">
        <v>62.61</v>
      </c>
      <c r="E1536">
        <v>3.63</v>
      </c>
      <c r="F1536">
        <v>224.3470245</v>
      </c>
      <c r="G1536">
        <v>1438383.44</v>
      </c>
      <c r="H1536" t="str">
        <f>TEXT(Ventas[[#This Row],[Fecha_venta]],"dd")</f>
        <v>02</v>
      </c>
      <c r="I1536" t="str">
        <f>TEXT(Ventas[[#This Row],[Fecha_venta]],"m")</f>
        <v>3</v>
      </c>
      <c r="J1536" t="str">
        <f>TEXT(Ventas[[#This Row],[Fecha_venta]],"yyyy")</f>
        <v>2012</v>
      </c>
    </row>
    <row r="1537" spans="1:10" x14ac:dyDescent="0.25">
      <c r="A1537">
        <v>11</v>
      </c>
      <c r="B1537" s="1">
        <v>40977</v>
      </c>
      <c r="C1537">
        <v>0</v>
      </c>
      <c r="D1537">
        <v>61.44</v>
      </c>
      <c r="E1537">
        <v>3.669</v>
      </c>
      <c r="F1537">
        <v>224.56202909999999</v>
      </c>
      <c r="G1537">
        <v>1413382.76</v>
      </c>
      <c r="H1537" t="str">
        <f>TEXT(Ventas[[#This Row],[Fecha_venta]],"dd")</f>
        <v>09</v>
      </c>
      <c r="I1537" t="str">
        <f>TEXT(Ventas[[#This Row],[Fecha_venta]],"m")</f>
        <v>3</v>
      </c>
      <c r="J1537" t="str">
        <f>TEXT(Ventas[[#This Row],[Fecha_venta]],"yyyy")</f>
        <v>2012</v>
      </c>
    </row>
    <row r="1538" spans="1:10" x14ac:dyDescent="0.25">
      <c r="A1538">
        <v>11</v>
      </c>
      <c r="B1538" s="1">
        <v>40984</v>
      </c>
      <c r="C1538">
        <v>0</v>
      </c>
      <c r="D1538">
        <v>64.209999999999994</v>
      </c>
      <c r="E1538">
        <v>3.734</v>
      </c>
      <c r="F1538">
        <v>224.7166953</v>
      </c>
      <c r="G1538">
        <v>1441884.28</v>
      </c>
      <c r="H1538" t="str">
        <f>TEXT(Ventas[[#This Row],[Fecha_venta]],"dd")</f>
        <v>16</v>
      </c>
      <c r="I1538" t="str">
        <f>TEXT(Ventas[[#This Row],[Fecha_venta]],"m")</f>
        <v>3</v>
      </c>
      <c r="J1538" t="str">
        <f>TEXT(Ventas[[#This Row],[Fecha_venta]],"yyyy")</f>
        <v>2012</v>
      </c>
    </row>
    <row r="1539" spans="1:10" x14ac:dyDescent="0.25">
      <c r="A1539">
        <v>11</v>
      </c>
      <c r="B1539" s="1">
        <v>40991</v>
      </c>
      <c r="C1539">
        <v>0</v>
      </c>
      <c r="D1539">
        <v>67.16</v>
      </c>
      <c r="E1539">
        <v>3.7869999999999999</v>
      </c>
      <c r="F1539">
        <v>224.7909104</v>
      </c>
      <c r="G1539">
        <v>1300593.6100000001</v>
      </c>
      <c r="H1539" t="str">
        <f>TEXT(Ventas[[#This Row],[Fecha_venta]],"dd")</f>
        <v>23</v>
      </c>
      <c r="I1539" t="str">
        <f>TEXT(Ventas[[#This Row],[Fecha_venta]],"m")</f>
        <v>3</v>
      </c>
      <c r="J1539" t="str">
        <f>TEXT(Ventas[[#This Row],[Fecha_venta]],"yyyy")</f>
        <v>2012</v>
      </c>
    </row>
    <row r="1540" spans="1:10" x14ac:dyDescent="0.25">
      <c r="A1540">
        <v>11</v>
      </c>
      <c r="B1540" s="1">
        <v>40998</v>
      </c>
      <c r="C1540">
        <v>0</v>
      </c>
      <c r="D1540">
        <v>70.23</v>
      </c>
      <c r="E1540">
        <v>3.8450000000000002</v>
      </c>
      <c r="F1540">
        <v>224.86512540000001</v>
      </c>
      <c r="G1540">
        <v>1300104.03</v>
      </c>
      <c r="H1540" t="str">
        <f>TEXT(Ventas[[#This Row],[Fecha_venta]],"dd")</f>
        <v>30</v>
      </c>
      <c r="I1540" t="str">
        <f>TEXT(Ventas[[#This Row],[Fecha_venta]],"m")</f>
        <v>3</v>
      </c>
      <c r="J1540" t="str">
        <f>TEXT(Ventas[[#This Row],[Fecha_venta]],"yyyy")</f>
        <v>2012</v>
      </c>
    </row>
    <row r="1541" spans="1:10" x14ac:dyDescent="0.25">
      <c r="A1541">
        <v>11</v>
      </c>
      <c r="B1541" s="1">
        <v>41005</v>
      </c>
      <c r="C1541">
        <v>0</v>
      </c>
      <c r="D1541">
        <v>74.19</v>
      </c>
      <c r="E1541">
        <v>3.891</v>
      </c>
      <c r="F1541">
        <v>224.93934049999999</v>
      </c>
      <c r="G1541">
        <v>1596325.01</v>
      </c>
      <c r="H1541" t="str">
        <f>TEXT(Ventas[[#This Row],[Fecha_venta]],"dd")</f>
        <v>06</v>
      </c>
      <c r="I1541" t="str">
        <f>TEXT(Ventas[[#This Row],[Fecha_venta]],"m")</f>
        <v>4</v>
      </c>
      <c r="J1541" t="str">
        <f>TEXT(Ventas[[#This Row],[Fecha_venta]],"yyyy")</f>
        <v>2012</v>
      </c>
    </row>
    <row r="1542" spans="1:10" x14ac:dyDescent="0.25">
      <c r="A1542">
        <v>11</v>
      </c>
      <c r="B1542" s="1">
        <v>41012</v>
      </c>
      <c r="C1542">
        <v>0</v>
      </c>
      <c r="D1542">
        <v>72.739999999999995</v>
      </c>
      <c r="E1542">
        <v>3.891</v>
      </c>
      <c r="F1542">
        <v>225.01355559999999</v>
      </c>
      <c r="G1542">
        <v>1472752.01</v>
      </c>
      <c r="H1542" t="str">
        <f>TEXT(Ventas[[#This Row],[Fecha_venta]],"dd")</f>
        <v>13</v>
      </c>
      <c r="I1542" t="str">
        <f>TEXT(Ventas[[#This Row],[Fecha_venta]],"m")</f>
        <v>4</v>
      </c>
      <c r="J1542" t="str">
        <f>TEXT(Ventas[[#This Row],[Fecha_venta]],"yyyy")</f>
        <v>2012</v>
      </c>
    </row>
    <row r="1543" spans="1:10" x14ac:dyDescent="0.25">
      <c r="A1543">
        <v>11</v>
      </c>
      <c r="B1543" s="1">
        <v>41019</v>
      </c>
      <c r="C1543">
        <v>0</v>
      </c>
      <c r="D1543">
        <v>71.97</v>
      </c>
      <c r="E1543">
        <v>3.8769999999999998</v>
      </c>
      <c r="F1543">
        <v>225.06895410000001</v>
      </c>
      <c r="G1543">
        <v>1315356.99</v>
      </c>
      <c r="H1543" t="str">
        <f>TEXT(Ventas[[#This Row],[Fecha_venta]],"dd")</f>
        <v>20</v>
      </c>
      <c r="I1543" t="str">
        <f>TEXT(Ventas[[#This Row],[Fecha_venta]],"m")</f>
        <v>4</v>
      </c>
      <c r="J1543" t="str">
        <f>TEXT(Ventas[[#This Row],[Fecha_venta]],"yyyy")</f>
        <v>2012</v>
      </c>
    </row>
    <row r="1544" spans="1:10" x14ac:dyDescent="0.25">
      <c r="A1544">
        <v>11</v>
      </c>
      <c r="B1544" s="1">
        <v>41026</v>
      </c>
      <c r="C1544">
        <v>0</v>
      </c>
      <c r="D1544">
        <v>73.400000000000006</v>
      </c>
      <c r="E1544">
        <v>3.8140000000000001</v>
      </c>
      <c r="F1544">
        <v>225.12435260000001</v>
      </c>
      <c r="G1544">
        <v>1236238.29</v>
      </c>
      <c r="H1544" t="str">
        <f>TEXT(Ventas[[#This Row],[Fecha_venta]],"dd")</f>
        <v>27</v>
      </c>
      <c r="I1544" t="str">
        <f>TEXT(Ventas[[#This Row],[Fecha_venta]],"m")</f>
        <v>4</v>
      </c>
      <c r="J1544" t="str">
        <f>TEXT(Ventas[[#This Row],[Fecha_venta]],"yyyy")</f>
        <v>2012</v>
      </c>
    </row>
    <row r="1545" spans="1:10" x14ac:dyDescent="0.25">
      <c r="A1545">
        <v>11</v>
      </c>
      <c r="B1545" s="1">
        <v>41033</v>
      </c>
      <c r="C1545">
        <v>0</v>
      </c>
      <c r="D1545">
        <v>79.069999999999993</v>
      </c>
      <c r="E1545">
        <v>3.7490000000000001</v>
      </c>
      <c r="F1545">
        <v>225.1797511</v>
      </c>
      <c r="G1545">
        <v>1370251.22</v>
      </c>
      <c r="H1545" t="str">
        <f>TEXT(Ventas[[#This Row],[Fecha_venta]],"dd")</f>
        <v>04</v>
      </c>
      <c r="I1545" t="str">
        <f>TEXT(Ventas[[#This Row],[Fecha_venta]],"m")</f>
        <v>5</v>
      </c>
      <c r="J1545" t="str">
        <f>TEXT(Ventas[[#This Row],[Fecha_venta]],"yyyy")</f>
        <v>2012</v>
      </c>
    </row>
    <row r="1546" spans="1:10" x14ac:dyDescent="0.25">
      <c r="A1546">
        <v>11</v>
      </c>
      <c r="B1546" s="1">
        <v>41040</v>
      </c>
      <c r="C1546">
        <v>0</v>
      </c>
      <c r="D1546">
        <v>75.13</v>
      </c>
      <c r="E1546">
        <v>3.6880000000000002</v>
      </c>
      <c r="F1546">
        <v>225.2351496</v>
      </c>
      <c r="G1546">
        <v>1300147.07</v>
      </c>
      <c r="H1546" t="str">
        <f>TEXT(Ventas[[#This Row],[Fecha_venta]],"dd")</f>
        <v>11</v>
      </c>
      <c r="I1546" t="str">
        <f>TEXT(Ventas[[#This Row],[Fecha_venta]],"m")</f>
        <v>5</v>
      </c>
      <c r="J1546" t="str">
        <f>TEXT(Ventas[[#This Row],[Fecha_venta]],"yyyy")</f>
        <v>2012</v>
      </c>
    </row>
    <row r="1547" spans="1:10" x14ac:dyDescent="0.25">
      <c r="A1547">
        <v>11</v>
      </c>
      <c r="B1547" s="1">
        <v>41047</v>
      </c>
      <c r="C1547">
        <v>0</v>
      </c>
      <c r="D1547">
        <v>72.53</v>
      </c>
      <c r="E1547">
        <v>3.63</v>
      </c>
      <c r="F1547">
        <v>225.25120240000001</v>
      </c>
      <c r="G1547">
        <v>1352442.31</v>
      </c>
      <c r="H1547" t="str">
        <f>TEXT(Ventas[[#This Row],[Fecha_venta]],"dd")</f>
        <v>18</v>
      </c>
      <c r="I1547" t="str">
        <f>TEXT(Ventas[[#This Row],[Fecha_venta]],"m")</f>
        <v>5</v>
      </c>
      <c r="J1547" t="str">
        <f>TEXT(Ventas[[#This Row],[Fecha_venta]],"yyyy")</f>
        <v>2012</v>
      </c>
    </row>
    <row r="1548" spans="1:10" x14ac:dyDescent="0.25">
      <c r="A1548">
        <v>11</v>
      </c>
      <c r="B1548" s="1">
        <v>41054</v>
      </c>
      <c r="C1548">
        <v>0</v>
      </c>
      <c r="D1548">
        <v>78.44</v>
      </c>
      <c r="E1548">
        <v>3.5609999999999999</v>
      </c>
      <c r="F1548">
        <v>225.25151679999999</v>
      </c>
      <c r="G1548">
        <v>1297335.8700000001</v>
      </c>
      <c r="H1548" t="str">
        <f>TEXT(Ventas[[#This Row],[Fecha_venta]],"dd")</f>
        <v>25</v>
      </c>
      <c r="I1548" t="str">
        <f>TEXT(Ventas[[#This Row],[Fecha_venta]],"m")</f>
        <v>5</v>
      </c>
      <c r="J1548" t="str">
        <f>TEXT(Ventas[[#This Row],[Fecha_venta]],"yyyy")</f>
        <v>2012</v>
      </c>
    </row>
    <row r="1549" spans="1:10" x14ac:dyDescent="0.25">
      <c r="A1549">
        <v>11</v>
      </c>
      <c r="B1549" s="1">
        <v>41061</v>
      </c>
      <c r="C1549">
        <v>0</v>
      </c>
      <c r="D1549">
        <v>81.67</v>
      </c>
      <c r="E1549">
        <v>3.5009999999999999</v>
      </c>
      <c r="F1549">
        <v>225.25183129999999</v>
      </c>
      <c r="G1549">
        <v>1361595.33</v>
      </c>
      <c r="H1549" t="str">
        <f>TEXT(Ventas[[#This Row],[Fecha_venta]],"dd")</f>
        <v>01</v>
      </c>
      <c r="I1549" t="str">
        <f>TEXT(Ventas[[#This Row],[Fecha_venta]],"m")</f>
        <v>6</v>
      </c>
      <c r="J1549" t="str">
        <f>TEXT(Ventas[[#This Row],[Fecha_venta]],"yyyy")</f>
        <v>2012</v>
      </c>
    </row>
    <row r="1550" spans="1:10" x14ac:dyDescent="0.25">
      <c r="A1550">
        <v>11</v>
      </c>
      <c r="B1550" s="1">
        <v>41068</v>
      </c>
      <c r="C1550">
        <v>0</v>
      </c>
      <c r="D1550">
        <v>82.1</v>
      </c>
      <c r="E1550">
        <v>3.452</v>
      </c>
      <c r="F1550">
        <v>225.25214579999999</v>
      </c>
      <c r="G1550">
        <v>1414343.53</v>
      </c>
      <c r="H1550" t="str">
        <f>TEXT(Ventas[[#This Row],[Fecha_venta]],"dd")</f>
        <v>08</v>
      </c>
      <c r="I1550" t="str">
        <f>TEXT(Ventas[[#This Row],[Fecha_venta]],"m")</f>
        <v>6</v>
      </c>
      <c r="J1550" t="str">
        <f>TEXT(Ventas[[#This Row],[Fecha_venta]],"yyyy")</f>
        <v>2012</v>
      </c>
    </row>
    <row r="1551" spans="1:10" x14ac:dyDescent="0.25">
      <c r="A1551">
        <v>11</v>
      </c>
      <c r="B1551" s="1">
        <v>41075</v>
      </c>
      <c r="C1551">
        <v>0</v>
      </c>
      <c r="D1551">
        <v>84.97</v>
      </c>
      <c r="E1551">
        <v>3.3929999999999998</v>
      </c>
      <c r="F1551">
        <v>225.26447949999999</v>
      </c>
      <c r="G1551">
        <v>1417875.42</v>
      </c>
      <c r="H1551" t="str">
        <f>TEXT(Ventas[[#This Row],[Fecha_venta]],"dd")</f>
        <v>15</v>
      </c>
      <c r="I1551" t="str">
        <f>TEXT(Ventas[[#This Row],[Fecha_venta]],"m")</f>
        <v>6</v>
      </c>
      <c r="J1551" t="str">
        <f>TEXT(Ventas[[#This Row],[Fecha_venta]],"yyyy")</f>
        <v>2012</v>
      </c>
    </row>
    <row r="1552" spans="1:10" x14ac:dyDescent="0.25">
      <c r="A1552">
        <v>11</v>
      </c>
      <c r="B1552" s="1">
        <v>41082</v>
      </c>
      <c r="C1552">
        <v>0</v>
      </c>
      <c r="D1552">
        <v>83.26</v>
      </c>
      <c r="E1552">
        <v>3.3460000000000001</v>
      </c>
      <c r="F1552">
        <v>225.3068615</v>
      </c>
      <c r="G1552">
        <v>1355680.3</v>
      </c>
      <c r="H1552" t="str">
        <f>TEXT(Ventas[[#This Row],[Fecha_venta]],"dd")</f>
        <v>22</v>
      </c>
      <c r="I1552" t="str">
        <f>TEXT(Ventas[[#This Row],[Fecha_venta]],"m")</f>
        <v>6</v>
      </c>
      <c r="J1552" t="str">
        <f>TEXT(Ventas[[#This Row],[Fecha_venta]],"yyyy")</f>
        <v>2012</v>
      </c>
    </row>
    <row r="1553" spans="1:10" x14ac:dyDescent="0.25">
      <c r="A1553">
        <v>11</v>
      </c>
      <c r="B1553" s="1">
        <v>41089</v>
      </c>
      <c r="C1553">
        <v>0</v>
      </c>
      <c r="D1553">
        <v>87.86</v>
      </c>
      <c r="E1553">
        <v>3.286</v>
      </c>
      <c r="F1553">
        <v>225.3492435</v>
      </c>
      <c r="G1553">
        <v>1297028.6000000001</v>
      </c>
      <c r="H1553" t="str">
        <f>TEXT(Ventas[[#This Row],[Fecha_venta]],"dd")</f>
        <v>29</v>
      </c>
      <c r="I1553" t="str">
        <f>TEXT(Ventas[[#This Row],[Fecha_venta]],"m")</f>
        <v>6</v>
      </c>
      <c r="J1553" t="str">
        <f>TEXT(Ventas[[#This Row],[Fecha_venta]],"yyyy")</f>
        <v>2012</v>
      </c>
    </row>
    <row r="1554" spans="1:10" x14ac:dyDescent="0.25">
      <c r="A1554">
        <v>11</v>
      </c>
      <c r="B1554" s="1">
        <v>41096</v>
      </c>
      <c r="C1554">
        <v>0</v>
      </c>
      <c r="D1554">
        <v>83.44</v>
      </c>
      <c r="E1554">
        <v>3.2269999999999999</v>
      </c>
      <c r="F1554">
        <v>225.39162540000001</v>
      </c>
      <c r="G1554">
        <v>1461129.94</v>
      </c>
      <c r="H1554" t="str">
        <f>TEXT(Ventas[[#This Row],[Fecha_venta]],"dd")</f>
        <v>06</v>
      </c>
      <c r="I1554" t="str">
        <f>TEXT(Ventas[[#This Row],[Fecha_venta]],"m")</f>
        <v>7</v>
      </c>
      <c r="J1554" t="str">
        <f>TEXT(Ventas[[#This Row],[Fecha_venta]],"yyyy")</f>
        <v>2012</v>
      </c>
    </row>
    <row r="1555" spans="1:10" x14ac:dyDescent="0.25">
      <c r="A1555">
        <v>11</v>
      </c>
      <c r="B1555" s="1">
        <v>41103</v>
      </c>
      <c r="C1555">
        <v>0</v>
      </c>
      <c r="D1555">
        <v>82.46</v>
      </c>
      <c r="E1555">
        <v>3.2559999999999998</v>
      </c>
      <c r="F1555">
        <v>225.43400740000001</v>
      </c>
      <c r="G1555">
        <v>1320239.51</v>
      </c>
      <c r="H1555" t="str">
        <f>TEXT(Ventas[[#This Row],[Fecha_venta]],"dd")</f>
        <v>13</v>
      </c>
      <c r="I1555" t="str">
        <f>TEXT(Ventas[[#This Row],[Fecha_venta]],"m")</f>
        <v>7</v>
      </c>
      <c r="J1555" t="str">
        <f>TEXT(Ventas[[#This Row],[Fecha_venta]],"yyyy")</f>
        <v>2012</v>
      </c>
    </row>
    <row r="1556" spans="1:10" x14ac:dyDescent="0.25">
      <c r="A1556">
        <v>11</v>
      </c>
      <c r="B1556" s="1">
        <v>41110</v>
      </c>
      <c r="C1556">
        <v>0</v>
      </c>
      <c r="D1556">
        <v>82.41</v>
      </c>
      <c r="E1556">
        <v>3.3109999999999999</v>
      </c>
      <c r="F1556">
        <v>225.44388269999999</v>
      </c>
      <c r="G1556">
        <v>1344483.81</v>
      </c>
      <c r="H1556" t="str">
        <f>TEXT(Ventas[[#This Row],[Fecha_venta]],"dd")</f>
        <v>20</v>
      </c>
      <c r="I1556" t="str">
        <f>TEXT(Ventas[[#This Row],[Fecha_venta]],"m")</f>
        <v>7</v>
      </c>
      <c r="J1556" t="str">
        <f>TEXT(Ventas[[#This Row],[Fecha_venta]],"yyyy")</f>
        <v>2012</v>
      </c>
    </row>
    <row r="1557" spans="1:10" x14ac:dyDescent="0.25">
      <c r="A1557">
        <v>11</v>
      </c>
      <c r="B1557" s="1">
        <v>41117</v>
      </c>
      <c r="C1557">
        <v>0</v>
      </c>
      <c r="D1557">
        <v>85.43</v>
      </c>
      <c r="E1557">
        <v>3.407</v>
      </c>
      <c r="F1557">
        <v>225.4537579</v>
      </c>
      <c r="G1557">
        <v>1272395.02</v>
      </c>
      <c r="H1557" t="str">
        <f>TEXT(Ventas[[#This Row],[Fecha_venta]],"dd")</f>
        <v>27</v>
      </c>
      <c r="I1557" t="str">
        <f>TEXT(Ventas[[#This Row],[Fecha_venta]],"m")</f>
        <v>7</v>
      </c>
      <c r="J1557" t="str">
        <f>TEXT(Ventas[[#This Row],[Fecha_venta]],"yyyy")</f>
        <v>2012</v>
      </c>
    </row>
    <row r="1558" spans="1:10" x14ac:dyDescent="0.25">
      <c r="A1558">
        <v>11</v>
      </c>
      <c r="B1558" s="1">
        <v>41124</v>
      </c>
      <c r="C1558">
        <v>0</v>
      </c>
      <c r="D1558">
        <v>86.94</v>
      </c>
      <c r="E1558">
        <v>3.4169999999999998</v>
      </c>
      <c r="F1558">
        <v>225.4636332</v>
      </c>
      <c r="G1558">
        <v>1399341.07</v>
      </c>
      <c r="H1558" t="str">
        <f>TEXT(Ventas[[#This Row],[Fecha_venta]],"dd")</f>
        <v>03</v>
      </c>
      <c r="I1558" t="str">
        <f>TEXT(Ventas[[#This Row],[Fecha_venta]],"m")</f>
        <v>8</v>
      </c>
      <c r="J1558" t="str">
        <f>TEXT(Ventas[[#This Row],[Fecha_venta]],"yyyy")</f>
        <v>2012</v>
      </c>
    </row>
    <row r="1559" spans="1:10" x14ac:dyDescent="0.25">
      <c r="A1559">
        <v>11</v>
      </c>
      <c r="B1559" s="1">
        <v>41131</v>
      </c>
      <c r="C1559">
        <v>0</v>
      </c>
      <c r="D1559">
        <v>86.21</v>
      </c>
      <c r="E1559">
        <v>3.4940000000000002</v>
      </c>
      <c r="F1559">
        <v>225.47350850000001</v>
      </c>
      <c r="G1559">
        <v>1388973.65</v>
      </c>
      <c r="H1559" t="str">
        <f>TEXT(Ventas[[#This Row],[Fecha_venta]],"dd")</f>
        <v>10</v>
      </c>
      <c r="I1559" t="str">
        <f>TEXT(Ventas[[#This Row],[Fecha_venta]],"m")</f>
        <v>8</v>
      </c>
      <c r="J1559" t="str">
        <f>TEXT(Ventas[[#This Row],[Fecha_venta]],"yyyy")</f>
        <v>2012</v>
      </c>
    </row>
    <row r="1560" spans="1:10" x14ac:dyDescent="0.25">
      <c r="A1560">
        <v>11</v>
      </c>
      <c r="B1560" s="1">
        <v>41138</v>
      </c>
      <c r="C1560">
        <v>0</v>
      </c>
      <c r="D1560">
        <v>87.73</v>
      </c>
      <c r="E1560">
        <v>3.5710000000000002</v>
      </c>
      <c r="F1560">
        <v>225.55586640000001</v>
      </c>
      <c r="G1560">
        <v>1421307.2</v>
      </c>
      <c r="H1560" t="str">
        <f>TEXT(Ventas[[#This Row],[Fecha_venta]],"dd")</f>
        <v>17</v>
      </c>
      <c r="I1560" t="str">
        <f>TEXT(Ventas[[#This Row],[Fecha_venta]],"m")</f>
        <v>8</v>
      </c>
      <c r="J1560" t="str">
        <f>TEXT(Ventas[[#This Row],[Fecha_venta]],"yyyy")</f>
        <v>2012</v>
      </c>
    </row>
    <row r="1561" spans="1:10" x14ac:dyDescent="0.25">
      <c r="A1561">
        <v>11</v>
      </c>
      <c r="B1561" s="1">
        <v>41145</v>
      </c>
      <c r="C1561">
        <v>0</v>
      </c>
      <c r="D1561">
        <v>83.17</v>
      </c>
      <c r="E1561">
        <v>3.62</v>
      </c>
      <c r="F1561">
        <v>225.69258640000001</v>
      </c>
      <c r="G1561">
        <v>1409515.73</v>
      </c>
      <c r="H1561" t="str">
        <f>TEXT(Ventas[[#This Row],[Fecha_venta]],"dd")</f>
        <v>24</v>
      </c>
      <c r="I1561" t="str">
        <f>TEXT(Ventas[[#This Row],[Fecha_venta]],"m")</f>
        <v>8</v>
      </c>
      <c r="J1561" t="str">
        <f>TEXT(Ventas[[#This Row],[Fecha_venta]],"yyyy")</f>
        <v>2012</v>
      </c>
    </row>
    <row r="1562" spans="1:10" x14ac:dyDescent="0.25">
      <c r="A1562">
        <v>11</v>
      </c>
      <c r="B1562" s="1">
        <v>41152</v>
      </c>
      <c r="C1562">
        <v>0</v>
      </c>
      <c r="D1562">
        <v>86.49</v>
      </c>
      <c r="E1562">
        <v>3.6379999999999999</v>
      </c>
      <c r="F1562">
        <v>225.82930630000001</v>
      </c>
      <c r="G1562">
        <v>1372872.35</v>
      </c>
      <c r="H1562" t="str">
        <f>TEXT(Ventas[[#This Row],[Fecha_venta]],"dd")</f>
        <v>31</v>
      </c>
      <c r="I1562" t="str">
        <f>TEXT(Ventas[[#This Row],[Fecha_venta]],"m")</f>
        <v>8</v>
      </c>
      <c r="J1562" t="str">
        <f>TEXT(Ventas[[#This Row],[Fecha_venta]],"yyyy")</f>
        <v>2012</v>
      </c>
    </row>
    <row r="1563" spans="1:10" x14ac:dyDescent="0.25">
      <c r="A1563">
        <v>11</v>
      </c>
      <c r="B1563" s="1">
        <v>41159</v>
      </c>
      <c r="C1563">
        <v>1</v>
      </c>
      <c r="D1563">
        <v>85.17</v>
      </c>
      <c r="E1563">
        <v>3.73</v>
      </c>
      <c r="F1563">
        <v>225.96602630000001</v>
      </c>
      <c r="G1563">
        <v>1304584.3999999999</v>
      </c>
      <c r="H1563" t="str">
        <f>TEXT(Ventas[[#This Row],[Fecha_venta]],"dd")</f>
        <v>07</v>
      </c>
      <c r="I1563" t="str">
        <f>TEXT(Ventas[[#This Row],[Fecha_venta]],"m")</f>
        <v>9</v>
      </c>
      <c r="J1563" t="str">
        <f>TEXT(Ventas[[#This Row],[Fecha_venta]],"yyyy")</f>
        <v>2012</v>
      </c>
    </row>
    <row r="1564" spans="1:10" x14ac:dyDescent="0.25">
      <c r="A1564">
        <v>11</v>
      </c>
      <c r="B1564" s="1">
        <v>41166</v>
      </c>
      <c r="C1564">
        <v>0</v>
      </c>
      <c r="D1564">
        <v>79.61</v>
      </c>
      <c r="E1564">
        <v>3.7170000000000001</v>
      </c>
      <c r="F1564">
        <v>226.1122067</v>
      </c>
      <c r="G1564">
        <v>1267675.05</v>
      </c>
      <c r="H1564" t="str">
        <f>TEXT(Ventas[[#This Row],[Fecha_venta]],"dd")</f>
        <v>14</v>
      </c>
      <c r="I1564" t="str">
        <f>TEXT(Ventas[[#This Row],[Fecha_venta]],"m")</f>
        <v>9</v>
      </c>
      <c r="J1564" t="str">
        <f>TEXT(Ventas[[#This Row],[Fecha_venta]],"yyyy")</f>
        <v>2012</v>
      </c>
    </row>
    <row r="1565" spans="1:10" x14ac:dyDescent="0.25">
      <c r="A1565">
        <v>11</v>
      </c>
      <c r="B1565" s="1">
        <v>41173</v>
      </c>
      <c r="C1565">
        <v>0</v>
      </c>
      <c r="D1565">
        <v>73.64</v>
      </c>
      <c r="E1565">
        <v>3.7210000000000001</v>
      </c>
      <c r="F1565">
        <v>226.31514960000001</v>
      </c>
      <c r="G1565">
        <v>1326132.98</v>
      </c>
      <c r="H1565" t="str">
        <f>TEXT(Ventas[[#This Row],[Fecha_venta]],"dd")</f>
        <v>21</v>
      </c>
      <c r="I1565" t="str">
        <f>TEXT(Ventas[[#This Row],[Fecha_venta]],"m")</f>
        <v>9</v>
      </c>
      <c r="J1565" t="str">
        <f>TEXT(Ventas[[#This Row],[Fecha_venta]],"yyyy")</f>
        <v>2012</v>
      </c>
    </row>
    <row r="1566" spans="1:10" x14ac:dyDescent="0.25">
      <c r="A1566">
        <v>11</v>
      </c>
      <c r="B1566" s="1">
        <v>41180</v>
      </c>
      <c r="C1566">
        <v>0</v>
      </c>
      <c r="D1566">
        <v>77.67</v>
      </c>
      <c r="E1566">
        <v>3.6659999999999999</v>
      </c>
      <c r="F1566">
        <v>226.51809259999999</v>
      </c>
      <c r="G1566">
        <v>1227430.73</v>
      </c>
      <c r="H1566" t="str">
        <f>TEXT(Ventas[[#This Row],[Fecha_venta]],"dd")</f>
        <v>28</v>
      </c>
      <c r="I1566" t="str">
        <f>TEXT(Ventas[[#This Row],[Fecha_venta]],"m")</f>
        <v>9</v>
      </c>
      <c r="J1566" t="str">
        <f>TEXT(Ventas[[#This Row],[Fecha_venta]],"yyyy")</f>
        <v>2012</v>
      </c>
    </row>
    <row r="1567" spans="1:10" x14ac:dyDescent="0.25">
      <c r="A1567">
        <v>11</v>
      </c>
      <c r="B1567" s="1">
        <v>41187</v>
      </c>
      <c r="C1567">
        <v>0</v>
      </c>
      <c r="D1567">
        <v>73.37</v>
      </c>
      <c r="E1567">
        <v>3.617</v>
      </c>
      <c r="F1567">
        <v>226.72103559999999</v>
      </c>
      <c r="G1567">
        <v>1422794.26</v>
      </c>
      <c r="H1567" t="str">
        <f>TEXT(Ventas[[#This Row],[Fecha_venta]],"dd")</f>
        <v>05</v>
      </c>
      <c r="I1567" t="str">
        <f>TEXT(Ventas[[#This Row],[Fecha_venta]],"m")</f>
        <v>10</v>
      </c>
      <c r="J1567" t="str">
        <f>TEXT(Ventas[[#This Row],[Fecha_venta]],"yyyy")</f>
        <v>2012</v>
      </c>
    </row>
    <row r="1568" spans="1:10" x14ac:dyDescent="0.25">
      <c r="A1568">
        <v>11</v>
      </c>
      <c r="B1568" s="1">
        <v>41194</v>
      </c>
      <c r="C1568">
        <v>0</v>
      </c>
      <c r="D1568">
        <v>69.94</v>
      </c>
      <c r="E1568">
        <v>3.601</v>
      </c>
      <c r="F1568">
        <v>226.9239785</v>
      </c>
      <c r="G1568">
        <v>1311965.0900000001</v>
      </c>
      <c r="H1568" t="str">
        <f>TEXT(Ventas[[#This Row],[Fecha_venta]],"dd")</f>
        <v>12</v>
      </c>
      <c r="I1568" t="str">
        <f>TEXT(Ventas[[#This Row],[Fecha_venta]],"m")</f>
        <v>10</v>
      </c>
      <c r="J1568" t="str">
        <f>TEXT(Ventas[[#This Row],[Fecha_venta]],"yyyy")</f>
        <v>2012</v>
      </c>
    </row>
    <row r="1569" spans="1:10" x14ac:dyDescent="0.25">
      <c r="A1569">
        <v>11</v>
      </c>
      <c r="B1569" s="1">
        <v>41201</v>
      </c>
      <c r="C1569">
        <v>0</v>
      </c>
      <c r="D1569">
        <v>73.77</v>
      </c>
      <c r="E1569">
        <v>3.5939999999999999</v>
      </c>
      <c r="F1569">
        <v>226.96884420000001</v>
      </c>
      <c r="G1569">
        <v>1232073.18</v>
      </c>
      <c r="H1569" t="str">
        <f>TEXT(Ventas[[#This Row],[Fecha_venta]],"dd")</f>
        <v>19</v>
      </c>
      <c r="I1569" t="str">
        <f>TEXT(Ventas[[#This Row],[Fecha_venta]],"m")</f>
        <v>10</v>
      </c>
      <c r="J1569" t="str">
        <f>TEXT(Ventas[[#This Row],[Fecha_venta]],"yyyy")</f>
        <v>2012</v>
      </c>
    </row>
    <row r="1570" spans="1:10" x14ac:dyDescent="0.25">
      <c r="A1570">
        <v>11</v>
      </c>
      <c r="B1570" s="1">
        <v>41208</v>
      </c>
      <c r="C1570">
        <v>0</v>
      </c>
      <c r="D1570">
        <v>74.260000000000005</v>
      </c>
      <c r="E1570">
        <v>3.5059999999999998</v>
      </c>
      <c r="F1570">
        <v>226.9873637</v>
      </c>
      <c r="G1570">
        <v>1200729.45</v>
      </c>
      <c r="H1570" t="str">
        <f>TEXT(Ventas[[#This Row],[Fecha_venta]],"dd")</f>
        <v>26</v>
      </c>
      <c r="I1570" t="str">
        <f>TEXT(Ventas[[#This Row],[Fecha_venta]],"m")</f>
        <v>10</v>
      </c>
      <c r="J1570" t="str">
        <f>TEXT(Ventas[[#This Row],[Fecha_venta]],"yyyy")</f>
        <v>2012</v>
      </c>
    </row>
    <row r="1571" spans="1:10" x14ac:dyDescent="0.25">
      <c r="A1571">
        <v>12</v>
      </c>
      <c r="B1571" s="1">
        <v>40214</v>
      </c>
      <c r="C1571">
        <v>0</v>
      </c>
      <c r="D1571">
        <v>49.47</v>
      </c>
      <c r="E1571">
        <v>2.9620000000000002</v>
      </c>
      <c r="F1571">
        <v>126.4420645</v>
      </c>
      <c r="G1571">
        <v>1100046.3700000001</v>
      </c>
      <c r="H1571" t="str">
        <f>TEXT(Ventas[[#This Row],[Fecha_venta]],"dd")</f>
        <v>05</v>
      </c>
      <c r="I1571" t="str">
        <f>TEXT(Ventas[[#This Row],[Fecha_venta]],"m")</f>
        <v>2</v>
      </c>
      <c r="J1571" t="str">
        <f>TEXT(Ventas[[#This Row],[Fecha_venta]],"yyyy")</f>
        <v>2010</v>
      </c>
    </row>
    <row r="1572" spans="1:10" x14ac:dyDescent="0.25">
      <c r="A1572">
        <v>12</v>
      </c>
      <c r="B1572" s="1">
        <v>40221</v>
      </c>
      <c r="C1572">
        <v>1</v>
      </c>
      <c r="D1572">
        <v>47.87</v>
      </c>
      <c r="E1572">
        <v>2.9460000000000002</v>
      </c>
      <c r="F1572">
        <v>126.49625810000001</v>
      </c>
      <c r="G1572">
        <v>1117863.33</v>
      </c>
      <c r="H1572" t="str">
        <f>TEXT(Ventas[[#This Row],[Fecha_venta]],"dd")</f>
        <v>12</v>
      </c>
      <c r="I1572" t="str">
        <f>TEXT(Ventas[[#This Row],[Fecha_venta]],"m")</f>
        <v>2</v>
      </c>
      <c r="J1572" t="str">
        <f>TEXT(Ventas[[#This Row],[Fecha_venta]],"yyyy")</f>
        <v>2010</v>
      </c>
    </row>
    <row r="1573" spans="1:10" x14ac:dyDescent="0.25">
      <c r="A1573">
        <v>12</v>
      </c>
      <c r="B1573" s="1">
        <v>40228</v>
      </c>
      <c r="C1573">
        <v>0</v>
      </c>
      <c r="D1573">
        <v>54.83</v>
      </c>
      <c r="E1573">
        <v>2.915</v>
      </c>
      <c r="F1573">
        <v>126.5262857</v>
      </c>
      <c r="G1573">
        <v>1095421.6499999999</v>
      </c>
      <c r="H1573" t="str">
        <f>TEXT(Ventas[[#This Row],[Fecha_venta]],"dd")</f>
        <v>19</v>
      </c>
      <c r="I1573" t="str">
        <f>TEXT(Ventas[[#This Row],[Fecha_venta]],"m")</f>
        <v>2</v>
      </c>
      <c r="J1573" t="str">
        <f>TEXT(Ventas[[#This Row],[Fecha_venta]],"yyyy")</f>
        <v>2010</v>
      </c>
    </row>
    <row r="1574" spans="1:10" x14ac:dyDescent="0.25">
      <c r="A1574">
        <v>12</v>
      </c>
      <c r="B1574" s="1">
        <v>40235</v>
      </c>
      <c r="C1574">
        <v>0</v>
      </c>
      <c r="D1574">
        <v>50.23</v>
      </c>
      <c r="E1574">
        <v>2.8250000000000002</v>
      </c>
      <c r="F1574">
        <v>126.5522857</v>
      </c>
      <c r="G1574">
        <v>1048617.17</v>
      </c>
      <c r="H1574" t="str">
        <f>TEXT(Ventas[[#This Row],[Fecha_venta]],"dd")</f>
        <v>26</v>
      </c>
      <c r="I1574" t="str">
        <f>TEXT(Ventas[[#This Row],[Fecha_venta]],"m")</f>
        <v>2</v>
      </c>
      <c r="J1574" t="str">
        <f>TEXT(Ventas[[#This Row],[Fecha_venta]],"yyyy")</f>
        <v>2010</v>
      </c>
    </row>
    <row r="1575" spans="1:10" x14ac:dyDescent="0.25">
      <c r="A1575">
        <v>12</v>
      </c>
      <c r="B1575" s="1">
        <v>40242</v>
      </c>
      <c r="C1575">
        <v>0</v>
      </c>
      <c r="D1575">
        <v>53.77</v>
      </c>
      <c r="E1575">
        <v>2.9870000000000001</v>
      </c>
      <c r="F1575">
        <v>126.5782857</v>
      </c>
      <c r="G1575">
        <v>1077018.27</v>
      </c>
      <c r="H1575" t="str">
        <f>TEXT(Ventas[[#This Row],[Fecha_venta]],"dd")</f>
        <v>05</v>
      </c>
      <c r="I1575" t="str">
        <f>TEXT(Ventas[[#This Row],[Fecha_venta]],"m")</f>
        <v>3</v>
      </c>
      <c r="J1575" t="str">
        <f>TEXT(Ventas[[#This Row],[Fecha_venta]],"yyyy")</f>
        <v>2010</v>
      </c>
    </row>
    <row r="1576" spans="1:10" x14ac:dyDescent="0.25">
      <c r="A1576">
        <v>12</v>
      </c>
      <c r="B1576" s="1">
        <v>40249</v>
      </c>
      <c r="C1576">
        <v>0</v>
      </c>
      <c r="D1576">
        <v>50.11</v>
      </c>
      <c r="E1576">
        <v>2.9249999999999998</v>
      </c>
      <c r="F1576">
        <v>126.60428570000001</v>
      </c>
      <c r="G1576">
        <v>985594.23</v>
      </c>
      <c r="H1576" t="str">
        <f>TEXT(Ventas[[#This Row],[Fecha_venta]],"dd")</f>
        <v>12</v>
      </c>
      <c r="I1576" t="str">
        <f>TEXT(Ventas[[#This Row],[Fecha_venta]],"m")</f>
        <v>3</v>
      </c>
      <c r="J1576" t="str">
        <f>TEXT(Ventas[[#This Row],[Fecha_venta]],"yyyy")</f>
        <v>2010</v>
      </c>
    </row>
    <row r="1577" spans="1:10" x14ac:dyDescent="0.25">
      <c r="A1577">
        <v>12</v>
      </c>
      <c r="B1577" s="1">
        <v>40256</v>
      </c>
      <c r="C1577">
        <v>0</v>
      </c>
      <c r="D1577">
        <v>59.57</v>
      </c>
      <c r="E1577">
        <v>3.0539999999999998</v>
      </c>
      <c r="F1577">
        <v>126.6066452</v>
      </c>
      <c r="G1577">
        <v>972088.34</v>
      </c>
      <c r="H1577" t="str">
        <f>TEXT(Ventas[[#This Row],[Fecha_venta]],"dd")</f>
        <v>19</v>
      </c>
      <c r="I1577" t="str">
        <f>TEXT(Ventas[[#This Row],[Fecha_venta]],"m")</f>
        <v>3</v>
      </c>
      <c r="J1577" t="str">
        <f>TEXT(Ventas[[#This Row],[Fecha_venta]],"yyyy")</f>
        <v>2010</v>
      </c>
    </row>
    <row r="1578" spans="1:10" x14ac:dyDescent="0.25">
      <c r="A1578">
        <v>12</v>
      </c>
      <c r="B1578" s="1">
        <v>40263</v>
      </c>
      <c r="C1578">
        <v>0</v>
      </c>
      <c r="D1578">
        <v>60.06</v>
      </c>
      <c r="E1578">
        <v>3.0830000000000002</v>
      </c>
      <c r="F1578">
        <v>126.6050645</v>
      </c>
      <c r="G1578">
        <v>981615.81</v>
      </c>
      <c r="H1578" t="str">
        <f>TEXT(Ventas[[#This Row],[Fecha_venta]],"dd")</f>
        <v>26</v>
      </c>
      <c r="I1578" t="str">
        <f>TEXT(Ventas[[#This Row],[Fecha_venta]],"m")</f>
        <v>3</v>
      </c>
      <c r="J1578" t="str">
        <f>TEXT(Ventas[[#This Row],[Fecha_venta]],"yyyy")</f>
        <v>2010</v>
      </c>
    </row>
    <row r="1579" spans="1:10" x14ac:dyDescent="0.25">
      <c r="A1579">
        <v>12</v>
      </c>
      <c r="B1579" s="1">
        <v>40270</v>
      </c>
      <c r="C1579">
        <v>0</v>
      </c>
      <c r="D1579">
        <v>59.84</v>
      </c>
      <c r="E1579">
        <v>3.0859999999999999</v>
      </c>
      <c r="F1579">
        <v>126.6034839</v>
      </c>
      <c r="G1579">
        <v>1011822.3</v>
      </c>
      <c r="H1579" t="str">
        <f>TEXT(Ventas[[#This Row],[Fecha_venta]],"dd")</f>
        <v>02</v>
      </c>
      <c r="I1579" t="str">
        <f>TEXT(Ventas[[#This Row],[Fecha_venta]],"m")</f>
        <v>4</v>
      </c>
      <c r="J1579" t="str">
        <f>TEXT(Ventas[[#This Row],[Fecha_venta]],"yyyy")</f>
        <v>2010</v>
      </c>
    </row>
    <row r="1580" spans="1:10" x14ac:dyDescent="0.25">
      <c r="A1580">
        <v>12</v>
      </c>
      <c r="B1580" s="1">
        <v>40277</v>
      </c>
      <c r="C1580">
        <v>0</v>
      </c>
      <c r="D1580">
        <v>59.25</v>
      </c>
      <c r="E1580">
        <v>3.09</v>
      </c>
      <c r="F1580">
        <v>126.6019032</v>
      </c>
      <c r="G1580">
        <v>1041238.87</v>
      </c>
      <c r="H1580" t="str">
        <f>TEXT(Ventas[[#This Row],[Fecha_venta]],"dd")</f>
        <v>09</v>
      </c>
      <c r="I1580" t="str">
        <f>TEXT(Ventas[[#This Row],[Fecha_venta]],"m")</f>
        <v>4</v>
      </c>
      <c r="J1580" t="str">
        <f>TEXT(Ventas[[#This Row],[Fecha_venta]],"yyyy")</f>
        <v>2010</v>
      </c>
    </row>
    <row r="1581" spans="1:10" x14ac:dyDescent="0.25">
      <c r="A1581">
        <v>12</v>
      </c>
      <c r="B1581" s="1">
        <v>40284</v>
      </c>
      <c r="C1581">
        <v>0</v>
      </c>
      <c r="D1581">
        <v>64.95</v>
      </c>
      <c r="E1581">
        <v>3.109</v>
      </c>
      <c r="F1581">
        <v>126.5621</v>
      </c>
      <c r="G1581">
        <v>957997.52</v>
      </c>
      <c r="H1581" t="str">
        <f>TEXT(Ventas[[#This Row],[Fecha_venta]],"dd")</f>
        <v>16</v>
      </c>
      <c r="I1581" t="str">
        <f>TEXT(Ventas[[#This Row],[Fecha_venta]],"m")</f>
        <v>4</v>
      </c>
      <c r="J1581" t="str">
        <f>TEXT(Ventas[[#This Row],[Fecha_venta]],"yyyy")</f>
        <v>2010</v>
      </c>
    </row>
    <row r="1582" spans="1:10" x14ac:dyDescent="0.25">
      <c r="A1582">
        <v>12</v>
      </c>
      <c r="B1582" s="1">
        <v>40291</v>
      </c>
      <c r="C1582">
        <v>0</v>
      </c>
      <c r="D1582">
        <v>64.55</v>
      </c>
      <c r="E1582">
        <v>3.05</v>
      </c>
      <c r="F1582">
        <v>126.4713333</v>
      </c>
      <c r="G1582">
        <v>993833.44</v>
      </c>
      <c r="H1582" t="str">
        <f>TEXT(Ventas[[#This Row],[Fecha_venta]],"dd")</f>
        <v>23</v>
      </c>
      <c r="I1582" t="str">
        <f>TEXT(Ventas[[#This Row],[Fecha_venta]],"m")</f>
        <v>4</v>
      </c>
      <c r="J1582" t="str">
        <f>TEXT(Ventas[[#This Row],[Fecha_venta]],"yyyy")</f>
        <v>2010</v>
      </c>
    </row>
    <row r="1583" spans="1:10" x14ac:dyDescent="0.25">
      <c r="A1583">
        <v>12</v>
      </c>
      <c r="B1583" s="1">
        <v>40298</v>
      </c>
      <c r="C1583">
        <v>0</v>
      </c>
      <c r="D1583">
        <v>67.38</v>
      </c>
      <c r="E1583">
        <v>3.105</v>
      </c>
      <c r="F1583">
        <v>126.3805667</v>
      </c>
      <c r="G1583">
        <v>954220.22</v>
      </c>
      <c r="H1583" t="str">
        <f>TEXT(Ventas[[#This Row],[Fecha_venta]],"dd")</f>
        <v>30</v>
      </c>
      <c r="I1583" t="str">
        <f>TEXT(Ventas[[#This Row],[Fecha_venta]],"m")</f>
        <v>4</v>
      </c>
      <c r="J1583" t="str">
        <f>TEXT(Ventas[[#This Row],[Fecha_venta]],"yyyy")</f>
        <v>2010</v>
      </c>
    </row>
    <row r="1584" spans="1:10" x14ac:dyDescent="0.25">
      <c r="A1584">
        <v>12</v>
      </c>
      <c r="B1584" s="1">
        <v>40305</v>
      </c>
      <c r="C1584">
        <v>0</v>
      </c>
      <c r="D1584">
        <v>70.150000000000006</v>
      </c>
      <c r="E1584">
        <v>3.1269999999999998</v>
      </c>
      <c r="F1584">
        <v>126.2898</v>
      </c>
      <c r="G1584">
        <v>1043240.27</v>
      </c>
      <c r="H1584" t="str">
        <f>TEXT(Ventas[[#This Row],[Fecha_venta]],"dd")</f>
        <v>07</v>
      </c>
      <c r="I1584" t="str">
        <f>TEXT(Ventas[[#This Row],[Fecha_venta]],"m")</f>
        <v>5</v>
      </c>
      <c r="J1584" t="str">
        <f>TEXT(Ventas[[#This Row],[Fecha_venta]],"yyyy")</f>
        <v>2010</v>
      </c>
    </row>
    <row r="1585" spans="1:10" x14ac:dyDescent="0.25">
      <c r="A1585">
        <v>12</v>
      </c>
      <c r="B1585" s="1">
        <v>40312</v>
      </c>
      <c r="C1585">
        <v>0</v>
      </c>
      <c r="D1585">
        <v>68.44</v>
      </c>
      <c r="E1585">
        <v>3.145</v>
      </c>
      <c r="F1585">
        <v>126.2085484</v>
      </c>
      <c r="G1585">
        <v>966054.97</v>
      </c>
      <c r="H1585" t="str">
        <f>TEXT(Ventas[[#This Row],[Fecha_venta]],"dd")</f>
        <v>14</v>
      </c>
      <c r="I1585" t="str">
        <f>TEXT(Ventas[[#This Row],[Fecha_venta]],"m")</f>
        <v>5</v>
      </c>
      <c r="J1585" t="str">
        <f>TEXT(Ventas[[#This Row],[Fecha_venta]],"yyyy")</f>
        <v>2010</v>
      </c>
    </row>
    <row r="1586" spans="1:10" x14ac:dyDescent="0.25">
      <c r="A1586">
        <v>12</v>
      </c>
      <c r="B1586" s="1">
        <v>40319</v>
      </c>
      <c r="C1586">
        <v>0</v>
      </c>
      <c r="D1586">
        <v>76.2</v>
      </c>
      <c r="E1586">
        <v>3.12</v>
      </c>
      <c r="F1586">
        <v>126.1843871</v>
      </c>
      <c r="G1586">
        <v>958374.56</v>
      </c>
      <c r="H1586" t="str">
        <f>TEXT(Ventas[[#This Row],[Fecha_venta]],"dd")</f>
        <v>21</v>
      </c>
      <c r="I1586" t="str">
        <f>TEXT(Ventas[[#This Row],[Fecha_venta]],"m")</f>
        <v>5</v>
      </c>
      <c r="J1586" t="str">
        <f>TEXT(Ventas[[#This Row],[Fecha_venta]],"yyyy")</f>
        <v>2010</v>
      </c>
    </row>
    <row r="1587" spans="1:10" x14ac:dyDescent="0.25">
      <c r="A1587">
        <v>12</v>
      </c>
      <c r="B1587" s="1">
        <v>40326</v>
      </c>
      <c r="C1587">
        <v>0</v>
      </c>
      <c r="D1587">
        <v>67.84</v>
      </c>
      <c r="E1587">
        <v>3.0579999999999998</v>
      </c>
      <c r="F1587">
        <v>126.16022580000001</v>
      </c>
      <c r="G1587">
        <v>955451.16</v>
      </c>
      <c r="H1587" t="str">
        <f>TEXT(Ventas[[#This Row],[Fecha_venta]],"dd")</f>
        <v>28</v>
      </c>
      <c r="I1587" t="str">
        <f>TEXT(Ventas[[#This Row],[Fecha_venta]],"m")</f>
        <v>5</v>
      </c>
      <c r="J1587" t="str">
        <f>TEXT(Ventas[[#This Row],[Fecha_venta]],"yyyy")</f>
        <v>2010</v>
      </c>
    </row>
    <row r="1588" spans="1:10" x14ac:dyDescent="0.25">
      <c r="A1588">
        <v>12</v>
      </c>
      <c r="B1588" s="1">
        <v>40333</v>
      </c>
      <c r="C1588">
        <v>0</v>
      </c>
      <c r="D1588">
        <v>81.39</v>
      </c>
      <c r="E1588">
        <v>2.9409999999999998</v>
      </c>
      <c r="F1588">
        <v>126.1360645</v>
      </c>
      <c r="G1588">
        <v>1049357.3600000001</v>
      </c>
      <c r="H1588" t="str">
        <f>TEXT(Ventas[[#This Row],[Fecha_venta]],"dd")</f>
        <v>04</v>
      </c>
      <c r="I1588" t="str">
        <f>TEXT(Ventas[[#This Row],[Fecha_venta]],"m")</f>
        <v>6</v>
      </c>
      <c r="J1588" t="str">
        <f>TEXT(Ventas[[#This Row],[Fecha_venta]],"yyyy")</f>
        <v>2010</v>
      </c>
    </row>
    <row r="1589" spans="1:10" x14ac:dyDescent="0.25">
      <c r="A1589">
        <v>12</v>
      </c>
      <c r="B1589" s="1">
        <v>40340</v>
      </c>
      <c r="C1589">
        <v>0</v>
      </c>
      <c r="D1589">
        <v>90.84</v>
      </c>
      <c r="E1589">
        <v>2.9489999999999998</v>
      </c>
      <c r="F1589">
        <v>126.1119032</v>
      </c>
      <c r="G1589">
        <v>1016039.71</v>
      </c>
      <c r="H1589" t="str">
        <f>TEXT(Ventas[[#This Row],[Fecha_venta]],"dd")</f>
        <v>11</v>
      </c>
      <c r="I1589" t="str">
        <f>TEXT(Ventas[[#This Row],[Fecha_venta]],"m")</f>
        <v>6</v>
      </c>
      <c r="J1589" t="str">
        <f>TEXT(Ventas[[#This Row],[Fecha_venta]],"yyyy")</f>
        <v>2010</v>
      </c>
    </row>
    <row r="1590" spans="1:10" x14ac:dyDescent="0.25">
      <c r="A1590">
        <v>12</v>
      </c>
      <c r="B1590" s="1">
        <v>40347</v>
      </c>
      <c r="C1590">
        <v>0</v>
      </c>
      <c r="D1590">
        <v>81.06</v>
      </c>
      <c r="E1590">
        <v>3.0430000000000001</v>
      </c>
      <c r="F1590">
        <v>126.114</v>
      </c>
      <c r="G1590">
        <v>956211.19999999995</v>
      </c>
      <c r="H1590" t="str">
        <f>TEXT(Ventas[[#This Row],[Fecha_venta]],"dd")</f>
        <v>18</v>
      </c>
      <c r="I1590" t="str">
        <f>TEXT(Ventas[[#This Row],[Fecha_venta]],"m")</f>
        <v>6</v>
      </c>
      <c r="J1590" t="str">
        <f>TEXT(Ventas[[#This Row],[Fecha_venta]],"yyyy")</f>
        <v>2010</v>
      </c>
    </row>
    <row r="1591" spans="1:10" x14ac:dyDescent="0.25">
      <c r="A1591">
        <v>12</v>
      </c>
      <c r="B1591" s="1">
        <v>40354</v>
      </c>
      <c r="C1591">
        <v>0</v>
      </c>
      <c r="D1591">
        <v>87.27</v>
      </c>
      <c r="E1591">
        <v>3.0840000000000001</v>
      </c>
      <c r="F1591">
        <v>126.1266</v>
      </c>
      <c r="G1591">
        <v>958007.69</v>
      </c>
      <c r="H1591" t="str">
        <f>TEXT(Ventas[[#This Row],[Fecha_venta]],"dd")</f>
        <v>25</v>
      </c>
      <c r="I1591" t="str">
        <f>TEXT(Ventas[[#This Row],[Fecha_venta]],"m")</f>
        <v>6</v>
      </c>
      <c r="J1591" t="str">
        <f>TEXT(Ventas[[#This Row],[Fecha_venta]],"yyyy")</f>
        <v>2010</v>
      </c>
    </row>
    <row r="1592" spans="1:10" x14ac:dyDescent="0.25">
      <c r="A1592">
        <v>12</v>
      </c>
      <c r="B1592" s="1">
        <v>40361</v>
      </c>
      <c r="C1592">
        <v>0</v>
      </c>
      <c r="D1592">
        <v>91.98</v>
      </c>
      <c r="E1592">
        <v>3.105</v>
      </c>
      <c r="F1592">
        <v>126.1392</v>
      </c>
      <c r="G1592">
        <v>951957.31</v>
      </c>
      <c r="H1592" t="str">
        <f>TEXT(Ventas[[#This Row],[Fecha_venta]],"dd")</f>
        <v>02</v>
      </c>
      <c r="I1592" t="str">
        <f>TEXT(Ventas[[#This Row],[Fecha_venta]],"m")</f>
        <v>7</v>
      </c>
      <c r="J1592" t="str">
        <f>TEXT(Ventas[[#This Row],[Fecha_venta]],"yyyy")</f>
        <v>2010</v>
      </c>
    </row>
    <row r="1593" spans="1:10" x14ac:dyDescent="0.25">
      <c r="A1593">
        <v>12</v>
      </c>
      <c r="B1593" s="1">
        <v>40368</v>
      </c>
      <c r="C1593">
        <v>0</v>
      </c>
      <c r="D1593">
        <v>90.37</v>
      </c>
      <c r="E1593">
        <v>3.1</v>
      </c>
      <c r="F1593">
        <v>126.15179999999999</v>
      </c>
      <c r="G1593">
        <v>943506.28</v>
      </c>
      <c r="H1593" t="str">
        <f>TEXT(Ventas[[#This Row],[Fecha_venta]],"dd")</f>
        <v>09</v>
      </c>
      <c r="I1593" t="str">
        <f>TEXT(Ventas[[#This Row],[Fecha_venta]],"m")</f>
        <v>7</v>
      </c>
      <c r="J1593" t="str">
        <f>TEXT(Ventas[[#This Row],[Fecha_venta]],"yyyy")</f>
        <v>2010</v>
      </c>
    </row>
    <row r="1594" spans="1:10" x14ac:dyDescent="0.25">
      <c r="A1594">
        <v>12</v>
      </c>
      <c r="B1594" s="1">
        <v>40375</v>
      </c>
      <c r="C1594">
        <v>0</v>
      </c>
      <c r="D1594">
        <v>97.18</v>
      </c>
      <c r="E1594">
        <v>3.0939999999999999</v>
      </c>
      <c r="F1594">
        <v>126.1498065</v>
      </c>
      <c r="G1594">
        <v>916402.76</v>
      </c>
      <c r="H1594" t="str">
        <f>TEXT(Ventas[[#This Row],[Fecha_venta]],"dd")</f>
        <v>16</v>
      </c>
      <c r="I1594" t="str">
        <f>TEXT(Ventas[[#This Row],[Fecha_venta]],"m")</f>
        <v>7</v>
      </c>
      <c r="J1594" t="str">
        <f>TEXT(Ventas[[#This Row],[Fecha_venta]],"yyyy")</f>
        <v>2010</v>
      </c>
    </row>
    <row r="1595" spans="1:10" x14ac:dyDescent="0.25">
      <c r="A1595">
        <v>12</v>
      </c>
      <c r="B1595" s="1">
        <v>40382</v>
      </c>
      <c r="C1595">
        <v>0</v>
      </c>
      <c r="D1595">
        <v>99.22</v>
      </c>
      <c r="E1595">
        <v>3.1120000000000001</v>
      </c>
      <c r="F1595">
        <v>126.1283548</v>
      </c>
      <c r="G1595">
        <v>912403.67</v>
      </c>
      <c r="H1595" t="str">
        <f>TEXT(Ventas[[#This Row],[Fecha_venta]],"dd")</f>
        <v>23</v>
      </c>
      <c r="I1595" t="str">
        <f>TEXT(Ventas[[#This Row],[Fecha_venta]],"m")</f>
        <v>7</v>
      </c>
      <c r="J1595" t="str">
        <f>TEXT(Ventas[[#This Row],[Fecha_venta]],"yyyy")</f>
        <v>2010</v>
      </c>
    </row>
    <row r="1596" spans="1:10" x14ac:dyDescent="0.25">
      <c r="A1596">
        <v>12</v>
      </c>
      <c r="B1596" s="1">
        <v>40389</v>
      </c>
      <c r="C1596">
        <v>0</v>
      </c>
      <c r="D1596">
        <v>96.31</v>
      </c>
      <c r="E1596">
        <v>3.0169999999999999</v>
      </c>
      <c r="F1596">
        <v>126.1069032</v>
      </c>
      <c r="G1596">
        <v>913548.25</v>
      </c>
      <c r="H1596" t="str">
        <f>TEXT(Ventas[[#This Row],[Fecha_venta]],"dd")</f>
        <v>30</v>
      </c>
      <c r="I1596" t="str">
        <f>TEXT(Ventas[[#This Row],[Fecha_venta]],"m")</f>
        <v>7</v>
      </c>
      <c r="J1596" t="str">
        <f>TEXT(Ventas[[#This Row],[Fecha_venta]],"yyyy")</f>
        <v>2010</v>
      </c>
    </row>
    <row r="1597" spans="1:10" x14ac:dyDescent="0.25">
      <c r="A1597">
        <v>12</v>
      </c>
      <c r="B1597" s="1">
        <v>40396</v>
      </c>
      <c r="C1597">
        <v>0</v>
      </c>
      <c r="D1597">
        <v>92.95</v>
      </c>
      <c r="E1597">
        <v>3.1230000000000002</v>
      </c>
      <c r="F1597">
        <v>126.0854516</v>
      </c>
      <c r="G1597">
        <v>967576.95</v>
      </c>
      <c r="H1597" t="str">
        <f>TEXT(Ventas[[#This Row],[Fecha_venta]],"dd")</f>
        <v>06</v>
      </c>
      <c r="I1597" t="str">
        <f>TEXT(Ventas[[#This Row],[Fecha_venta]],"m")</f>
        <v>8</v>
      </c>
      <c r="J1597" t="str">
        <f>TEXT(Ventas[[#This Row],[Fecha_venta]],"yyyy")</f>
        <v>2010</v>
      </c>
    </row>
    <row r="1598" spans="1:10" x14ac:dyDescent="0.25">
      <c r="A1598">
        <v>12</v>
      </c>
      <c r="B1598" s="1">
        <v>40403</v>
      </c>
      <c r="C1598">
        <v>0</v>
      </c>
      <c r="D1598">
        <v>87.01</v>
      </c>
      <c r="E1598">
        <v>3.1589999999999998</v>
      </c>
      <c r="F1598">
        <v>126.06399999999999</v>
      </c>
      <c r="G1598">
        <v>928264.4</v>
      </c>
      <c r="H1598" t="str">
        <f>TEXT(Ventas[[#This Row],[Fecha_venta]],"dd")</f>
        <v>13</v>
      </c>
      <c r="I1598" t="str">
        <f>TEXT(Ventas[[#This Row],[Fecha_venta]],"m")</f>
        <v>8</v>
      </c>
      <c r="J1598" t="str">
        <f>TEXT(Ventas[[#This Row],[Fecha_venta]],"yyyy")</f>
        <v>2010</v>
      </c>
    </row>
    <row r="1599" spans="1:10" x14ac:dyDescent="0.25">
      <c r="A1599">
        <v>12</v>
      </c>
      <c r="B1599" s="1">
        <v>40410</v>
      </c>
      <c r="C1599">
        <v>0</v>
      </c>
      <c r="D1599">
        <v>92.81</v>
      </c>
      <c r="E1599">
        <v>3.0409999999999999</v>
      </c>
      <c r="F1599">
        <v>126.0766452</v>
      </c>
      <c r="G1599">
        <v>948447.34</v>
      </c>
      <c r="H1599" t="str">
        <f>TEXT(Ventas[[#This Row],[Fecha_venta]],"dd")</f>
        <v>20</v>
      </c>
      <c r="I1599" t="str">
        <f>TEXT(Ventas[[#This Row],[Fecha_venta]],"m")</f>
        <v>8</v>
      </c>
      <c r="J1599" t="str">
        <f>TEXT(Ventas[[#This Row],[Fecha_venta]],"yyyy")</f>
        <v>2010</v>
      </c>
    </row>
    <row r="1600" spans="1:10" x14ac:dyDescent="0.25">
      <c r="A1600">
        <v>12</v>
      </c>
      <c r="B1600" s="1">
        <v>40417</v>
      </c>
      <c r="C1600">
        <v>0</v>
      </c>
      <c r="D1600">
        <v>93.19</v>
      </c>
      <c r="E1600">
        <v>3.129</v>
      </c>
      <c r="F1600">
        <v>126.0892903</v>
      </c>
      <c r="G1600">
        <v>1004516.46</v>
      </c>
      <c r="H1600" t="str">
        <f>TEXT(Ventas[[#This Row],[Fecha_venta]],"dd")</f>
        <v>27</v>
      </c>
      <c r="I1600" t="str">
        <f>TEXT(Ventas[[#This Row],[Fecha_venta]],"m")</f>
        <v>8</v>
      </c>
      <c r="J1600" t="str">
        <f>TEXT(Ventas[[#This Row],[Fecha_venta]],"yyyy")</f>
        <v>2010</v>
      </c>
    </row>
    <row r="1601" spans="1:10" x14ac:dyDescent="0.25">
      <c r="A1601">
        <v>12</v>
      </c>
      <c r="B1601" s="1">
        <v>40424</v>
      </c>
      <c r="C1601">
        <v>0</v>
      </c>
      <c r="D1601">
        <v>83.12</v>
      </c>
      <c r="E1601">
        <v>3.0870000000000002</v>
      </c>
      <c r="F1601">
        <v>126.1019355</v>
      </c>
      <c r="G1601">
        <v>1075758.55</v>
      </c>
      <c r="H1601" t="str">
        <f>TEXT(Ventas[[#This Row],[Fecha_venta]],"dd")</f>
        <v>03</v>
      </c>
      <c r="I1601" t="str">
        <f>TEXT(Ventas[[#This Row],[Fecha_venta]],"m")</f>
        <v>9</v>
      </c>
      <c r="J1601" t="str">
        <f>TEXT(Ventas[[#This Row],[Fecha_venta]],"yyyy")</f>
        <v>2010</v>
      </c>
    </row>
    <row r="1602" spans="1:10" x14ac:dyDescent="0.25">
      <c r="A1602">
        <v>12</v>
      </c>
      <c r="B1602" s="1">
        <v>40431</v>
      </c>
      <c r="C1602">
        <v>1</v>
      </c>
      <c r="D1602">
        <v>83.63</v>
      </c>
      <c r="E1602">
        <v>3.044</v>
      </c>
      <c r="F1602">
        <v>126.1145806</v>
      </c>
      <c r="G1602">
        <v>903119.03</v>
      </c>
      <c r="H1602" t="str">
        <f>TEXT(Ventas[[#This Row],[Fecha_venta]],"dd")</f>
        <v>10</v>
      </c>
      <c r="I1602" t="str">
        <f>TEXT(Ventas[[#This Row],[Fecha_venta]],"m")</f>
        <v>9</v>
      </c>
      <c r="J1602" t="str">
        <f>TEXT(Ventas[[#This Row],[Fecha_venta]],"yyyy")</f>
        <v>2010</v>
      </c>
    </row>
    <row r="1603" spans="1:10" x14ac:dyDescent="0.25">
      <c r="A1603">
        <v>12</v>
      </c>
      <c r="B1603" s="1">
        <v>40438</v>
      </c>
      <c r="C1603">
        <v>0</v>
      </c>
      <c r="D1603">
        <v>82.45</v>
      </c>
      <c r="E1603">
        <v>3.028</v>
      </c>
      <c r="F1603">
        <v>126.1454667</v>
      </c>
      <c r="G1603">
        <v>852882.61</v>
      </c>
      <c r="H1603" t="str">
        <f>TEXT(Ventas[[#This Row],[Fecha_venta]],"dd")</f>
        <v>17</v>
      </c>
      <c r="I1603" t="str">
        <f>TEXT(Ventas[[#This Row],[Fecha_venta]],"m")</f>
        <v>9</v>
      </c>
      <c r="J1603" t="str">
        <f>TEXT(Ventas[[#This Row],[Fecha_venta]],"yyyy")</f>
        <v>2010</v>
      </c>
    </row>
    <row r="1604" spans="1:10" x14ac:dyDescent="0.25">
      <c r="A1604">
        <v>12</v>
      </c>
      <c r="B1604" s="1">
        <v>40445</v>
      </c>
      <c r="C1604">
        <v>0</v>
      </c>
      <c r="D1604">
        <v>81.77</v>
      </c>
      <c r="E1604">
        <v>2.9390000000000001</v>
      </c>
      <c r="F1604">
        <v>126.1900333</v>
      </c>
      <c r="G1604">
        <v>851919.34</v>
      </c>
      <c r="H1604" t="str">
        <f>TEXT(Ventas[[#This Row],[Fecha_venta]],"dd")</f>
        <v>24</v>
      </c>
      <c r="I1604" t="str">
        <f>TEXT(Ventas[[#This Row],[Fecha_venta]],"m")</f>
        <v>9</v>
      </c>
      <c r="J1604" t="str">
        <f>TEXT(Ventas[[#This Row],[Fecha_venta]],"yyyy")</f>
        <v>2010</v>
      </c>
    </row>
    <row r="1605" spans="1:10" x14ac:dyDescent="0.25">
      <c r="A1605">
        <v>12</v>
      </c>
      <c r="B1605" s="1">
        <v>40452</v>
      </c>
      <c r="C1605">
        <v>0</v>
      </c>
      <c r="D1605">
        <v>85.2</v>
      </c>
      <c r="E1605">
        <v>3.0009999999999999</v>
      </c>
      <c r="F1605">
        <v>126.2346</v>
      </c>
      <c r="G1605">
        <v>850936.26</v>
      </c>
      <c r="H1605" t="str">
        <f>TEXT(Ventas[[#This Row],[Fecha_venta]],"dd")</f>
        <v>01</v>
      </c>
      <c r="I1605" t="str">
        <f>TEXT(Ventas[[#This Row],[Fecha_venta]],"m")</f>
        <v>10</v>
      </c>
      <c r="J1605" t="str">
        <f>TEXT(Ventas[[#This Row],[Fecha_venta]],"yyyy")</f>
        <v>2010</v>
      </c>
    </row>
    <row r="1606" spans="1:10" x14ac:dyDescent="0.25">
      <c r="A1606">
        <v>12</v>
      </c>
      <c r="B1606" s="1">
        <v>40459</v>
      </c>
      <c r="C1606">
        <v>0</v>
      </c>
      <c r="D1606">
        <v>71.819999999999993</v>
      </c>
      <c r="E1606">
        <v>3.0129999999999999</v>
      </c>
      <c r="F1606">
        <v>126.2791667</v>
      </c>
      <c r="G1606">
        <v>918335.68</v>
      </c>
      <c r="H1606" t="str">
        <f>TEXT(Ventas[[#This Row],[Fecha_venta]],"dd")</f>
        <v>08</v>
      </c>
      <c r="I1606" t="str">
        <f>TEXT(Ventas[[#This Row],[Fecha_venta]],"m")</f>
        <v>10</v>
      </c>
      <c r="J1606" t="str">
        <f>TEXT(Ventas[[#This Row],[Fecha_venta]],"yyyy")</f>
        <v>2010</v>
      </c>
    </row>
    <row r="1607" spans="1:10" x14ac:dyDescent="0.25">
      <c r="A1607">
        <v>12</v>
      </c>
      <c r="B1607" s="1">
        <v>40466</v>
      </c>
      <c r="C1607">
        <v>0</v>
      </c>
      <c r="D1607">
        <v>75</v>
      </c>
      <c r="E1607">
        <v>2.976</v>
      </c>
      <c r="F1607">
        <v>126.32667739999999</v>
      </c>
      <c r="G1607">
        <v>862419.84</v>
      </c>
      <c r="H1607" t="str">
        <f>TEXT(Ventas[[#This Row],[Fecha_venta]],"dd")</f>
        <v>15</v>
      </c>
      <c r="I1607" t="str">
        <f>TEXT(Ventas[[#This Row],[Fecha_venta]],"m")</f>
        <v>10</v>
      </c>
      <c r="J1607" t="str">
        <f>TEXT(Ventas[[#This Row],[Fecha_venta]],"yyyy")</f>
        <v>2010</v>
      </c>
    </row>
    <row r="1608" spans="1:10" x14ac:dyDescent="0.25">
      <c r="A1608">
        <v>12</v>
      </c>
      <c r="B1608" s="1">
        <v>40473</v>
      </c>
      <c r="C1608">
        <v>0</v>
      </c>
      <c r="D1608">
        <v>68.849999999999994</v>
      </c>
      <c r="E1608">
        <v>3.0139999999999998</v>
      </c>
      <c r="F1608">
        <v>126.3815484</v>
      </c>
      <c r="G1608">
        <v>857883.46</v>
      </c>
      <c r="H1608" t="str">
        <f>TEXT(Ventas[[#This Row],[Fecha_venta]],"dd")</f>
        <v>22</v>
      </c>
      <c r="I1608" t="str">
        <f>TEXT(Ventas[[#This Row],[Fecha_venta]],"m")</f>
        <v>10</v>
      </c>
      <c r="J1608" t="str">
        <f>TEXT(Ventas[[#This Row],[Fecha_venta]],"yyyy")</f>
        <v>2010</v>
      </c>
    </row>
    <row r="1609" spans="1:10" x14ac:dyDescent="0.25">
      <c r="A1609">
        <v>12</v>
      </c>
      <c r="B1609" s="1">
        <v>40480</v>
      </c>
      <c r="C1609">
        <v>0</v>
      </c>
      <c r="D1609">
        <v>61.09</v>
      </c>
      <c r="E1609">
        <v>3.016</v>
      </c>
      <c r="F1609">
        <v>126.43641940000001</v>
      </c>
      <c r="G1609">
        <v>955294.7</v>
      </c>
      <c r="H1609" t="str">
        <f>TEXT(Ventas[[#This Row],[Fecha_venta]],"dd")</f>
        <v>29</v>
      </c>
      <c r="I1609" t="str">
        <f>TEXT(Ventas[[#This Row],[Fecha_venta]],"m")</f>
        <v>10</v>
      </c>
      <c r="J1609" t="str">
        <f>TEXT(Ventas[[#This Row],[Fecha_venta]],"yyyy")</f>
        <v>2010</v>
      </c>
    </row>
    <row r="1610" spans="1:10" x14ac:dyDescent="0.25">
      <c r="A1610">
        <v>12</v>
      </c>
      <c r="B1610" s="1">
        <v>40487</v>
      </c>
      <c r="C1610">
        <v>0</v>
      </c>
      <c r="D1610">
        <v>65.489999999999995</v>
      </c>
      <c r="E1610">
        <v>3.129</v>
      </c>
      <c r="F1610">
        <v>126.4912903</v>
      </c>
      <c r="G1610">
        <v>929690.71</v>
      </c>
      <c r="H1610" t="str">
        <f>TEXT(Ventas[[#This Row],[Fecha_venta]],"dd")</f>
        <v>05</v>
      </c>
      <c r="I1610" t="str">
        <f>TEXT(Ventas[[#This Row],[Fecha_venta]],"m")</f>
        <v>11</v>
      </c>
      <c r="J1610" t="str">
        <f>TEXT(Ventas[[#This Row],[Fecha_venta]],"yyyy")</f>
        <v>2010</v>
      </c>
    </row>
    <row r="1611" spans="1:10" x14ac:dyDescent="0.25">
      <c r="A1611">
        <v>12</v>
      </c>
      <c r="B1611" s="1">
        <v>40494</v>
      </c>
      <c r="C1611">
        <v>0</v>
      </c>
      <c r="D1611">
        <v>57.79</v>
      </c>
      <c r="E1611">
        <v>3.13</v>
      </c>
      <c r="F1611">
        <v>126.54616129999999</v>
      </c>
      <c r="G1611">
        <v>942475.24</v>
      </c>
      <c r="H1611" t="str">
        <f>TEXT(Ventas[[#This Row],[Fecha_venta]],"dd")</f>
        <v>12</v>
      </c>
      <c r="I1611" t="str">
        <f>TEXT(Ventas[[#This Row],[Fecha_venta]],"m")</f>
        <v>11</v>
      </c>
      <c r="J1611" t="str">
        <f>TEXT(Ventas[[#This Row],[Fecha_venta]],"yyyy")</f>
        <v>2010</v>
      </c>
    </row>
    <row r="1612" spans="1:10" x14ac:dyDescent="0.25">
      <c r="A1612">
        <v>12</v>
      </c>
      <c r="B1612" s="1">
        <v>40501</v>
      </c>
      <c r="C1612">
        <v>0</v>
      </c>
      <c r="D1612">
        <v>58.18</v>
      </c>
      <c r="E1612">
        <v>3.161</v>
      </c>
      <c r="F1612">
        <v>126.60720000000001</v>
      </c>
      <c r="G1612">
        <v>894493.7</v>
      </c>
      <c r="H1612" t="str">
        <f>TEXT(Ventas[[#This Row],[Fecha_venta]],"dd")</f>
        <v>19</v>
      </c>
      <c r="I1612" t="str">
        <f>TEXT(Ventas[[#This Row],[Fecha_venta]],"m")</f>
        <v>11</v>
      </c>
      <c r="J1612" t="str">
        <f>TEXT(Ventas[[#This Row],[Fecha_venta]],"yyyy")</f>
        <v>2010</v>
      </c>
    </row>
    <row r="1613" spans="1:10" x14ac:dyDescent="0.25">
      <c r="A1613">
        <v>12</v>
      </c>
      <c r="B1613" s="1">
        <v>40508</v>
      </c>
      <c r="C1613">
        <v>1</v>
      </c>
      <c r="D1613">
        <v>47.66</v>
      </c>
      <c r="E1613">
        <v>3.1619999999999999</v>
      </c>
      <c r="F1613">
        <v>126.66926669999999</v>
      </c>
      <c r="G1613">
        <v>1601377.41</v>
      </c>
      <c r="H1613" t="str">
        <f>TEXT(Ventas[[#This Row],[Fecha_venta]],"dd")</f>
        <v>26</v>
      </c>
      <c r="I1613" t="str">
        <f>TEXT(Ventas[[#This Row],[Fecha_venta]],"m")</f>
        <v>11</v>
      </c>
      <c r="J1613" t="str">
        <f>TEXT(Ventas[[#This Row],[Fecha_venta]],"yyyy")</f>
        <v>2010</v>
      </c>
    </row>
    <row r="1614" spans="1:10" x14ac:dyDescent="0.25">
      <c r="A1614">
        <v>12</v>
      </c>
      <c r="B1614" s="1">
        <v>40515</v>
      </c>
      <c r="C1614">
        <v>0</v>
      </c>
      <c r="D1614">
        <v>43.33</v>
      </c>
      <c r="E1614">
        <v>3.0409999999999999</v>
      </c>
      <c r="F1614">
        <v>126.7313333</v>
      </c>
      <c r="G1614">
        <v>1069533.17</v>
      </c>
      <c r="H1614" t="str">
        <f>TEXT(Ventas[[#This Row],[Fecha_venta]],"dd")</f>
        <v>03</v>
      </c>
      <c r="I1614" t="str">
        <f>TEXT(Ventas[[#This Row],[Fecha_venta]],"m")</f>
        <v>12</v>
      </c>
      <c r="J1614" t="str">
        <f>TEXT(Ventas[[#This Row],[Fecha_venta]],"yyyy")</f>
        <v>2010</v>
      </c>
    </row>
    <row r="1615" spans="1:10" x14ac:dyDescent="0.25">
      <c r="A1615">
        <v>12</v>
      </c>
      <c r="B1615" s="1">
        <v>40522</v>
      </c>
      <c r="C1615">
        <v>0</v>
      </c>
      <c r="D1615">
        <v>50.01</v>
      </c>
      <c r="E1615">
        <v>3.2029999999999998</v>
      </c>
      <c r="F1615">
        <v>126.79340000000001</v>
      </c>
      <c r="G1615">
        <v>1121934.1499999999</v>
      </c>
      <c r="H1615" t="str">
        <f>TEXT(Ventas[[#This Row],[Fecha_venta]],"dd")</f>
        <v>10</v>
      </c>
      <c r="I1615" t="str">
        <f>TEXT(Ventas[[#This Row],[Fecha_venta]],"m")</f>
        <v>12</v>
      </c>
      <c r="J1615" t="str">
        <f>TEXT(Ventas[[#This Row],[Fecha_venta]],"yyyy")</f>
        <v>2010</v>
      </c>
    </row>
    <row r="1616" spans="1:10" x14ac:dyDescent="0.25">
      <c r="A1616">
        <v>12</v>
      </c>
      <c r="B1616" s="1">
        <v>40529</v>
      </c>
      <c r="C1616">
        <v>0</v>
      </c>
      <c r="D1616">
        <v>52.77</v>
      </c>
      <c r="E1616">
        <v>3.2360000000000002</v>
      </c>
      <c r="F1616">
        <v>126.8794839</v>
      </c>
      <c r="G1616">
        <v>1295605.3500000001</v>
      </c>
      <c r="H1616" t="str">
        <f>TEXT(Ventas[[#This Row],[Fecha_venta]],"dd")</f>
        <v>17</v>
      </c>
      <c r="I1616" t="str">
        <f>TEXT(Ventas[[#This Row],[Fecha_venta]],"m")</f>
        <v>12</v>
      </c>
      <c r="J1616" t="str">
        <f>TEXT(Ventas[[#This Row],[Fecha_venta]],"yyyy")</f>
        <v>2010</v>
      </c>
    </row>
    <row r="1617" spans="1:10" x14ac:dyDescent="0.25">
      <c r="A1617">
        <v>12</v>
      </c>
      <c r="B1617" s="1">
        <v>40536</v>
      </c>
      <c r="C1617">
        <v>0</v>
      </c>
      <c r="D1617">
        <v>52.02</v>
      </c>
      <c r="E1617">
        <v>3.2360000000000002</v>
      </c>
      <c r="F1617">
        <v>126.9835806</v>
      </c>
      <c r="G1617">
        <v>1768249.89</v>
      </c>
      <c r="H1617" t="str">
        <f>TEXT(Ventas[[#This Row],[Fecha_venta]],"dd")</f>
        <v>24</v>
      </c>
      <c r="I1617" t="str">
        <f>TEXT(Ventas[[#This Row],[Fecha_venta]],"m")</f>
        <v>12</v>
      </c>
      <c r="J1617" t="str">
        <f>TEXT(Ventas[[#This Row],[Fecha_venta]],"yyyy")</f>
        <v>2010</v>
      </c>
    </row>
    <row r="1618" spans="1:10" x14ac:dyDescent="0.25">
      <c r="A1618">
        <v>12</v>
      </c>
      <c r="B1618" s="1">
        <v>40543</v>
      </c>
      <c r="C1618">
        <v>1</v>
      </c>
      <c r="D1618">
        <v>45.64</v>
      </c>
      <c r="E1618">
        <v>3.1480000000000001</v>
      </c>
      <c r="F1618">
        <v>127.0876774</v>
      </c>
      <c r="G1618">
        <v>891736.91</v>
      </c>
      <c r="H1618" t="str">
        <f>TEXT(Ventas[[#This Row],[Fecha_venta]],"dd")</f>
        <v>31</v>
      </c>
      <c r="I1618" t="str">
        <f>TEXT(Ventas[[#This Row],[Fecha_venta]],"m")</f>
        <v>12</v>
      </c>
      <c r="J1618" t="str">
        <f>TEXT(Ventas[[#This Row],[Fecha_venta]],"yyyy")</f>
        <v>2010</v>
      </c>
    </row>
    <row r="1619" spans="1:10" x14ac:dyDescent="0.25">
      <c r="A1619">
        <v>12</v>
      </c>
      <c r="B1619" s="1">
        <v>40550</v>
      </c>
      <c r="C1619">
        <v>0</v>
      </c>
      <c r="D1619">
        <v>37.64</v>
      </c>
      <c r="E1619">
        <v>3.2869999999999999</v>
      </c>
      <c r="F1619">
        <v>127.1917742</v>
      </c>
      <c r="G1619">
        <v>910110.24</v>
      </c>
      <c r="H1619" t="str">
        <f>TEXT(Ventas[[#This Row],[Fecha_venta]],"dd")</f>
        <v>07</v>
      </c>
      <c r="I1619" t="str">
        <f>TEXT(Ventas[[#This Row],[Fecha_venta]],"m")</f>
        <v>1</v>
      </c>
      <c r="J1619" t="str">
        <f>TEXT(Ventas[[#This Row],[Fecha_venta]],"yyyy")</f>
        <v>2011</v>
      </c>
    </row>
    <row r="1620" spans="1:10" x14ac:dyDescent="0.25">
      <c r="A1620">
        <v>12</v>
      </c>
      <c r="B1620" s="1">
        <v>40557</v>
      </c>
      <c r="C1620">
        <v>0</v>
      </c>
      <c r="D1620">
        <v>43.15</v>
      </c>
      <c r="E1620">
        <v>3.3119999999999998</v>
      </c>
      <c r="F1620">
        <v>127.30093549999999</v>
      </c>
      <c r="G1620">
        <v>812011.8</v>
      </c>
      <c r="H1620" t="str">
        <f>TEXT(Ventas[[#This Row],[Fecha_venta]],"dd")</f>
        <v>14</v>
      </c>
      <c r="I1620" t="str">
        <f>TEXT(Ventas[[#This Row],[Fecha_venta]],"m")</f>
        <v>1</v>
      </c>
      <c r="J1620" t="str">
        <f>TEXT(Ventas[[#This Row],[Fecha_venta]],"yyyy")</f>
        <v>2011</v>
      </c>
    </row>
    <row r="1621" spans="1:10" x14ac:dyDescent="0.25">
      <c r="A1621">
        <v>12</v>
      </c>
      <c r="B1621" s="1">
        <v>40564</v>
      </c>
      <c r="C1621">
        <v>0</v>
      </c>
      <c r="D1621">
        <v>53.53</v>
      </c>
      <c r="E1621">
        <v>3.2229999999999999</v>
      </c>
      <c r="F1621">
        <v>127.4404839</v>
      </c>
      <c r="G1621">
        <v>802105.5</v>
      </c>
      <c r="H1621" t="str">
        <f>TEXT(Ventas[[#This Row],[Fecha_venta]],"dd")</f>
        <v>21</v>
      </c>
      <c r="I1621" t="str">
        <f>TEXT(Ventas[[#This Row],[Fecha_venta]],"m")</f>
        <v>1</v>
      </c>
      <c r="J1621" t="str">
        <f>TEXT(Ventas[[#This Row],[Fecha_venta]],"yyyy")</f>
        <v>2011</v>
      </c>
    </row>
    <row r="1622" spans="1:10" x14ac:dyDescent="0.25">
      <c r="A1622">
        <v>12</v>
      </c>
      <c r="B1622" s="1">
        <v>40571</v>
      </c>
      <c r="C1622">
        <v>0</v>
      </c>
      <c r="D1622">
        <v>50.74</v>
      </c>
      <c r="E1622">
        <v>3.3420000000000001</v>
      </c>
      <c r="F1622">
        <v>127.5800323</v>
      </c>
      <c r="G1622">
        <v>873119.06</v>
      </c>
      <c r="H1622" t="str">
        <f>TEXT(Ventas[[#This Row],[Fecha_venta]],"dd")</f>
        <v>28</v>
      </c>
      <c r="I1622" t="str">
        <f>TEXT(Ventas[[#This Row],[Fecha_venta]],"m")</f>
        <v>1</v>
      </c>
      <c r="J1622" t="str">
        <f>TEXT(Ventas[[#This Row],[Fecha_venta]],"yyyy")</f>
        <v>2011</v>
      </c>
    </row>
    <row r="1623" spans="1:10" x14ac:dyDescent="0.25">
      <c r="A1623">
        <v>12</v>
      </c>
      <c r="B1623" s="1">
        <v>40578</v>
      </c>
      <c r="C1623">
        <v>0</v>
      </c>
      <c r="D1623">
        <v>45.14</v>
      </c>
      <c r="E1623">
        <v>3.3479999999999999</v>
      </c>
      <c r="F1623">
        <v>127.7195806</v>
      </c>
      <c r="G1623">
        <v>1046068.17</v>
      </c>
      <c r="H1623" t="str">
        <f>TEXT(Ventas[[#This Row],[Fecha_venta]],"dd")</f>
        <v>04</v>
      </c>
      <c r="I1623" t="str">
        <f>TEXT(Ventas[[#This Row],[Fecha_venta]],"m")</f>
        <v>2</v>
      </c>
      <c r="J1623" t="str">
        <f>TEXT(Ventas[[#This Row],[Fecha_venta]],"yyyy")</f>
        <v>2011</v>
      </c>
    </row>
    <row r="1624" spans="1:10" x14ac:dyDescent="0.25">
      <c r="A1624">
        <v>12</v>
      </c>
      <c r="B1624" s="1">
        <v>40585</v>
      </c>
      <c r="C1624">
        <v>1</v>
      </c>
      <c r="D1624">
        <v>51.3</v>
      </c>
      <c r="E1624">
        <v>3.3809999999999998</v>
      </c>
      <c r="F1624">
        <v>127.859129</v>
      </c>
      <c r="G1624">
        <v>1086421.57</v>
      </c>
      <c r="H1624" t="str">
        <f>TEXT(Ventas[[#This Row],[Fecha_venta]],"dd")</f>
        <v>11</v>
      </c>
      <c r="I1624" t="str">
        <f>TEXT(Ventas[[#This Row],[Fecha_venta]],"m")</f>
        <v>2</v>
      </c>
      <c r="J1624" t="str">
        <f>TEXT(Ventas[[#This Row],[Fecha_venta]],"yyyy")</f>
        <v>2011</v>
      </c>
    </row>
    <row r="1625" spans="1:10" x14ac:dyDescent="0.25">
      <c r="A1625">
        <v>12</v>
      </c>
      <c r="B1625" s="1">
        <v>40592</v>
      </c>
      <c r="C1625">
        <v>0</v>
      </c>
      <c r="D1625">
        <v>53.35</v>
      </c>
      <c r="E1625">
        <v>3.43</v>
      </c>
      <c r="F1625">
        <v>127.99525</v>
      </c>
      <c r="G1625">
        <v>1128485.1000000001</v>
      </c>
      <c r="H1625" t="str">
        <f>TEXT(Ventas[[#This Row],[Fecha_venta]],"dd")</f>
        <v>18</v>
      </c>
      <c r="I1625" t="str">
        <f>TEXT(Ventas[[#This Row],[Fecha_venta]],"m")</f>
        <v>2</v>
      </c>
      <c r="J1625" t="str">
        <f>TEXT(Ventas[[#This Row],[Fecha_venta]],"yyyy")</f>
        <v>2011</v>
      </c>
    </row>
    <row r="1626" spans="1:10" x14ac:dyDescent="0.25">
      <c r="A1626">
        <v>12</v>
      </c>
      <c r="B1626" s="1">
        <v>40599</v>
      </c>
      <c r="C1626">
        <v>0</v>
      </c>
      <c r="D1626">
        <v>-1</v>
      </c>
      <c r="E1626">
        <v>3.53</v>
      </c>
      <c r="F1626">
        <v>128.13</v>
      </c>
      <c r="G1626">
        <v>1046203.72</v>
      </c>
      <c r="H1626" t="str">
        <f>TEXT(Ventas[[#This Row],[Fecha_venta]],"dd")</f>
        <v>25</v>
      </c>
      <c r="I1626" t="str">
        <f>TEXT(Ventas[[#This Row],[Fecha_venta]],"m")</f>
        <v>2</v>
      </c>
      <c r="J1626" t="str">
        <f>TEXT(Ventas[[#This Row],[Fecha_venta]],"yyyy")</f>
        <v>2011</v>
      </c>
    </row>
    <row r="1627" spans="1:10" x14ac:dyDescent="0.25">
      <c r="A1627">
        <v>12</v>
      </c>
      <c r="B1627" s="1">
        <v>40606</v>
      </c>
      <c r="C1627">
        <v>0</v>
      </c>
      <c r="D1627">
        <v>51.72</v>
      </c>
      <c r="E1627">
        <v>3.6739999999999999</v>
      </c>
      <c r="F1627">
        <v>128.26474999999999</v>
      </c>
      <c r="G1627">
        <v>1085248.21</v>
      </c>
      <c r="H1627" t="str">
        <f>TEXT(Ventas[[#This Row],[Fecha_venta]],"dd")</f>
        <v>04</v>
      </c>
      <c r="I1627" t="str">
        <f>TEXT(Ventas[[#This Row],[Fecha_venta]],"m")</f>
        <v>3</v>
      </c>
      <c r="J1627" t="str">
        <f>TEXT(Ventas[[#This Row],[Fecha_venta]],"yyyy")</f>
        <v>2011</v>
      </c>
    </row>
    <row r="1628" spans="1:10" x14ac:dyDescent="0.25">
      <c r="A1628">
        <v>12</v>
      </c>
      <c r="B1628" s="1">
        <v>40613</v>
      </c>
      <c r="C1628">
        <v>0</v>
      </c>
      <c r="D1628">
        <v>57.75</v>
      </c>
      <c r="E1628">
        <v>3.8180000000000001</v>
      </c>
      <c r="F1628">
        <v>128.39949999999999</v>
      </c>
      <c r="G1628">
        <v>997672.62</v>
      </c>
      <c r="H1628" t="str">
        <f>TEXT(Ventas[[#This Row],[Fecha_venta]],"dd")</f>
        <v>11</v>
      </c>
      <c r="I1628" t="str">
        <f>TEXT(Ventas[[#This Row],[Fecha_venta]],"m")</f>
        <v>3</v>
      </c>
      <c r="J1628" t="str">
        <f>TEXT(Ventas[[#This Row],[Fecha_venta]],"yyyy")</f>
        <v>2011</v>
      </c>
    </row>
    <row r="1629" spans="1:10" x14ac:dyDescent="0.25">
      <c r="A1629">
        <v>12</v>
      </c>
      <c r="B1629" s="1">
        <v>40620</v>
      </c>
      <c r="C1629">
        <v>0</v>
      </c>
      <c r="D1629">
        <v>64.209999999999994</v>
      </c>
      <c r="E1629">
        <v>3.6920000000000002</v>
      </c>
      <c r="F1629">
        <v>128.5121935</v>
      </c>
      <c r="G1629">
        <v>1009502.01</v>
      </c>
      <c r="H1629" t="str">
        <f>TEXT(Ventas[[#This Row],[Fecha_venta]],"dd")</f>
        <v>18</v>
      </c>
      <c r="I1629" t="str">
        <f>TEXT(Ventas[[#This Row],[Fecha_venta]],"m")</f>
        <v>3</v>
      </c>
      <c r="J1629" t="str">
        <f>TEXT(Ventas[[#This Row],[Fecha_venta]],"yyyy")</f>
        <v>2011</v>
      </c>
    </row>
    <row r="1630" spans="1:10" x14ac:dyDescent="0.25">
      <c r="A1630">
        <v>12</v>
      </c>
      <c r="B1630" s="1">
        <v>40627</v>
      </c>
      <c r="C1630">
        <v>0</v>
      </c>
      <c r="D1630">
        <v>54.4</v>
      </c>
      <c r="E1630">
        <v>3.9089999999999998</v>
      </c>
      <c r="F1630">
        <v>128.61606449999999</v>
      </c>
      <c r="G1630">
        <v>954107.32</v>
      </c>
      <c r="H1630" t="str">
        <f>TEXT(Ventas[[#This Row],[Fecha_venta]],"dd")</f>
        <v>25</v>
      </c>
      <c r="I1630" t="str">
        <f>TEXT(Ventas[[#This Row],[Fecha_venta]],"m")</f>
        <v>3</v>
      </c>
      <c r="J1630" t="str">
        <f>TEXT(Ventas[[#This Row],[Fecha_venta]],"yyyy")</f>
        <v>2011</v>
      </c>
    </row>
    <row r="1631" spans="1:10" x14ac:dyDescent="0.25">
      <c r="A1631">
        <v>12</v>
      </c>
      <c r="B1631" s="1">
        <v>40634</v>
      </c>
      <c r="C1631">
        <v>0</v>
      </c>
      <c r="D1631">
        <v>63.63</v>
      </c>
      <c r="E1631">
        <v>3.7719999999999998</v>
      </c>
      <c r="F1631">
        <v>128.71993549999999</v>
      </c>
      <c r="G1631">
        <v>1005463.49</v>
      </c>
      <c r="H1631" t="str">
        <f>TEXT(Ventas[[#This Row],[Fecha_venta]],"dd")</f>
        <v>01</v>
      </c>
      <c r="I1631" t="str">
        <f>TEXT(Ventas[[#This Row],[Fecha_venta]],"m")</f>
        <v>4</v>
      </c>
      <c r="J1631" t="str">
        <f>TEXT(Ventas[[#This Row],[Fecha_venta]],"yyyy")</f>
        <v>2011</v>
      </c>
    </row>
    <row r="1632" spans="1:10" x14ac:dyDescent="0.25">
      <c r="A1632">
        <v>12</v>
      </c>
      <c r="B1632" s="1">
        <v>40641</v>
      </c>
      <c r="C1632">
        <v>0</v>
      </c>
      <c r="D1632">
        <v>64.47</v>
      </c>
      <c r="E1632">
        <v>4.0030000000000001</v>
      </c>
      <c r="F1632">
        <v>128.82380649999999</v>
      </c>
      <c r="G1632">
        <v>998362.05</v>
      </c>
      <c r="H1632" t="str">
        <f>TEXT(Ventas[[#This Row],[Fecha_venta]],"dd")</f>
        <v>08</v>
      </c>
      <c r="I1632" t="str">
        <f>TEXT(Ventas[[#This Row],[Fecha_venta]],"m")</f>
        <v>4</v>
      </c>
      <c r="J1632" t="str">
        <f>TEXT(Ventas[[#This Row],[Fecha_venta]],"yyyy")</f>
        <v>2011</v>
      </c>
    </row>
    <row r="1633" spans="1:10" x14ac:dyDescent="0.25">
      <c r="A1633">
        <v>12</v>
      </c>
      <c r="B1633" s="1">
        <v>40648</v>
      </c>
      <c r="C1633">
        <v>0</v>
      </c>
      <c r="D1633">
        <v>57.63</v>
      </c>
      <c r="E1633">
        <v>3.8679999999999999</v>
      </c>
      <c r="F1633">
        <v>128.9107333</v>
      </c>
      <c r="G1633">
        <v>990951.77</v>
      </c>
      <c r="H1633" t="str">
        <f>TEXT(Ventas[[#This Row],[Fecha_venta]],"dd")</f>
        <v>15</v>
      </c>
      <c r="I1633" t="str">
        <f>TEXT(Ventas[[#This Row],[Fecha_venta]],"m")</f>
        <v>4</v>
      </c>
      <c r="J1633" t="str">
        <f>TEXT(Ventas[[#This Row],[Fecha_venta]],"yyyy")</f>
        <v>2011</v>
      </c>
    </row>
    <row r="1634" spans="1:10" x14ac:dyDescent="0.25">
      <c r="A1634">
        <v>12</v>
      </c>
      <c r="B1634" s="1">
        <v>40655</v>
      </c>
      <c r="C1634">
        <v>0</v>
      </c>
      <c r="D1634">
        <v>72.12</v>
      </c>
      <c r="E1634">
        <v>4.1340000000000003</v>
      </c>
      <c r="F1634">
        <v>128.95529999999999</v>
      </c>
      <c r="G1634">
        <v>1016019.47</v>
      </c>
      <c r="H1634" t="str">
        <f>TEXT(Ventas[[#This Row],[Fecha_venta]],"dd")</f>
        <v>22</v>
      </c>
      <c r="I1634" t="str">
        <f>TEXT(Ventas[[#This Row],[Fecha_venta]],"m")</f>
        <v>4</v>
      </c>
      <c r="J1634" t="str">
        <f>TEXT(Ventas[[#This Row],[Fecha_venta]],"yyyy")</f>
        <v>2011</v>
      </c>
    </row>
    <row r="1635" spans="1:10" x14ac:dyDescent="0.25">
      <c r="A1635">
        <v>12</v>
      </c>
      <c r="B1635" s="1">
        <v>40662</v>
      </c>
      <c r="C1635">
        <v>0</v>
      </c>
      <c r="D1635">
        <v>68.27</v>
      </c>
      <c r="E1635">
        <v>4.1509999999999998</v>
      </c>
      <c r="F1635">
        <v>128.99986670000001</v>
      </c>
      <c r="G1635">
        <v>994966.1</v>
      </c>
      <c r="H1635" t="str">
        <f>TEXT(Ventas[[#This Row],[Fecha_venta]],"dd")</f>
        <v>29</v>
      </c>
      <c r="I1635" t="str">
        <f>TEXT(Ventas[[#This Row],[Fecha_venta]],"m")</f>
        <v>4</v>
      </c>
      <c r="J1635" t="str">
        <f>TEXT(Ventas[[#This Row],[Fecha_venta]],"yyyy")</f>
        <v>2011</v>
      </c>
    </row>
    <row r="1636" spans="1:10" x14ac:dyDescent="0.25">
      <c r="A1636">
        <v>12</v>
      </c>
      <c r="B1636" s="1">
        <v>40669</v>
      </c>
      <c r="C1636">
        <v>0</v>
      </c>
      <c r="D1636">
        <v>68.400000000000006</v>
      </c>
      <c r="E1636">
        <v>4.1929999999999996</v>
      </c>
      <c r="F1636">
        <v>129.04443330000001</v>
      </c>
      <c r="G1636">
        <v>1021154.48</v>
      </c>
      <c r="H1636" t="str">
        <f>TEXT(Ventas[[#This Row],[Fecha_venta]],"dd")</f>
        <v>06</v>
      </c>
      <c r="I1636" t="str">
        <f>TEXT(Ventas[[#This Row],[Fecha_venta]],"m")</f>
        <v>5</v>
      </c>
      <c r="J1636" t="str">
        <f>TEXT(Ventas[[#This Row],[Fecha_venta]],"yyyy")</f>
        <v>2011</v>
      </c>
    </row>
    <row r="1637" spans="1:10" x14ac:dyDescent="0.25">
      <c r="A1637">
        <v>12</v>
      </c>
      <c r="B1637" s="1">
        <v>40676</v>
      </c>
      <c r="C1637">
        <v>0</v>
      </c>
      <c r="D1637">
        <v>70.930000000000007</v>
      </c>
      <c r="E1637">
        <v>4.202</v>
      </c>
      <c r="F1637">
        <v>129.089</v>
      </c>
      <c r="G1637">
        <v>977033.5</v>
      </c>
      <c r="H1637" t="str">
        <f>TEXT(Ventas[[#This Row],[Fecha_venta]],"dd")</f>
        <v>13</v>
      </c>
      <c r="I1637" t="str">
        <f>TEXT(Ventas[[#This Row],[Fecha_venta]],"m")</f>
        <v>5</v>
      </c>
      <c r="J1637" t="str">
        <f>TEXT(Ventas[[#This Row],[Fecha_venta]],"yyyy")</f>
        <v>2011</v>
      </c>
    </row>
    <row r="1638" spans="1:10" x14ac:dyDescent="0.25">
      <c r="A1638">
        <v>12</v>
      </c>
      <c r="B1638" s="1">
        <v>40683</v>
      </c>
      <c r="C1638">
        <v>0</v>
      </c>
      <c r="D1638">
        <v>66.59</v>
      </c>
      <c r="E1638">
        <v>4.1689999999999996</v>
      </c>
      <c r="F1638">
        <v>129.07567739999999</v>
      </c>
      <c r="G1638">
        <v>924134.99</v>
      </c>
      <c r="H1638" t="str">
        <f>TEXT(Ventas[[#This Row],[Fecha_venta]],"dd")</f>
        <v>20</v>
      </c>
      <c r="I1638" t="str">
        <f>TEXT(Ventas[[#This Row],[Fecha_venta]],"m")</f>
        <v>5</v>
      </c>
      <c r="J1638" t="str">
        <f>TEXT(Ventas[[#This Row],[Fecha_venta]],"yyyy")</f>
        <v>2011</v>
      </c>
    </row>
    <row r="1639" spans="1:10" x14ac:dyDescent="0.25">
      <c r="A1639">
        <v>12</v>
      </c>
      <c r="B1639" s="1">
        <v>40690</v>
      </c>
      <c r="C1639">
        <v>0</v>
      </c>
      <c r="D1639">
        <v>76.67</v>
      </c>
      <c r="E1639">
        <v>4.0869999999999997</v>
      </c>
      <c r="F1639">
        <v>129.06235480000001</v>
      </c>
      <c r="G1639">
        <v>964332.51</v>
      </c>
      <c r="H1639" t="str">
        <f>TEXT(Ventas[[#This Row],[Fecha_venta]],"dd")</f>
        <v>27</v>
      </c>
      <c r="I1639" t="str">
        <f>TEXT(Ventas[[#This Row],[Fecha_venta]],"m")</f>
        <v>5</v>
      </c>
      <c r="J1639" t="str">
        <f>TEXT(Ventas[[#This Row],[Fecha_venta]],"yyyy")</f>
        <v>2011</v>
      </c>
    </row>
    <row r="1640" spans="1:10" x14ac:dyDescent="0.25">
      <c r="A1640">
        <v>12</v>
      </c>
      <c r="B1640" s="1">
        <v>40697</v>
      </c>
      <c r="C1640">
        <v>0</v>
      </c>
      <c r="D1640">
        <v>71.81</v>
      </c>
      <c r="E1640">
        <v>4.0309999999999997</v>
      </c>
      <c r="F1640">
        <v>129.04903229999999</v>
      </c>
      <c r="G1640">
        <v>970328.68</v>
      </c>
      <c r="H1640" t="str">
        <f>TEXT(Ventas[[#This Row],[Fecha_venta]],"dd")</f>
        <v>03</v>
      </c>
      <c r="I1640" t="str">
        <f>TEXT(Ventas[[#This Row],[Fecha_venta]],"m")</f>
        <v>6</v>
      </c>
      <c r="J1640" t="str">
        <f>TEXT(Ventas[[#This Row],[Fecha_venta]],"yyyy")</f>
        <v>2011</v>
      </c>
    </row>
    <row r="1641" spans="1:10" x14ac:dyDescent="0.25">
      <c r="A1641">
        <v>12</v>
      </c>
      <c r="B1641" s="1">
        <v>40704</v>
      </c>
      <c r="C1641">
        <v>0</v>
      </c>
      <c r="D1641">
        <v>78.72</v>
      </c>
      <c r="E1641">
        <v>3.9809999999999999</v>
      </c>
      <c r="F1641">
        <v>129.03570970000001</v>
      </c>
      <c r="G1641">
        <v>996937.95</v>
      </c>
      <c r="H1641" t="str">
        <f>TEXT(Ventas[[#This Row],[Fecha_venta]],"dd")</f>
        <v>10</v>
      </c>
      <c r="I1641" t="str">
        <f>TEXT(Ventas[[#This Row],[Fecha_venta]],"m")</f>
        <v>6</v>
      </c>
      <c r="J1641" t="str">
        <f>TEXT(Ventas[[#This Row],[Fecha_venta]],"yyyy")</f>
        <v>2011</v>
      </c>
    </row>
    <row r="1642" spans="1:10" x14ac:dyDescent="0.25">
      <c r="A1642">
        <v>12</v>
      </c>
      <c r="B1642" s="1">
        <v>40711</v>
      </c>
      <c r="C1642">
        <v>0</v>
      </c>
      <c r="D1642">
        <v>86.84</v>
      </c>
      <c r="E1642">
        <v>3.9350000000000001</v>
      </c>
      <c r="F1642">
        <v>129.04320000000001</v>
      </c>
      <c r="G1642">
        <v>986504.93</v>
      </c>
      <c r="H1642" t="str">
        <f>TEXT(Ventas[[#This Row],[Fecha_venta]],"dd")</f>
        <v>17</v>
      </c>
      <c r="I1642" t="str">
        <f>TEXT(Ventas[[#This Row],[Fecha_venta]],"m")</f>
        <v>6</v>
      </c>
      <c r="J1642" t="str">
        <f>TEXT(Ventas[[#This Row],[Fecha_venta]],"yyyy")</f>
        <v>2011</v>
      </c>
    </row>
    <row r="1643" spans="1:10" x14ac:dyDescent="0.25">
      <c r="A1643">
        <v>12</v>
      </c>
      <c r="B1643" s="1">
        <v>40718</v>
      </c>
      <c r="C1643">
        <v>0</v>
      </c>
      <c r="D1643">
        <v>88.95</v>
      </c>
      <c r="E1643">
        <v>3.8980000000000001</v>
      </c>
      <c r="F1643">
        <v>129.06630000000001</v>
      </c>
      <c r="G1643">
        <v>997282.75</v>
      </c>
      <c r="H1643" t="str">
        <f>TEXT(Ventas[[#This Row],[Fecha_venta]],"dd")</f>
        <v>24</v>
      </c>
      <c r="I1643" t="str">
        <f>TEXT(Ventas[[#This Row],[Fecha_venta]],"m")</f>
        <v>6</v>
      </c>
      <c r="J1643" t="str">
        <f>TEXT(Ventas[[#This Row],[Fecha_venta]],"yyyy")</f>
        <v>2011</v>
      </c>
    </row>
    <row r="1644" spans="1:10" x14ac:dyDescent="0.25">
      <c r="A1644">
        <v>12</v>
      </c>
      <c r="B1644" s="1">
        <v>40725</v>
      </c>
      <c r="C1644">
        <v>0</v>
      </c>
      <c r="D1644">
        <v>89.85</v>
      </c>
      <c r="E1644">
        <v>3.8420000000000001</v>
      </c>
      <c r="F1644">
        <v>129.08940000000001</v>
      </c>
      <c r="G1644">
        <v>961993.34</v>
      </c>
      <c r="H1644" t="str">
        <f>TEXT(Ventas[[#This Row],[Fecha_venta]],"dd")</f>
        <v>01</v>
      </c>
      <c r="I1644" t="str">
        <f>TEXT(Ventas[[#This Row],[Fecha_venta]],"m")</f>
        <v>7</v>
      </c>
      <c r="J1644" t="str">
        <f>TEXT(Ventas[[#This Row],[Fecha_venta]],"yyyy")</f>
        <v>2011</v>
      </c>
    </row>
    <row r="1645" spans="1:10" x14ac:dyDescent="0.25">
      <c r="A1645">
        <v>12</v>
      </c>
      <c r="B1645" s="1">
        <v>40732</v>
      </c>
      <c r="C1645">
        <v>0</v>
      </c>
      <c r="D1645">
        <v>89.9</v>
      </c>
      <c r="E1645">
        <v>3.7050000000000001</v>
      </c>
      <c r="F1645">
        <v>129.11250000000001</v>
      </c>
      <c r="G1645">
        <v>943717.38</v>
      </c>
      <c r="H1645" t="str">
        <f>TEXT(Ventas[[#This Row],[Fecha_venta]],"dd")</f>
        <v>08</v>
      </c>
      <c r="I1645" t="str">
        <f>TEXT(Ventas[[#This Row],[Fecha_venta]],"m")</f>
        <v>7</v>
      </c>
      <c r="J1645" t="str">
        <f>TEXT(Ventas[[#This Row],[Fecha_venta]],"yyyy")</f>
        <v>2011</v>
      </c>
    </row>
    <row r="1646" spans="1:10" x14ac:dyDescent="0.25">
      <c r="A1646">
        <v>12</v>
      </c>
      <c r="B1646" s="1">
        <v>40739</v>
      </c>
      <c r="C1646">
        <v>0</v>
      </c>
      <c r="D1646">
        <v>88.1</v>
      </c>
      <c r="E1646">
        <v>3.6920000000000002</v>
      </c>
      <c r="F1646">
        <v>129.13383870000001</v>
      </c>
      <c r="G1646">
        <v>936001.98</v>
      </c>
      <c r="H1646" t="str">
        <f>TEXT(Ventas[[#This Row],[Fecha_venta]],"dd")</f>
        <v>15</v>
      </c>
      <c r="I1646" t="str">
        <f>TEXT(Ventas[[#This Row],[Fecha_venta]],"m")</f>
        <v>7</v>
      </c>
      <c r="J1646" t="str">
        <f>TEXT(Ventas[[#This Row],[Fecha_venta]],"yyyy")</f>
        <v>2011</v>
      </c>
    </row>
    <row r="1647" spans="1:10" x14ac:dyDescent="0.25">
      <c r="A1647">
        <v>12</v>
      </c>
      <c r="B1647" s="1">
        <v>40746</v>
      </c>
      <c r="C1647">
        <v>0</v>
      </c>
      <c r="D1647">
        <v>91.17</v>
      </c>
      <c r="E1647">
        <v>3.794</v>
      </c>
      <c r="F1647">
        <v>129.1507742</v>
      </c>
      <c r="G1647">
        <v>922231.92</v>
      </c>
      <c r="H1647" t="str">
        <f>TEXT(Ventas[[#This Row],[Fecha_venta]],"dd")</f>
        <v>22</v>
      </c>
      <c r="I1647" t="str">
        <f>TEXT(Ventas[[#This Row],[Fecha_venta]],"m")</f>
        <v>7</v>
      </c>
      <c r="J1647" t="str">
        <f>TEXT(Ventas[[#This Row],[Fecha_venta]],"yyyy")</f>
        <v>2011</v>
      </c>
    </row>
    <row r="1648" spans="1:10" x14ac:dyDescent="0.25">
      <c r="A1648">
        <v>12</v>
      </c>
      <c r="B1648" s="1">
        <v>40753</v>
      </c>
      <c r="C1648">
        <v>0</v>
      </c>
      <c r="D1648">
        <v>93.29</v>
      </c>
      <c r="E1648">
        <v>3.8050000000000002</v>
      </c>
      <c r="F1648">
        <v>129.16770969999999</v>
      </c>
      <c r="G1648">
        <v>890547.07</v>
      </c>
      <c r="H1648" t="str">
        <f>TEXT(Ventas[[#This Row],[Fecha_venta]],"dd")</f>
        <v>29</v>
      </c>
      <c r="I1648" t="str">
        <f>TEXT(Ventas[[#This Row],[Fecha_venta]],"m")</f>
        <v>7</v>
      </c>
      <c r="J1648" t="str">
        <f>TEXT(Ventas[[#This Row],[Fecha_venta]],"yyyy")</f>
        <v>2011</v>
      </c>
    </row>
    <row r="1649" spans="1:10" x14ac:dyDescent="0.25">
      <c r="A1649">
        <v>12</v>
      </c>
      <c r="B1649" s="1">
        <v>40760</v>
      </c>
      <c r="C1649">
        <v>0</v>
      </c>
      <c r="D1649">
        <v>90.61</v>
      </c>
      <c r="E1649">
        <v>3.8029999999999999</v>
      </c>
      <c r="F1649">
        <v>129.18464520000001</v>
      </c>
      <c r="G1649">
        <v>988712.52</v>
      </c>
      <c r="H1649" t="str">
        <f>TEXT(Ventas[[#This Row],[Fecha_venta]],"dd")</f>
        <v>05</v>
      </c>
      <c r="I1649" t="str">
        <f>TEXT(Ventas[[#This Row],[Fecha_venta]],"m")</f>
        <v>8</v>
      </c>
      <c r="J1649" t="str">
        <f>TEXT(Ventas[[#This Row],[Fecha_venta]],"yyyy")</f>
        <v>2011</v>
      </c>
    </row>
    <row r="1650" spans="1:10" x14ac:dyDescent="0.25">
      <c r="A1650">
        <v>12</v>
      </c>
      <c r="B1650" s="1">
        <v>40767</v>
      </c>
      <c r="C1650">
        <v>0</v>
      </c>
      <c r="D1650">
        <v>91.04</v>
      </c>
      <c r="E1650">
        <v>3.7010000000000001</v>
      </c>
      <c r="F1650">
        <v>129.2015806</v>
      </c>
      <c r="G1650">
        <v>955913.68</v>
      </c>
      <c r="H1650" t="str">
        <f>TEXT(Ventas[[#This Row],[Fecha_venta]],"dd")</f>
        <v>12</v>
      </c>
      <c r="I1650" t="str">
        <f>TEXT(Ventas[[#This Row],[Fecha_venta]],"m")</f>
        <v>8</v>
      </c>
      <c r="J1650" t="str">
        <f>TEXT(Ventas[[#This Row],[Fecha_venta]],"yyyy")</f>
        <v>2011</v>
      </c>
    </row>
    <row r="1651" spans="1:10" x14ac:dyDescent="0.25">
      <c r="A1651">
        <v>12</v>
      </c>
      <c r="B1651" s="1">
        <v>40774</v>
      </c>
      <c r="C1651">
        <v>0</v>
      </c>
      <c r="D1651">
        <v>91.74</v>
      </c>
      <c r="E1651">
        <v>3.7429999999999999</v>
      </c>
      <c r="F1651">
        <v>129.24058059999999</v>
      </c>
      <c r="G1651">
        <v>966817.24</v>
      </c>
      <c r="H1651" t="str">
        <f>TEXT(Ventas[[#This Row],[Fecha_venta]],"dd")</f>
        <v>19</v>
      </c>
      <c r="I1651" t="str">
        <f>TEXT(Ventas[[#This Row],[Fecha_venta]],"m")</f>
        <v>8</v>
      </c>
      <c r="J1651" t="str">
        <f>TEXT(Ventas[[#This Row],[Fecha_venta]],"yyyy")</f>
        <v>2011</v>
      </c>
    </row>
    <row r="1652" spans="1:10" x14ac:dyDescent="0.25">
      <c r="A1652">
        <v>12</v>
      </c>
      <c r="B1652" s="1">
        <v>40781</v>
      </c>
      <c r="C1652">
        <v>0</v>
      </c>
      <c r="D1652">
        <v>94.61</v>
      </c>
      <c r="E1652">
        <v>3.74</v>
      </c>
      <c r="F1652">
        <v>129.28325810000001</v>
      </c>
      <c r="G1652">
        <v>1017593.47</v>
      </c>
      <c r="H1652" t="str">
        <f>TEXT(Ventas[[#This Row],[Fecha_venta]],"dd")</f>
        <v>26</v>
      </c>
      <c r="I1652" t="str">
        <f>TEXT(Ventas[[#This Row],[Fecha_venta]],"m")</f>
        <v>8</v>
      </c>
      <c r="J1652" t="str">
        <f>TEXT(Ventas[[#This Row],[Fecha_venta]],"yyyy")</f>
        <v>2011</v>
      </c>
    </row>
    <row r="1653" spans="1:10" x14ac:dyDescent="0.25">
      <c r="A1653">
        <v>12</v>
      </c>
      <c r="B1653" s="1">
        <v>40788</v>
      </c>
      <c r="C1653">
        <v>0</v>
      </c>
      <c r="D1653">
        <v>93.66</v>
      </c>
      <c r="E1653">
        <v>3.798</v>
      </c>
      <c r="F1653">
        <v>129.32593550000001</v>
      </c>
      <c r="G1653">
        <v>1052051.45</v>
      </c>
      <c r="H1653" t="str">
        <f>TEXT(Ventas[[#This Row],[Fecha_venta]],"dd")</f>
        <v>02</v>
      </c>
      <c r="I1653" t="str">
        <f>TEXT(Ventas[[#This Row],[Fecha_venta]],"m")</f>
        <v>9</v>
      </c>
      <c r="J1653" t="str">
        <f>TEXT(Ventas[[#This Row],[Fecha_venta]],"yyyy")</f>
        <v>2011</v>
      </c>
    </row>
    <row r="1654" spans="1:10" x14ac:dyDescent="0.25">
      <c r="A1654">
        <v>12</v>
      </c>
      <c r="B1654" s="1">
        <v>40795</v>
      </c>
      <c r="C1654">
        <v>1</v>
      </c>
      <c r="D1654">
        <v>88</v>
      </c>
      <c r="E1654">
        <v>3.9129999999999998</v>
      </c>
      <c r="F1654">
        <v>129.36861289999999</v>
      </c>
      <c r="G1654">
        <v>922850.57</v>
      </c>
      <c r="H1654" t="str">
        <f>TEXT(Ventas[[#This Row],[Fecha_venta]],"dd")</f>
        <v>09</v>
      </c>
      <c r="I1654" t="str">
        <f>TEXT(Ventas[[#This Row],[Fecha_venta]],"m")</f>
        <v>9</v>
      </c>
      <c r="J1654" t="str">
        <f>TEXT(Ventas[[#This Row],[Fecha_venta]],"yyyy")</f>
        <v>2011</v>
      </c>
    </row>
    <row r="1655" spans="1:10" x14ac:dyDescent="0.25">
      <c r="A1655">
        <v>12</v>
      </c>
      <c r="B1655" s="1">
        <v>40802</v>
      </c>
      <c r="C1655">
        <v>0</v>
      </c>
      <c r="D1655">
        <v>76.36</v>
      </c>
      <c r="E1655">
        <v>3.9180000000000001</v>
      </c>
      <c r="F1655">
        <v>129.4306</v>
      </c>
      <c r="G1655">
        <v>889290.23</v>
      </c>
      <c r="H1655" t="str">
        <f>TEXT(Ventas[[#This Row],[Fecha_venta]],"dd")</f>
        <v>16</v>
      </c>
      <c r="I1655" t="str">
        <f>TEXT(Ventas[[#This Row],[Fecha_venta]],"m")</f>
        <v>9</v>
      </c>
      <c r="J1655" t="str">
        <f>TEXT(Ventas[[#This Row],[Fecha_venta]],"yyyy")</f>
        <v>2011</v>
      </c>
    </row>
    <row r="1656" spans="1:10" x14ac:dyDescent="0.25">
      <c r="A1656">
        <v>12</v>
      </c>
      <c r="B1656" s="1">
        <v>40809</v>
      </c>
      <c r="C1656">
        <v>0</v>
      </c>
      <c r="D1656">
        <v>82.95</v>
      </c>
      <c r="E1656">
        <v>3.7890000000000001</v>
      </c>
      <c r="F1656">
        <v>129.51833329999999</v>
      </c>
      <c r="G1656">
        <v>871692.74</v>
      </c>
      <c r="H1656" t="str">
        <f>TEXT(Ventas[[#This Row],[Fecha_venta]],"dd")</f>
        <v>23</v>
      </c>
      <c r="I1656" t="str">
        <f>TEXT(Ventas[[#This Row],[Fecha_venta]],"m")</f>
        <v>9</v>
      </c>
      <c r="J1656" t="str">
        <f>TEXT(Ventas[[#This Row],[Fecha_venta]],"yyyy")</f>
        <v>2011</v>
      </c>
    </row>
    <row r="1657" spans="1:10" x14ac:dyDescent="0.25">
      <c r="A1657">
        <v>12</v>
      </c>
      <c r="B1657" s="1">
        <v>40816</v>
      </c>
      <c r="C1657">
        <v>0</v>
      </c>
      <c r="D1657">
        <v>83.26</v>
      </c>
      <c r="E1657">
        <v>3.8769999999999998</v>
      </c>
      <c r="F1657">
        <v>129.60606670000001</v>
      </c>
      <c r="G1657">
        <v>866401.45</v>
      </c>
      <c r="H1657" t="str">
        <f>TEXT(Ventas[[#This Row],[Fecha_venta]],"dd")</f>
        <v>30</v>
      </c>
      <c r="I1657" t="str">
        <f>TEXT(Ventas[[#This Row],[Fecha_venta]],"m")</f>
        <v>9</v>
      </c>
      <c r="J1657" t="str">
        <f>TEXT(Ventas[[#This Row],[Fecha_venta]],"yyyy")</f>
        <v>2011</v>
      </c>
    </row>
    <row r="1658" spans="1:10" x14ac:dyDescent="0.25">
      <c r="A1658">
        <v>12</v>
      </c>
      <c r="B1658" s="1">
        <v>40823</v>
      </c>
      <c r="C1658">
        <v>0</v>
      </c>
      <c r="D1658">
        <v>70.44</v>
      </c>
      <c r="E1658">
        <v>3.827</v>
      </c>
      <c r="F1658">
        <v>129.69380000000001</v>
      </c>
      <c r="G1658">
        <v>951244.66</v>
      </c>
      <c r="H1658" t="str">
        <f>TEXT(Ventas[[#This Row],[Fecha_venta]],"dd")</f>
        <v>07</v>
      </c>
      <c r="I1658" t="str">
        <f>TEXT(Ventas[[#This Row],[Fecha_venta]],"m")</f>
        <v>10</v>
      </c>
      <c r="J1658" t="str">
        <f>TEXT(Ventas[[#This Row],[Fecha_venta]],"yyyy")</f>
        <v>2011</v>
      </c>
    </row>
    <row r="1659" spans="1:10" x14ac:dyDescent="0.25">
      <c r="A1659">
        <v>12</v>
      </c>
      <c r="B1659" s="1">
        <v>40830</v>
      </c>
      <c r="C1659">
        <v>0</v>
      </c>
      <c r="D1659">
        <v>67.31</v>
      </c>
      <c r="E1659">
        <v>3.8050000000000002</v>
      </c>
      <c r="F1659">
        <v>129.77064519999999</v>
      </c>
      <c r="G1659">
        <v>927600.01</v>
      </c>
      <c r="H1659" t="str">
        <f>TEXT(Ventas[[#This Row],[Fecha_venta]],"dd")</f>
        <v>14</v>
      </c>
      <c r="I1659" t="str">
        <f>TEXT(Ventas[[#This Row],[Fecha_venta]],"m")</f>
        <v>10</v>
      </c>
      <c r="J1659" t="str">
        <f>TEXT(Ventas[[#This Row],[Fecha_venta]],"yyyy")</f>
        <v>2011</v>
      </c>
    </row>
    <row r="1660" spans="1:10" x14ac:dyDescent="0.25">
      <c r="A1660">
        <v>12</v>
      </c>
      <c r="B1660" s="1">
        <v>40837</v>
      </c>
      <c r="C1660">
        <v>0</v>
      </c>
      <c r="D1660">
        <v>73.05</v>
      </c>
      <c r="E1660">
        <v>3.8420000000000001</v>
      </c>
      <c r="F1660">
        <v>129.78216130000001</v>
      </c>
      <c r="G1660">
        <v>938604.58</v>
      </c>
      <c r="H1660" t="str">
        <f>TEXT(Ventas[[#This Row],[Fecha_venta]],"dd")</f>
        <v>21</v>
      </c>
      <c r="I1660" t="str">
        <f>TEXT(Ventas[[#This Row],[Fecha_venta]],"m")</f>
        <v>10</v>
      </c>
      <c r="J1660" t="str">
        <f>TEXT(Ventas[[#This Row],[Fecha_venta]],"yyyy")</f>
        <v>2011</v>
      </c>
    </row>
    <row r="1661" spans="1:10" x14ac:dyDescent="0.25">
      <c r="A1661">
        <v>12</v>
      </c>
      <c r="B1661" s="1">
        <v>40844</v>
      </c>
      <c r="C1661">
        <v>0</v>
      </c>
      <c r="D1661">
        <v>67.41</v>
      </c>
      <c r="E1661">
        <v>3.7269999999999999</v>
      </c>
      <c r="F1661">
        <v>129.79367740000001</v>
      </c>
      <c r="G1661">
        <v>990926.38</v>
      </c>
      <c r="H1661" t="str">
        <f>TEXT(Ventas[[#This Row],[Fecha_venta]],"dd")</f>
        <v>28</v>
      </c>
      <c r="I1661" t="str">
        <f>TEXT(Ventas[[#This Row],[Fecha_venta]],"m")</f>
        <v>10</v>
      </c>
      <c r="J1661" t="str">
        <f>TEXT(Ventas[[#This Row],[Fecha_venta]],"yyyy")</f>
        <v>2011</v>
      </c>
    </row>
    <row r="1662" spans="1:10" x14ac:dyDescent="0.25">
      <c r="A1662">
        <v>12</v>
      </c>
      <c r="B1662" s="1">
        <v>40851</v>
      </c>
      <c r="C1662">
        <v>0</v>
      </c>
      <c r="D1662">
        <v>59.77</v>
      </c>
      <c r="E1662">
        <v>3.8279999999999998</v>
      </c>
      <c r="F1662">
        <v>129.8051935</v>
      </c>
      <c r="G1662">
        <v>1051944.79</v>
      </c>
      <c r="H1662" t="str">
        <f>TEXT(Ventas[[#This Row],[Fecha_venta]],"dd")</f>
        <v>04</v>
      </c>
      <c r="I1662" t="str">
        <f>TEXT(Ventas[[#This Row],[Fecha_venta]],"m")</f>
        <v>11</v>
      </c>
      <c r="J1662" t="str">
        <f>TEXT(Ventas[[#This Row],[Fecha_venta]],"yyyy")</f>
        <v>2011</v>
      </c>
    </row>
    <row r="1663" spans="1:10" x14ac:dyDescent="0.25">
      <c r="A1663">
        <v>12</v>
      </c>
      <c r="B1663" s="1">
        <v>40858</v>
      </c>
      <c r="C1663">
        <v>0</v>
      </c>
      <c r="D1663">
        <v>48.76</v>
      </c>
      <c r="E1663">
        <v>3.8239999999999998</v>
      </c>
      <c r="F1663">
        <v>129.81670969999999</v>
      </c>
      <c r="G1663">
        <v>1095091.53</v>
      </c>
      <c r="H1663" t="str">
        <f>TEXT(Ventas[[#This Row],[Fecha_venta]],"dd")</f>
        <v>11</v>
      </c>
      <c r="I1663" t="str">
        <f>TEXT(Ventas[[#This Row],[Fecha_venta]],"m")</f>
        <v>11</v>
      </c>
      <c r="J1663" t="str">
        <f>TEXT(Ventas[[#This Row],[Fecha_venta]],"yyyy")</f>
        <v>2011</v>
      </c>
    </row>
    <row r="1664" spans="1:10" x14ac:dyDescent="0.25">
      <c r="A1664">
        <v>12</v>
      </c>
      <c r="B1664" s="1">
        <v>40865</v>
      </c>
      <c r="C1664">
        <v>0</v>
      </c>
      <c r="D1664">
        <v>54.2</v>
      </c>
      <c r="E1664">
        <v>3.8130000000000002</v>
      </c>
      <c r="F1664">
        <v>129.8268333</v>
      </c>
      <c r="G1664">
        <v>970641.34</v>
      </c>
      <c r="H1664" t="str">
        <f>TEXT(Ventas[[#This Row],[Fecha_venta]],"dd")</f>
        <v>18</v>
      </c>
      <c r="I1664" t="str">
        <f>TEXT(Ventas[[#This Row],[Fecha_venta]],"m")</f>
        <v>11</v>
      </c>
      <c r="J1664" t="str">
        <f>TEXT(Ventas[[#This Row],[Fecha_venta]],"yyyy")</f>
        <v>2011</v>
      </c>
    </row>
    <row r="1665" spans="1:10" x14ac:dyDescent="0.25">
      <c r="A1665">
        <v>12</v>
      </c>
      <c r="B1665" s="1">
        <v>40872</v>
      </c>
      <c r="C1665">
        <v>1</v>
      </c>
      <c r="D1665">
        <v>53.25</v>
      </c>
      <c r="E1665">
        <v>3.6219999999999999</v>
      </c>
      <c r="F1665">
        <v>129.8364</v>
      </c>
      <c r="G1665">
        <v>1591920.42</v>
      </c>
      <c r="H1665" t="str">
        <f>TEXT(Ventas[[#This Row],[Fecha_venta]],"dd")</f>
        <v>25</v>
      </c>
      <c r="I1665" t="str">
        <f>TEXT(Ventas[[#This Row],[Fecha_venta]],"m")</f>
        <v>11</v>
      </c>
      <c r="J1665" t="str">
        <f>TEXT(Ventas[[#This Row],[Fecha_venta]],"yyyy")</f>
        <v>2011</v>
      </c>
    </row>
    <row r="1666" spans="1:10" x14ac:dyDescent="0.25">
      <c r="A1666">
        <v>12</v>
      </c>
      <c r="B1666" s="1">
        <v>40879</v>
      </c>
      <c r="C1666">
        <v>0</v>
      </c>
      <c r="D1666">
        <v>52.5</v>
      </c>
      <c r="E1666">
        <v>3.7010000000000001</v>
      </c>
      <c r="F1666">
        <v>129.84596669999999</v>
      </c>
      <c r="G1666">
        <v>1071383.1000000001</v>
      </c>
      <c r="H1666" t="str">
        <f>TEXT(Ventas[[#This Row],[Fecha_venta]],"dd")</f>
        <v>02</v>
      </c>
      <c r="I1666" t="str">
        <f>TEXT(Ventas[[#This Row],[Fecha_venta]],"m")</f>
        <v>12</v>
      </c>
      <c r="J1666" t="str">
        <f>TEXT(Ventas[[#This Row],[Fecha_venta]],"yyyy")</f>
        <v>2011</v>
      </c>
    </row>
    <row r="1667" spans="1:10" x14ac:dyDescent="0.25">
      <c r="A1667">
        <v>12</v>
      </c>
      <c r="B1667" s="1">
        <v>40886</v>
      </c>
      <c r="C1667">
        <v>0</v>
      </c>
      <c r="D1667">
        <v>42.17</v>
      </c>
      <c r="E1667">
        <v>3.6440000000000001</v>
      </c>
      <c r="F1667">
        <v>129.85553329999999</v>
      </c>
      <c r="G1667">
        <v>1189646.45</v>
      </c>
      <c r="H1667" t="str">
        <f>TEXT(Ventas[[#This Row],[Fecha_venta]],"dd")</f>
        <v>09</v>
      </c>
      <c r="I1667" t="str">
        <f>TEXT(Ventas[[#This Row],[Fecha_venta]],"m")</f>
        <v>12</v>
      </c>
      <c r="J1667" t="str">
        <f>TEXT(Ventas[[#This Row],[Fecha_venta]],"yyyy")</f>
        <v>2011</v>
      </c>
    </row>
    <row r="1668" spans="1:10" x14ac:dyDescent="0.25">
      <c r="A1668">
        <v>12</v>
      </c>
      <c r="B1668" s="1">
        <v>40893</v>
      </c>
      <c r="C1668">
        <v>0</v>
      </c>
      <c r="D1668">
        <v>43.29</v>
      </c>
      <c r="E1668">
        <v>3.6</v>
      </c>
      <c r="F1668">
        <v>129.8980645</v>
      </c>
      <c r="G1668">
        <v>1293404.18</v>
      </c>
      <c r="H1668" t="str">
        <f>TEXT(Ventas[[#This Row],[Fecha_venta]],"dd")</f>
        <v>16</v>
      </c>
      <c r="I1668" t="str">
        <f>TEXT(Ventas[[#This Row],[Fecha_venta]],"m")</f>
        <v>12</v>
      </c>
      <c r="J1668" t="str">
        <f>TEXT(Ventas[[#This Row],[Fecha_venta]],"yyyy")</f>
        <v>2011</v>
      </c>
    </row>
    <row r="1669" spans="1:10" x14ac:dyDescent="0.25">
      <c r="A1669">
        <v>12</v>
      </c>
      <c r="B1669" s="1">
        <v>40900</v>
      </c>
      <c r="C1669">
        <v>0</v>
      </c>
      <c r="D1669">
        <v>45.4</v>
      </c>
      <c r="E1669">
        <v>3.5409999999999999</v>
      </c>
      <c r="F1669">
        <v>129.98454839999999</v>
      </c>
      <c r="G1669">
        <v>1617612.03</v>
      </c>
      <c r="H1669" t="str">
        <f>TEXT(Ventas[[#This Row],[Fecha_venta]],"dd")</f>
        <v>23</v>
      </c>
      <c r="I1669" t="str">
        <f>TEXT(Ventas[[#This Row],[Fecha_venta]],"m")</f>
        <v>12</v>
      </c>
      <c r="J1669" t="str">
        <f>TEXT(Ventas[[#This Row],[Fecha_venta]],"yyyy")</f>
        <v>2011</v>
      </c>
    </row>
    <row r="1670" spans="1:10" x14ac:dyDescent="0.25">
      <c r="A1670">
        <v>12</v>
      </c>
      <c r="B1670" s="1">
        <v>40907</v>
      </c>
      <c r="C1670">
        <v>1</v>
      </c>
      <c r="D1670">
        <v>44.64</v>
      </c>
      <c r="E1670">
        <v>3.4279999999999999</v>
      </c>
      <c r="F1670">
        <v>130.07103230000001</v>
      </c>
      <c r="G1670">
        <v>1111638.07</v>
      </c>
      <c r="H1670" t="str">
        <f>TEXT(Ventas[[#This Row],[Fecha_venta]],"dd")</f>
        <v>30</v>
      </c>
      <c r="I1670" t="str">
        <f>TEXT(Ventas[[#This Row],[Fecha_venta]],"m")</f>
        <v>12</v>
      </c>
      <c r="J1670" t="str">
        <f>TEXT(Ventas[[#This Row],[Fecha_venta]],"yyyy")</f>
        <v>2011</v>
      </c>
    </row>
    <row r="1671" spans="1:10" x14ac:dyDescent="0.25">
      <c r="A1671">
        <v>12</v>
      </c>
      <c r="B1671" s="1">
        <v>40914</v>
      </c>
      <c r="C1671">
        <v>0</v>
      </c>
      <c r="D1671">
        <v>50.43</v>
      </c>
      <c r="E1671">
        <v>3.5990000000000002</v>
      </c>
      <c r="F1671">
        <v>130.15751610000001</v>
      </c>
      <c r="G1671">
        <v>945823.65</v>
      </c>
      <c r="H1671" t="str">
        <f>TEXT(Ventas[[#This Row],[Fecha_venta]],"dd")</f>
        <v>06</v>
      </c>
      <c r="I1671" t="str">
        <f>TEXT(Ventas[[#This Row],[Fecha_venta]],"m")</f>
        <v>1</v>
      </c>
      <c r="J1671" t="str">
        <f>TEXT(Ventas[[#This Row],[Fecha_venta]],"yyyy")</f>
        <v>2012</v>
      </c>
    </row>
    <row r="1672" spans="1:10" x14ac:dyDescent="0.25">
      <c r="A1672">
        <v>12</v>
      </c>
      <c r="B1672" s="1">
        <v>40921</v>
      </c>
      <c r="C1672">
        <v>0</v>
      </c>
      <c r="D1672">
        <v>48.07</v>
      </c>
      <c r="E1672">
        <v>3.657</v>
      </c>
      <c r="F1672">
        <v>130.244</v>
      </c>
      <c r="G1672">
        <v>865467.86</v>
      </c>
      <c r="H1672" t="str">
        <f>TEXT(Ventas[[#This Row],[Fecha_venta]],"dd")</f>
        <v>13</v>
      </c>
      <c r="I1672" t="str">
        <f>TEXT(Ventas[[#This Row],[Fecha_venta]],"m")</f>
        <v>1</v>
      </c>
      <c r="J1672" t="str">
        <f>TEXT(Ventas[[#This Row],[Fecha_venta]],"yyyy")</f>
        <v>2012</v>
      </c>
    </row>
    <row r="1673" spans="1:10" x14ac:dyDescent="0.25">
      <c r="A1673">
        <v>12</v>
      </c>
      <c r="B1673" s="1">
        <v>40928</v>
      </c>
      <c r="C1673">
        <v>0</v>
      </c>
      <c r="D1673">
        <v>46.2</v>
      </c>
      <c r="E1673">
        <v>3.66</v>
      </c>
      <c r="F1673">
        <v>130.27922580000001</v>
      </c>
      <c r="G1673">
        <v>855922.64</v>
      </c>
      <c r="H1673" t="str">
        <f>TEXT(Ventas[[#This Row],[Fecha_venta]],"dd")</f>
        <v>20</v>
      </c>
      <c r="I1673" t="str">
        <f>TEXT(Ventas[[#This Row],[Fecha_venta]],"m")</f>
        <v>1</v>
      </c>
      <c r="J1673" t="str">
        <f>TEXT(Ventas[[#This Row],[Fecha_venta]],"yyyy")</f>
        <v>2012</v>
      </c>
    </row>
    <row r="1674" spans="1:10" x14ac:dyDescent="0.25">
      <c r="A1674">
        <v>12</v>
      </c>
      <c r="B1674" s="1">
        <v>40935</v>
      </c>
      <c r="C1674">
        <v>0</v>
      </c>
      <c r="D1674">
        <v>50.43</v>
      </c>
      <c r="E1674">
        <v>3.6749999999999998</v>
      </c>
      <c r="F1674">
        <v>130.31445160000001</v>
      </c>
      <c r="G1674">
        <v>888203.69</v>
      </c>
      <c r="H1674" t="str">
        <f>TEXT(Ventas[[#This Row],[Fecha_venta]],"dd")</f>
        <v>27</v>
      </c>
      <c r="I1674" t="str">
        <f>TEXT(Ventas[[#This Row],[Fecha_venta]],"m")</f>
        <v>1</v>
      </c>
      <c r="J1674" t="str">
        <f>TEXT(Ventas[[#This Row],[Fecha_venta]],"yyyy")</f>
        <v>2012</v>
      </c>
    </row>
    <row r="1675" spans="1:10" x14ac:dyDescent="0.25">
      <c r="A1675">
        <v>12</v>
      </c>
      <c r="B1675" s="1">
        <v>40942</v>
      </c>
      <c r="C1675">
        <v>0</v>
      </c>
      <c r="D1675">
        <v>50.58</v>
      </c>
      <c r="E1675">
        <v>3.702</v>
      </c>
      <c r="F1675">
        <v>130.34967739999999</v>
      </c>
      <c r="G1675">
        <v>1058767.95</v>
      </c>
      <c r="H1675" t="str">
        <f>TEXT(Ventas[[#This Row],[Fecha_venta]],"dd")</f>
        <v>03</v>
      </c>
      <c r="I1675" t="str">
        <f>TEXT(Ventas[[#This Row],[Fecha_venta]],"m")</f>
        <v>2</v>
      </c>
      <c r="J1675" t="str">
        <f>TEXT(Ventas[[#This Row],[Fecha_venta]],"yyyy")</f>
        <v>2012</v>
      </c>
    </row>
    <row r="1676" spans="1:10" x14ac:dyDescent="0.25">
      <c r="A1676">
        <v>12</v>
      </c>
      <c r="B1676" s="1">
        <v>40949</v>
      </c>
      <c r="C1676">
        <v>1</v>
      </c>
      <c r="D1676">
        <v>52.27</v>
      </c>
      <c r="E1676">
        <v>3.722</v>
      </c>
      <c r="F1676">
        <v>130.3849032</v>
      </c>
      <c r="G1676">
        <v>1199330.8500000001</v>
      </c>
      <c r="H1676" t="str">
        <f>TEXT(Ventas[[#This Row],[Fecha_venta]],"dd")</f>
        <v>10</v>
      </c>
      <c r="I1676" t="str">
        <f>TEXT(Ventas[[#This Row],[Fecha_venta]],"m")</f>
        <v>2</v>
      </c>
      <c r="J1676" t="str">
        <f>TEXT(Ventas[[#This Row],[Fecha_venta]],"yyyy")</f>
        <v>2012</v>
      </c>
    </row>
    <row r="1677" spans="1:10" x14ac:dyDescent="0.25">
      <c r="A1677">
        <v>12</v>
      </c>
      <c r="B1677" s="1">
        <v>40956</v>
      </c>
      <c r="C1677">
        <v>0</v>
      </c>
      <c r="D1677">
        <v>51.8</v>
      </c>
      <c r="E1677">
        <v>3.7810000000000001</v>
      </c>
      <c r="F1677">
        <v>130.45462069999999</v>
      </c>
      <c r="G1677">
        <v>1240048.8500000001</v>
      </c>
      <c r="H1677" t="str">
        <f>TEXT(Ventas[[#This Row],[Fecha_venta]],"dd")</f>
        <v>17</v>
      </c>
      <c r="I1677" t="str">
        <f>TEXT(Ventas[[#This Row],[Fecha_venta]],"m")</f>
        <v>2</v>
      </c>
      <c r="J1677" t="str">
        <f>TEXT(Ventas[[#This Row],[Fecha_venta]],"yyyy")</f>
        <v>2012</v>
      </c>
    </row>
    <row r="1678" spans="1:10" x14ac:dyDescent="0.25">
      <c r="A1678">
        <v>12</v>
      </c>
      <c r="B1678" s="1">
        <v>40963</v>
      </c>
      <c r="C1678">
        <v>0</v>
      </c>
      <c r="D1678">
        <v>53.13</v>
      </c>
      <c r="E1678">
        <v>3.95</v>
      </c>
      <c r="F1678">
        <v>130.55020690000001</v>
      </c>
      <c r="G1678">
        <v>1112034.72</v>
      </c>
      <c r="H1678" t="str">
        <f>TEXT(Ventas[[#This Row],[Fecha_venta]],"dd")</f>
        <v>24</v>
      </c>
      <c r="I1678" t="str">
        <f>TEXT(Ventas[[#This Row],[Fecha_venta]],"m")</f>
        <v>2</v>
      </c>
      <c r="J1678" t="str">
        <f>TEXT(Ventas[[#This Row],[Fecha_venta]],"yyyy")</f>
        <v>2012</v>
      </c>
    </row>
    <row r="1679" spans="1:10" x14ac:dyDescent="0.25">
      <c r="A1679">
        <v>12</v>
      </c>
      <c r="B1679" s="1">
        <v>40970</v>
      </c>
      <c r="C1679">
        <v>0</v>
      </c>
      <c r="D1679">
        <v>52.27</v>
      </c>
      <c r="E1679">
        <v>4.1779999999999999</v>
      </c>
      <c r="F1679">
        <v>130.64579309999999</v>
      </c>
      <c r="G1679">
        <v>1147636.96</v>
      </c>
      <c r="H1679" t="str">
        <f>TEXT(Ventas[[#This Row],[Fecha_venta]],"dd")</f>
        <v>02</v>
      </c>
      <c r="I1679" t="str">
        <f>TEXT(Ventas[[#This Row],[Fecha_venta]],"m")</f>
        <v>3</v>
      </c>
      <c r="J1679" t="str">
        <f>TEXT(Ventas[[#This Row],[Fecha_venta]],"yyyy")</f>
        <v>2012</v>
      </c>
    </row>
    <row r="1680" spans="1:10" x14ac:dyDescent="0.25">
      <c r="A1680">
        <v>12</v>
      </c>
      <c r="B1680" s="1">
        <v>40977</v>
      </c>
      <c r="C1680">
        <v>0</v>
      </c>
      <c r="D1680">
        <v>54.54</v>
      </c>
      <c r="E1680">
        <v>4.25</v>
      </c>
      <c r="F1680">
        <v>130.74137930000001</v>
      </c>
      <c r="G1680">
        <v>1113208.57</v>
      </c>
      <c r="H1680" t="str">
        <f>TEXT(Ventas[[#This Row],[Fecha_venta]],"dd")</f>
        <v>09</v>
      </c>
      <c r="I1680" t="str">
        <f>TEXT(Ventas[[#This Row],[Fecha_venta]],"m")</f>
        <v>3</v>
      </c>
      <c r="J1680" t="str">
        <f>TEXT(Ventas[[#This Row],[Fecha_venta]],"yyyy")</f>
        <v>2012</v>
      </c>
    </row>
    <row r="1681" spans="1:10" x14ac:dyDescent="0.25">
      <c r="A1681">
        <v>12</v>
      </c>
      <c r="B1681" s="1">
        <v>40984</v>
      </c>
      <c r="C1681">
        <v>0</v>
      </c>
      <c r="D1681">
        <v>64.44</v>
      </c>
      <c r="E1681">
        <v>4.2729999999999997</v>
      </c>
      <c r="F1681">
        <v>130.82619349999999</v>
      </c>
      <c r="G1681">
        <v>1088498.52</v>
      </c>
      <c r="H1681" t="str">
        <f>TEXT(Ventas[[#This Row],[Fecha_venta]],"dd")</f>
        <v>16</v>
      </c>
      <c r="I1681" t="str">
        <f>TEXT(Ventas[[#This Row],[Fecha_venta]],"m")</f>
        <v>3</v>
      </c>
      <c r="J1681" t="str">
        <f>TEXT(Ventas[[#This Row],[Fecha_venta]],"yyyy")</f>
        <v>2012</v>
      </c>
    </row>
    <row r="1682" spans="1:10" x14ac:dyDescent="0.25">
      <c r="A1682">
        <v>12</v>
      </c>
      <c r="B1682" s="1">
        <v>40991</v>
      </c>
      <c r="C1682">
        <v>0</v>
      </c>
      <c r="D1682">
        <v>56.26</v>
      </c>
      <c r="E1682">
        <v>4.0380000000000003</v>
      </c>
      <c r="F1682">
        <v>130.89664519999999</v>
      </c>
      <c r="G1682">
        <v>1045419.87</v>
      </c>
      <c r="H1682" t="str">
        <f>TEXT(Ventas[[#This Row],[Fecha_venta]],"dd")</f>
        <v>23</v>
      </c>
      <c r="I1682" t="str">
        <f>TEXT(Ventas[[#This Row],[Fecha_venta]],"m")</f>
        <v>3</v>
      </c>
      <c r="J1682" t="str">
        <f>TEXT(Ventas[[#This Row],[Fecha_venta]],"yyyy")</f>
        <v>2012</v>
      </c>
    </row>
    <row r="1683" spans="1:10" x14ac:dyDescent="0.25">
      <c r="A1683">
        <v>12</v>
      </c>
      <c r="B1683" s="1">
        <v>40998</v>
      </c>
      <c r="C1683">
        <v>0</v>
      </c>
      <c r="D1683">
        <v>64.36</v>
      </c>
      <c r="E1683">
        <v>4.2939999999999996</v>
      </c>
      <c r="F1683">
        <v>130.96709680000001</v>
      </c>
      <c r="G1683">
        <v>1025382.22</v>
      </c>
      <c r="H1683" t="str">
        <f>TEXT(Ventas[[#This Row],[Fecha_venta]],"dd")</f>
        <v>30</v>
      </c>
      <c r="I1683" t="str">
        <f>TEXT(Ventas[[#This Row],[Fecha_venta]],"m")</f>
        <v>3</v>
      </c>
      <c r="J1683" t="str">
        <f>TEXT(Ventas[[#This Row],[Fecha_venta]],"yyyy")</f>
        <v>2012</v>
      </c>
    </row>
    <row r="1684" spans="1:10" x14ac:dyDescent="0.25">
      <c r="A1684">
        <v>12</v>
      </c>
      <c r="B1684" s="1">
        <v>41005</v>
      </c>
      <c r="C1684">
        <v>0</v>
      </c>
      <c r="D1684">
        <v>64.05</v>
      </c>
      <c r="E1684">
        <v>4.1210000000000004</v>
      </c>
      <c r="F1684">
        <v>131.03754839999999</v>
      </c>
      <c r="G1684">
        <v>1128765.71</v>
      </c>
      <c r="H1684" t="str">
        <f>TEXT(Ventas[[#This Row],[Fecha_venta]],"dd")</f>
        <v>06</v>
      </c>
      <c r="I1684" t="str">
        <f>TEXT(Ventas[[#This Row],[Fecha_venta]],"m")</f>
        <v>4</v>
      </c>
      <c r="J1684" t="str">
        <f>TEXT(Ventas[[#This Row],[Fecha_venta]],"yyyy")</f>
        <v>2012</v>
      </c>
    </row>
    <row r="1685" spans="1:10" x14ac:dyDescent="0.25">
      <c r="A1685">
        <v>12</v>
      </c>
      <c r="B1685" s="1">
        <v>41012</v>
      </c>
      <c r="C1685">
        <v>0</v>
      </c>
      <c r="D1685">
        <v>64.28</v>
      </c>
      <c r="E1685">
        <v>4.2539999999999996</v>
      </c>
      <c r="F1685">
        <v>131.108</v>
      </c>
      <c r="G1685">
        <v>1083811.19</v>
      </c>
      <c r="H1685" t="str">
        <f>TEXT(Ventas[[#This Row],[Fecha_venta]],"dd")</f>
        <v>13</v>
      </c>
      <c r="I1685" t="str">
        <f>TEXT(Ventas[[#This Row],[Fecha_venta]],"m")</f>
        <v>4</v>
      </c>
      <c r="J1685" t="str">
        <f>TEXT(Ventas[[#This Row],[Fecha_venta]],"yyyy")</f>
        <v>2012</v>
      </c>
    </row>
    <row r="1686" spans="1:10" x14ac:dyDescent="0.25">
      <c r="A1686">
        <v>12</v>
      </c>
      <c r="B1686" s="1">
        <v>41019</v>
      </c>
      <c r="C1686">
        <v>0</v>
      </c>
      <c r="D1686">
        <v>66.73</v>
      </c>
      <c r="E1686">
        <v>4.2220000000000004</v>
      </c>
      <c r="F1686">
        <v>131.11733330000001</v>
      </c>
      <c r="G1686">
        <v>1006486.96</v>
      </c>
      <c r="H1686" t="str">
        <f>TEXT(Ventas[[#This Row],[Fecha_venta]],"dd")</f>
        <v>20</v>
      </c>
      <c r="I1686" t="str">
        <f>TEXT(Ventas[[#This Row],[Fecha_venta]],"m")</f>
        <v>4</v>
      </c>
      <c r="J1686" t="str">
        <f>TEXT(Ventas[[#This Row],[Fecha_venta]],"yyyy")</f>
        <v>2012</v>
      </c>
    </row>
    <row r="1687" spans="1:10" x14ac:dyDescent="0.25">
      <c r="A1687">
        <v>12</v>
      </c>
      <c r="B1687" s="1">
        <v>41026</v>
      </c>
      <c r="C1687">
        <v>0</v>
      </c>
      <c r="D1687">
        <v>77.989999999999995</v>
      </c>
      <c r="E1687">
        <v>4.1929999999999996</v>
      </c>
      <c r="F1687">
        <v>131.12666669999999</v>
      </c>
      <c r="G1687">
        <v>1004252.38</v>
      </c>
      <c r="H1687" t="str">
        <f>TEXT(Ventas[[#This Row],[Fecha_venta]],"dd")</f>
        <v>27</v>
      </c>
      <c r="I1687" t="str">
        <f>TEXT(Ventas[[#This Row],[Fecha_venta]],"m")</f>
        <v>4</v>
      </c>
      <c r="J1687" t="str">
        <f>TEXT(Ventas[[#This Row],[Fecha_venta]],"yyyy")</f>
        <v>2012</v>
      </c>
    </row>
    <row r="1688" spans="1:10" x14ac:dyDescent="0.25">
      <c r="A1688">
        <v>12</v>
      </c>
      <c r="B1688" s="1">
        <v>41033</v>
      </c>
      <c r="C1688">
        <v>0</v>
      </c>
      <c r="D1688">
        <v>76.03</v>
      </c>
      <c r="E1688">
        <v>4.1710000000000003</v>
      </c>
      <c r="F1688">
        <v>131.136</v>
      </c>
      <c r="G1688">
        <v>1073433.69</v>
      </c>
      <c r="H1688" t="str">
        <f>TEXT(Ventas[[#This Row],[Fecha_venta]],"dd")</f>
        <v>04</v>
      </c>
      <c r="I1688" t="str">
        <f>TEXT(Ventas[[#This Row],[Fecha_venta]],"m")</f>
        <v>5</v>
      </c>
      <c r="J1688" t="str">
        <f>TEXT(Ventas[[#This Row],[Fecha_venta]],"yyyy")</f>
        <v>2012</v>
      </c>
    </row>
    <row r="1689" spans="1:10" x14ac:dyDescent="0.25">
      <c r="A1689">
        <v>12</v>
      </c>
      <c r="B1689" s="1">
        <v>41040</v>
      </c>
      <c r="C1689">
        <v>0</v>
      </c>
      <c r="D1689">
        <v>77.27</v>
      </c>
      <c r="E1689">
        <v>4.1859999999999999</v>
      </c>
      <c r="F1689">
        <v>131.1453333</v>
      </c>
      <c r="G1689">
        <v>1041995.22</v>
      </c>
      <c r="H1689" t="str">
        <f>TEXT(Ventas[[#This Row],[Fecha_venta]],"dd")</f>
        <v>11</v>
      </c>
      <c r="I1689" t="str">
        <f>TEXT(Ventas[[#This Row],[Fecha_venta]],"m")</f>
        <v>5</v>
      </c>
      <c r="J1689" t="str">
        <f>TEXT(Ventas[[#This Row],[Fecha_venta]],"yyyy")</f>
        <v>2012</v>
      </c>
    </row>
    <row r="1690" spans="1:10" x14ac:dyDescent="0.25">
      <c r="A1690">
        <v>12</v>
      </c>
      <c r="B1690" s="1">
        <v>41047</v>
      </c>
      <c r="C1690">
        <v>0</v>
      </c>
      <c r="D1690">
        <v>84.51</v>
      </c>
      <c r="E1690">
        <v>4.1100000000000003</v>
      </c>
      <c r="F1690">
        <v>131.09832259999999</v>
      </c>
      <c r="G1690">
        <v>1020486.05</v>
      </c>
      <c r="H1690" t="str">
        <f>TEXT(Ventas[[#This Row],[Fecha_venta]],"dd")</f>
        <v>18</v>
      </c>
      <c r="I1690" t="str">
        <f>TEXT(Ventas[[#This Row],[Fecha_venta]],"m")</f>
        <v>5</v>
      </c>
      <c r="J1690" t="str">
        <f>TEXT(Ventas[[#This Row],[Fecha_venta]],"yyyy")</f>
        <v>2012</v>
      </c>
    </row>
    <row r="1691" spans="1:10" x14ac:dyDescent="0.25">
      <c r="A1691">
        <v>12</v>
      </c>
      <c r="B1691" s="1">
        <v>41054</v>
      </c>
      <c r="C1691">
        <v>0</v>
      </c>
      <c r="D1691">
        <v>83.84</v>
      </c>
      <c r="E1691">
        <v>4.2930000000000001</v>
      </c>
      <c r="F1691">
        <v>131.02877419999999</v>
      </c>
      <c r="G1691">
        <v>991514.21</v>
      </c>
      <c r="H1691" t="str">
        <f>TEXT(Ventas[[#This Row],[Fecha_venta]],"dd")</f>
        <v>25</v>
      </c>
      <c r="I1691" t="str">
        <f>TEXT(Ventas[[#This Row],[Fecha_venta]],"m")</f>
        <v>5</v>
      </c>
      <c r="J1691" t="str">
        <f>TEXT(Ventas[[#This Row],[Fecha_venta]],"yyyy")</f>
        <v>2012</v>
      </c>
    </row>
    <row r="1692" spans="1:10" x14ac:dyDescent="0.25">
      <c r="A1692">
        <v>12</v>
      </c>
      <c r="B1692" s="1">
        <v>41061</v>
      </c>
      <c r="C1692">
        <v>0</v>
      </c>
      <c r="D1692">
        <v>78.11</v>
      </c>
      <c r="E1692">
        <v>4.2770000000000001</v>
      </c>
      <c r="F1692">
        <v>130.95922580000001</v>
      </c>
      <c r="G1692">
        <v>981345.2</v>
      </c>
      <c r="H1692" t="str">
        <f>TEXT(Ventas[[#This Row],[Fecha_venta]],"dd")</f>
        <v>01</v>
      </c>
      <c r="I1692" t="str">
        <f>TEXT(Ventas[[#This Row],[Fecha_venta]],"m")</f>
        <v>6</v>
      </c>
      <c r="J1692" t="str">
        <f>TEXT(Ventas[[#This Row],[Fecha_venta]],"yyyy")</f>
        <v>2012</v>
      </c>
    </row>
    <row r="1693" spans="1:10" x14ac:dyDescent="0.25">
      <c r="A1693">
        <v>12</v>
      </c>
      <c r="B1693" s="1">
        <v>41068</v>
      </c>
      <c r="C1693">
        <v>0</v>
      </c>
      <c r="D1693">
        <v>84.83</v>
      </c>
      <c r="E1693">
        <v>4.1029999999999998</v>
      </c>
      <c r="F1693">
        <v>130.88967740000001</v>
      </c>
      <c r="G1693">
        <v>1086231.47</v>
      </c>
      <c r="H1693" t="str">
        <f>TEXT(Ventas[[#This Row],[Fecha_venta]],"dd")</f>
        <v>08</v>
      </c>
      <c r="I1693" t="str">
        <f>TEXT(Ventas[[#This Row],[Fecha_venta]],"m")</f>
        <v>6</v>
      </c>
      <c r="J1693" t="str">
        <f>TEXT(Ventas[[#This Row],[Fecha_venta]],"yyyy")</f>
        <v>2012</v>
      </c>
    </row>
    <row r="1694" spans="1:10" x14ac:dyDescent="0.25">
      <c r="A1694">
        <v>12</v>
      </c>
      <c r="B1694" s="1">
        <v>41075</v>
      </c>
      <c r="C1694">
        <v>0</v>
      </c>
      <c r="D1694">
        <v>85.94</v>
      </c>
      <c r="E1694">
        <v>4.1440000000000001</v>
      </c>
      <c r="F1694">
        <v>130.82953330000001</v>
      </c>
      <c r="G1694">
        <v>1019555.51</v>
      </c>
      <c r="H1694" t="str">
        <f>TEXT(Ventas[[#This Row],[Fecha_venta]],"dd")</f>
        <v>15</v>
      </c>
      <c r="I1694" t="str">
        <f>TEXT(Ventas[[#This Row],[Fecha_venta]],"m")</f>
        <v>6</v>
      </c>
      <c r="J1694" t="str">
        <f>TEXT(Ventas[[#This Row],[Fecha_venta]],"yyyy")</f>
        <v>2012</v>
      </c>
    </row>
    <row r="1695" spans="1:10" x14ac:dyDescent="0.25">
      <c r="A1695">
        <v>12</v>
      </c>
      <c r="B1695" s="1">
        <v>41082</v>
      </c>
      <c r="C1695">
        <v>0</v>
      </c>
      <c r="D1695">
        <v>91.61</v>
      </c>
      <c r="E1695">
        <v>4.0140000000000002</v>
      </c>
      <c r="F1695">
        <v>130.7929</v>
      </c>
      <c r="G1695">
        <v>981386.25</v>
      </c>
      <c r="H1695" t="str">
        <f>TEXT(Ventas[[#This Row],[Fecha_venta]],"dd")</f>
        <v>22</v>
      </c>
      <c r="I1695" t="str">
        <f>TEXT(Ventas[[#This Row],[Fecha_venta]],"m")</f>
        <v>6</v>
      </c>
      <c r="J1695" t="str">
        <f>TEXT(Ventas[[#This Row],[Fecha_venta]],"yyyy")</f>
        <v>2012</v>
      </c>
    </row>
    <row r="1696" spans="1:10" x14ac:dyDescent="0.25">
      <c r="A1696">
        <v>12</v>
      </c>
      <c r="B1696" s="1">
        <v>41089</v>
      </c>
      <c r="C1696">
        <v>0</v>
      </c>
      <c r="D1696">
        <v>90.47</v>
      </c>
      <c r="E1696">
        <v>3.875</v>
      </c>
      <c r="F1696">
        <v>130.7562667</v>
      </c>
      <c r="G1696">
        <v>943124.74</v>
      </c>
      <c r="H1696" t="str">
        <f>TEXT(Ventas[[#This Row],[Fecha_venta]],"dd")</f>
        <v>29</v>
      </c>
      <c r="I1696" t="str">
        <f>TEXT(Ventas[[#This Row],[Fecha_venta]],"m")</f>
        <v>6</v>
      </c>
      <c r="J1696" t="str">
        <f>TEXT(Ventas[[#This Row],[Fecha_venta]],"yyyy")</f>
        <v>2012</v>
      </c>
    </row>
    <row r="1697" spans="1:10" x14ac:dyDescent="0.25">
      <c r="A1697">
        <v>12</v>
      </c>
      <c r="B1697" s="1">
        <v>41096</v>
      </c>
      <c r="C1697">
        <v>0</v>
      </c>
      <c r="D1697">
        <v>89.13</v>
      </c>
      <c r="E1697">
        <v>3.7650000000000001</v>
      </c>
      <c r="F1697">
        <v>130.7196333</v>
      </c>
      <c r="G1697">
        <v>1014898.78</v>
      </c>
      <c r="H1697" t="str">
        <f>TEXT(Ventas[[#This Row],[Fecha_venta]],"dd")</f>
        <v>06</v>
      </c>
      <c r="I1697" t="str">
        <f>TEXT(Ventas[[#This Row],[Fecha_venta]],"m")</f>
        <v>7</v>
      </c>
      <c r="J1697" t="str">
        <f>TEXT(Ventas[[#This Row],[Fecha_venta]],"yyyy")</f>
        <v>2012</v>
      </c>
    </row>
    <row r="1698" spans="1:10" x14ac:dyDescent="0.25">
      <c r="A1698">
        <v>12</v>
      </c>
      <c r="B1698" s="1">
        <v>41103</v>
      </c>
      <c r="C1698">
        <v>0</v>
      </c>
      <c r="D1698">
        <v>95.61</v>
      </c>
      <c r="E1698">
        <v>3.7229999999999999</v>
      </c>
      <c r="F1698">
        <v>130.68299999999999</v>
      </c>
      <c r="G1698">
        <v>960312.75</v>
      </c>
      <c r="H1698" t="str">
        <f>TEXT(Ventas[[#This Row],[Fecha_venta]],"dd")</f>
        <v>13</v>
      </c>
      <c r="I1698" t="str">
        <f>TEXT(Ventas[[#This Row],[Fecha_venta]],"m")</f>
        <v>7</v>
      </c>
      <c r="J1698" t="str">
        <f>TEXT(Ventas[[#This Row],[Fecha_venta]],"yyyy")</f>
        <v>2012</v>
      </c>
    </row>
    <row r="1699" spans="1:10" x14ac:dyDescent="0.25">
      <c r="A1699">
        <v>12</v>
      </c>
      <c r="B1699" s="1">
        <v>41110</v>
      </c>
      <c r="C1699">
        <v>0</v>
      </c>
      <c r="D1699">
        <v>85.53</v>
      </c>
      <c r="E1699">
        <v>3.726</v>
      </c>
      <c r="F1699">
        <v>130.70129030000001</v>
      </c>
      <c r="G1699">
        <v>941550.34</v>
      </c>
      <c r="H1699" t="str">
        <f>TEXT(Ventas[[#This Row],[Fecha_venta]],"dd")</f>
        <v>20</v>
      </c>
      <c r="I1699" t="str">
        <f>TEXT(Ventas[[#This Row],[Fecha_venta]],"m")</f>
        <v>7</v>
      </c>
      <c r="J1699" t="str">
        <f>TEXT(Ventas[[#This Row],[Fecha_venta]],"yyyy")</f>
        <v>2012</v>
      </c>
    </row>
    <row r="1700" spans="1:10" x14ac:dyDescent="0.25">
      <c r="A1700">
        <v>12</v>
      </c>
      <c r="B1700" s="1">
        <v>41117</v>
      </c>
      <c r="C1700">
        <v>0</v>
      </c>
      <c r="D1700">
        <v>93.47</v>
      </c>
      <c r="E1700">
        <v>3.7690000000000001</v>
      </c>
      <c r="F1700">
        <v>130.7195806</v>
      </c>
      <c r="G1700">
        <v>916967.92</v>
      </c>
      <c r="H1700" t="str">
        <f>TEXT(Ventas[[#This Row],[Fecha_venta]],"dd")</f>
        <v>27</v>
      </c>
      <c r="I1700" t="str">
        <f>TEXT(Ventas[[#This Row],[Fecha_venta]],"m")</f>
        <v>7</v>
      </c>
      <c r="J1700" t="str">
        <f>TEXT(Ventas[[#This Row],[Fecha_venta]],"yyyy")</f>
        <v>2012</v>
      </c>
    </row>
    <row r="1701" spans="1:10" x14ac:dyDescent="0.25">
      <c r="A1701">
        <v>12</v>
      </c>
      <c r="B1701" s="1">
        <v>41124</v>
      </c>
      <c r="C1701">
        <v>0</v>
      </c>
      <c r="D1701">
        <v>88.16</v>
      </c>
      <c r="E1701">
        <v>3.76</v>
      </c>
      <c r="F1701">
        <v>130.73787100000001</v>
      </c>
      <c r="G1701">
        <v>958667.23</v>
      </c>
      <c r="H1701" t="str">
        <f>TEXT(Ventas[[#This Row],[Fecha_venta]],"dd")</f>
        <v>03</v>
      </c>
      <c r="I1701" t="str">
        <f>TEXT(Ventas[[#This Row],[Fecha_venta]],"m")</f>
        <v>8</v>
      </c>
      <c r="J1701" t="str">
        <f>TEXT(Ventas[[#This Row],[Fecha_venta]],"yyyy")</f>
        <v>2012</v>
      </c>
    </row>
    <row r="1702" spans="1:10" x14ac:dyDescent="0.25">
      <c r="A1702">
        <v>12</v>
      </c>
      <c r="B1702" s="1">
        <v>41131</v>
      </c>
      <c r="C1702">
        <v>0</v>
      </c>
      <c r="D1702">
        <v>95.91</v>
      </c>
      <c r="E1702">
        <v>3.8109999999999999</v>
      </c>
      <c r="F1702">
        <v>130.7561613</v>
      </c>
      <c r="G1702">
        <v>984689.9</v>
      </c>
      <c r="H1702" t="str">
        <f>TEXT(Ventas[[#This Row],[Fecha_venta]],"dd")</f>
        <v>10</v>
      </c>
      <c r="I1702" t="str">
        <f>TEXT(Ventas[[#This Row],[Fecha_venta]],"m")</f>
        <v>8</v>
      </c>
      <c r="J1702" t="str">
        <f>TEXT(Ventas[[#This Row],[Fecha_venta]],"yyyy")</f>
        <v>2012</v>
      </c>
    </row>
    <row r="1703" spans="1:10" x14ac:dyDescent="0.25">
      <c r="A1703">
        <v>12</v>
      </c>
      <c r="B1703" s="1">
        <v>41138</v>
      </c>
      <c r="C1703">
        <v>0</v>
      </c>
      <c r="D1703">
        <v>94.87</v>
      </c>
      <c r="E1703">
        <v>4.0019999999999998</v>
      </c>
      <c r="F1703">
        <v>130.79096770000001</v>
      </c>
      <c r="G1703">
        <v>1005003.12</v>
      </c>
      <c r="H1703" t="str">
        <f>TEXT(Ventas[[#This Row],[Fecha_venta]],"dd")</f>
        <v>17</v>
      </c>
      <c r="I1703" t="str">
        <f>TEXT(Ventas[[#This Row],[Fecha_venta]],"m")</f>
        <v>8</v>
      </c>
      <c r="J1703" t="str">
        <f>TEXT(Ventas[[#This Row],[Fecha_venta]],"yyyy")</f>
        <v>2012</v>
      </c>
    </row>
    <row r="1704" spans="1:10" x14ac:dyDescent="0.25">
      <c r="A1704">
        <v>12</v>
      </c>
      <c r="B1704" s="1">
        <v>41145</v>
      </c>
      <c r="C1704">
        <v>0</v>
      </c>
      <c r="D1704">
        <v>85.32</v>
      </c>
      <c r="E1704">
        <v>4.0549999999999997</v>
      </c>
      <c r="F1704">
        <v>130.8381613</v>
      </c>
      <c r="G1704">
        <v>1048101.39</v>
      </c>
      <c r="H1704" t="str">
        <f>TEXT(Ventas[[#This Row],[Fecha_venta]],"dd")</f>
        <v>24</v>
      </c>
      <c r="I1704" t="str">
        <f>TEXT(Ventas[[#This Row],[Fecha_venta]],"m")</f>
        <v>8</v>
      </c>
      <c r="J1704" t="str">
        <f>TEXT(Ventas[[#This Row],[Fecha_venta]],"yyyy")</f>
        <v>2012</v>
      </c>
    </row>
    <row r="1705" spans="1:10" x14ac:dyDescent="0.25">
      <c r="A1705">
        <v>12</v>
      </c>
      <c r="B1705" s="1">
        <v>41152</v>
      </c>
      <c r="C1705">
        <v>0</v>
      </c>
      <c r="D1705">
        <v>89.78</v>
      </c>
      <c r="E1705">
        <v>4.093</v>
      </c>
      <c r="F1705">
        <v>130.88535479999999</v>
      </c>
      <c r="G1705">
        <v>1061943.49</v>
      </c>
      <c r="H1705" t="str">
        <f>TEXT(Ventas[[#This Row],[Fecha_venta]],"dd")</f>
        <v>31</v>
      </c>
      <c r="I1705" t="str">
        <f>TEXT(Ventas[[#This Row],[Fecha_venta]],"m")</f>
        <v>8</v>
      </c>
      <c r="J1705" t="str">
        <f>TEXT(Ventas[[#This Row],[Fecha_venta]],"yyyy")</f>
        <v>2012</v>
      </c>
    </row>
    <row r="1706" spans="1:10" x14ac:dyDescent="0.25">
      <c r="A1706">
        <v>12</v>
      </c>
      <c r="B1706" s="1">
        <v>41159</v>
      </c>
      <c r="C1706">
        <v>1</v>
      </c>
      <c r="D1706">
        <v>88.52</v>
      </c>
      <c r="E1706">
        <v>4.1239999999999997</v>
      </c>
      <c r="F1706">
        <v>130.9325484</v>
      </c>
      <c r="G1706">
        <v>955146.04</v>
      </c>
      <c r="H1706" t="str">
        <f>TEXT(Ventas[[#This Row],[Fecha_venta]],"dd")</f>
        <v>07</v>
      </c>
      <c r="I1706" t="str">
        <f>TEXT(Ventas[[#This Row],[Fecha_venta]],"m")</f>
        <v>9</v>
      </c>
      <c r="J1706" t="str">
        <f>TEXT(Ventas[[#This Row],[Fecha_venta]],"yyyy")</f>
        <v>2012</v>
      </c>
    </row>
    <row r="1707" spans="1:10" x14ac:dyDescent="0.25">
      <c r="A1707">
        <v>12</v>
      </c>
      <c r="B1707" s="1">
        <v>41166</v>
      </c>
      <c r="C1707">
        <v>0</v>
      </c>
      <c r="D1707">
        <v>83.64</v>
      </c>
      <c r="E1707">
        <v>4.133</v>
      </c>
      <c r="F1707">
        <v>130.97766669999999</v>
      </c>
      <c r="G1707">
        <v>885892.37</v>
      </c>
      <c r="H1707" t="str">
        <f>TEXT(Ventas[[#This Row],[Fecha_venta]],"dd")</f>
        <v>14</v>
      </c>
      <c r="I1707" t="str">
        <f>TEXT(Ventas[[#This Row],[Fecha_venta]],"m")</f>
        <v>9</v>
      </c>
      <c r="J1707" t="str">
        <f>TEXT(Ventas[[#This Row],[Fecha_venta]],"yyyy")</f>
        <v>2012</v>
      </c>
    </row>
    <row r="1708" spans="1:10" x14ac:dyDescent="0.25">
      <c r="A1708">
        <v>12</v>
      </c>
      <c r="B1708" s="1">
        <v>41173</v>
      </c>
      <c r="C1708">
        <v>0</v>
      </c>
      <c r="D1708">
        <v>82.97</v>
      </c>
      <c r="E1708">
        <v>4.125</v>
      </c>
      <c r="F1708">
        <v>131.01033330000001</v>
      </c>
      <c r="G1708">
        <v>922735.37</v>
      </c>
      <c r="H1708" t="str">
        <f>TEXT(Ventas[[#This Row],[Fecha_venta]],"dd")</f>
        <v>21</v>
      </c>
      <c r="I1708" t="str">
        <f>TEXT(Ventas[[#This Row],[Fecha_venta]],"m")</f>
        <v>9</v>
      </c>
      <c r="J1708" t="str">
        <f>TEXT(Ventas[[#This Row],[Fecha_venta]],"yyyy")</f>
        <v>2012</v>
      </c>
    </row>
    <row r="1709" spans="1:10" x14ac:dyDescent="0.25">
      <c r="A1709">
        <v>12</v>
      </c>
      <c r="B1709" s="1">
        <v>41180</v>
      </c>
      <c r="C1709">
        <v>0</v>
      </c>
      <c r="D1709">
        <v>81.22</v>
      </c>
      <c r="E1709">
        <v>3.9660000000000002</v>
      </c>
      <c r="F1709">
        <v>131.04300000000001</v>
      </c>
      <c r="G1709">
        <v>880415.67</v>
      </c>
      <c r="H1709" t="str">
        <f>TEXT(Ventas[[#This Row],[Fecha_venta]],"dd")</f>
        <v>28</v>
      </c>
      <c r="I1709" t="str">
        <f>TEXT(Ventas[[#This Row],[Fecha_venta]],"m")</f>
        <v>9</v>
      </c>
      <c r="J1709" t="str">
        <f>TEXT(Ventas[[#This Row],[Fecha_venta]],"yyyy")</f>
        <v>2012</v>
      </c>
    </row>
    <row r="1710" spans="1:10" x14ac:dyDescent="0.25">
      <c r="A1710">
        <v>12</v>
      </c>
      <c r="B1710" s="1">
        <v>41187</v>
      </c>
      <c r="C1710">
        <v>0</v>
      </c>
      <c r="D1710">
        <v>81.61</v>
      </c>
      <c r="E1710">
        <v>3.9660000000000002</v>
      </c>
      <c r="F1710">
        <v>131.0756667</v>
      </c>
      <c r="G1710">
        <v>979825.92</v>
      </c>
      <c r="H1710" t="str">
        <f>TEXT(Ventas[[#This Row],[Fecha_venta]],"dd")</f>
        <v>05</v>
      </c>
      <c r="I1710" t="str">
        <f>TEXT(Ventas[[#This Row],[Fecha_venta]],"m")</f>
        <v>10</v>
      </c>
      <c r="J1710" t="str">
        <f>TEXT(Ventas[[#This Row],[Fecha_venta]],"yyyy")</f>
        <v>2012</v>
      </c>
    </row>
    <row r="1711" spans="1:10" x14ac:dyDescent="0.25">
      <c r="A1711">
        <v>12</v>
      </c>
      <c r="B1711" s="1">
        <v>41194</v>
      </c>
      <c r="C1711">
        <v>0</v>
      </c>
      <c r="D1711">
        <v>71.739999999999995</v>
      </c>
      <c r="E1711">
        <v>4.468</v>
      </c>
      <c r="F1711">
        <v>131.1083333</v>
      </c>
      <c r="G1711">
        <v>934917.47</v>
      </c>
      <c r="H1711" t="str">
        <f>TEXT(Ventas[[#This Row],[Fecha_venta]],"dd")</f>
        <v>12</v>
      </c>
      <c r="I1711" t="str">
        <f>TEXT(Ventas[[#This Row],[Fecha_venta]],"m")</f>
        <v>10</v>
      </c>
      <c r="J1711" t="str">
        <f>TEXT(Ventas[[#This Row],[Fecha_venta]],"yyyy")</f>
        <v>2012</v>
      </c>
    </row>
    <row r="1712" spans="1:10" x14ac:dyDescent="0.25">
      <c r="A1712">
        <v>12</v>
      </c>
      <c r="B1712" s="1">
        <v>41201</v>
      </c>
      <c r="C1712">
        <v>0</v>
      </c>
      <c r="D1712">
        <v>68.66</v>
      </c>
      <c r="E1712">
        <v>4.4489999999999998</v>
      </c>
      <c r="F1712">
        <v>131.14996769999999</v>
      </c>
      <c r="G1712">
        <v>960945.43</v>
      </c>
      <c r="H1712" t="str">
        <f>TEXT(Ventas[[#This Row],[Fecha_venta]],"dd")</f>
        <v>19</v>
      </c>
      <c r="I1712" t="str">
        <f>TEXT(Ventas[[#This Row],[Fecha_venta]],"m")</f>
        <v>10</v>
      </c>
      <c r="J1712" t="str">
        <f>TEXT(Ventas[[#This Row],[Fecha_venta]],"yyyy")</f>
        <v>2012</v>
      </c>
    </row>
    <row r="1713" spans="1:10" x14ac:dyDescent="0.25">
      <c r="A1713">
        <v>12</v>
      </c>
      <c r="B1713" s="1">
        <v>41208</v>
      </c>
      <c r="C1713">
        <v>0</v>
      </c>
      <c r="D1713">
        <v>65.95</v>
      </c>
      <c r="E1713">
        <v>4.3010000000000002</v>
      </c>
      <c r="F1713">
        <v>131.19309680000001</v>
      </c>
      <c r="G1713">
        <v>974697.6</v>
      </c>
      <c r="H1713" t="str">
        <f>TEXT(Ventas[[#This Row],[Fecha_venta]],"dd")</f>
        <v>26</v>
      </c>
      <c r="I1713" t="str">
        <f>TEXT(Ventas[[#This Row],[Fecha_venta]],"m")</f>
        <v>10</v>
      </c>
      <c r="J1713" t="str">
        <f>TEXT(Ventas[[#This Row],[Fecha_venta]],"yyyy")</f>
        <v>2012</v>
      </c>
    </row>
    <row r="1714" spans="1:10" x14ac:dyDescent="0.25">
      <c r="A1714">
        <v>13</v>
      </c>
      <c r="B1714" s="1">
        <v>40214</v>
      </c>
      <c r="C1714">
        <v>0</v>
      </c>
      <c r="D1714">
        <v>31.53</v>
      </c>
      <c r="E1714">
        <v>2.6659999999999999</v>
      </c>
      <c r="F1714">
        <v>126.4420645</v>
      </c>
      <c r="G1714">
        <v>1967220.53</v>
      </c>
      <c r="H1714" t="str">
        <f>TEXT(Ventas[[#This Row],[Fecha_venta]],"dd")</f>
        <v>05</v>
      </c>
      <c r="I1714" t="str">
        <f>TEXT(Ventas[[#This Row],[Fecha_venta]],"m")</f>
        <v>2</v>
      </c>
      <c r="J1714" t="str">
        <f>TEXT(Ventas[[#This Row],[Fecha_venta]],"yyyy")</f>
        <v>2010</v>
      </c>
    </row>
    <row r="1715" spans="1:10" x14ac:dyDescent="0.25">
      <c r="A1715">
        <v>13</v>
      </c>
      <c r="B1715" s="1">
        <v>40221</v>
      </c>
      <c r="C1715">
        <v>1</v>
      </c>
      <c r="D1715">
        <v>33.159999999999997</v>
      </c>
      <c r="E1715">
        <v>2.6709999999999998</v>
      </c>
      <c r="F1715">
        <v>126.49625810000001</v>
      </c>
      <c r="G1715">
        <v>2030933.46</v>
      </c>
      <c r="H1715" t="str">
        <f>TEXT(Ventas[[#This Row],[Fecha_venta]],"dd")</f>
        <v>12</v>
      </c>
      <c r="I1715" t="str">
        <f>TEXT(Ventas[[#This Row],[Fecha_venta]],"m")</f>
        <v>2</v>
      </c>
      <c r="J1715" t="str">
        <f>TEXT(Ventas[[#This Row],[Fecha_venta]],"yyyy")</f>
        <v>2010</v>
      </c>
    </row>
    <row r="1716" spans="1:10" x14ac:dyDescent="0.25">
      <c r="A1716">
        <v>13</v>
      </c>
      <c r="B1716" s="1">
        <v>40228</v>
      </c>
      <c r="C1716">
        <v>0</v>
      </c>
      <c r="D1716">
        <v>35.700000000000003</v>
      </c>
      <c r="E1716">
        <v>2.6539999999999999</v>
      </c>
      <c r="F1716">
        <v>126.5262857</v>
      </c>
      <c r="G1716">
        <v>1970274.64</v>
      </c>
      <c r="H1716" t="str">
        <f>TEXT(Ventas[[#This Row],[Fecha_venta]],"dd")</f>
        <v>19</v>
      </c>
      <c r="I1716" t="str">
        <f>TEXT(Ventas[[#This Row],[Fecha_venta]],"m")</f>
        <v>2</v>
      </c>
      <c r="J1716" t="str">
        <f>TEXT(Ventas[[#This Row],[Fecha_venta]],"yyyy")</f>
        <v>2010</v>
      </c>
    </row>
    <row r="1717" spans="1:10" x14ac:dyDescent="0.25">
      <c r="A1717">
        <v>13</v>
      </c>
      <c r="B1717" s="1">
        <v>40235</v>
      </c>
      <c r="C1717">
        <v>0</v>
      </c>
      <c r="D1717">
        <v>29.98</v>
      </c>
      <c r="E1717">
        <v>2.6669999999999998</v>
      </c>
      <c r="F1717">
        <v>126.5522857</v>
      </c>
      <c r="G1717">
        <v>1817850.32</v>
      </c>
      <c r="H1717" t="str">
        <f>TEXT(Ventas[[#This Row],[Fecha_venta]],"dd")</f>
        <v>26</v>
      </c>
      <c r="I1717" t="str">
        <f>TEXT(Ventas[[#This Row],[Fecha_venta]],"m")</f>
        <v>2</v>
      </c>
      <c r="J1717" t="str">
        <f>TEXT(Ventas[[#This Row],[Fecha_venta]],"yyyy")</f>
        <v>2010</v>
      </c>
    </row>
    <row r="1718" spans="1:10" x14ac:dyDescent="0.25">
      <c r="A1718">
        <v>13</v>
      </c>
      <c r="B1718" s="1">
        <v>40242</v>
      </c>
      <c r="C1718">
        <v>0</v>
      </c>
      <c r="D1718">
        <v>40.65</v>
      </c>
      <c r="E1718">
        <v>2.681</v>
      </c>
      <c r="F1718">
        <v>126.5782857</v>
      </c>
      <c r="G1718">
        <v>1939980.43</v>
      </c>
      <c r="H1718" t="str">
        <f>TEXT(Ventas[[#This Row],[Fecha_venta]],"dd")</f>
        <v>05</v>
      </c>
      <c r="I1718" t="str">
        <f>TEXT(Ventas[[#This Row],[Fecha_venta]],"m")</f>
        <v>3</v>
      </c>
      <c r="J1718" t="str">
        <f>TEXT(Ventas[[#This Row],[Fecha_venta]],"yyyy")</f>
        <v>2010</v>
      </c>
    </row>
    <row r="1719" spans="1:10" x14ac:dyDescent="0.25">
      <c r="A1719">
        <v>13</v>
      </c>
      <c r="B1719" s="1">
        <v>40249</v>
      </c>
      <c r="C1719">
        <v>0</v>
      </c>
      <c r="D1719">
        <v>37.619999999999997</v>
      </c>
      <c r="E1719">
        <v>2.7330000000000001</v>
      </c>
      <c r="F1719">
        <v>126.60428570000001</v>
      </c>
      <c r="G1719">
        <v>1840686.94</v>
      </c>
      <c r="H1719" t="str">
        <f>TEXT(Ventas[[#This Row],[Fecha_venta]],"dd")</f>
        <v>12</v>
      </c>
      <c r="I1719" t="str">
        <f>TEXT(Ventas[[#This Row],[Fecha_venta]],"m")</f>
        <v>3</v>
      </c>
      <c r="J1719" t="str">
        <f>TEXT(Ventas[[#This Row],[Fecha_venta]],"yyyy")</f>
        <v>2010</v>
      </c>
    </row>
    <row r="1720" spans="1:10" x14ac:dyDescent="0.25">
      <c r="A1720">
        <v>13</v>
      </c>
      <c r="B1720" s="1">
        <v>40256</v>
      </c>
      <c r="C1720">
        <v>0</v>
      </c>
      <c r="D1720">
        <v>42.49</v>
      </c>
      <c r="E1720">
        <v>2.782</v>
      </c>
      <c r="F1720">
        <v>126.6066452</v>
      </c>
      <c r="G1720">
        <v>1879794.89</v>
      </c>
      <c r="H1720" t="str">
        <f>TEXT(Ventas[[#This Row],[Fecha_venta]],"dd")</f>
        <v>19</v>
      </c>
      <c r="I1720" t="str">
        <f>TEXT(Ventas[[#This Row],[Fecha_venta]],"m")</f>
        <v>3</v>
      </c>
      <c r="J1720" t="str">
        <f>TEXT(Ventas[[#This Row],[Fecha_venta]],"yyyy")</f>
        <v>2010</v>
      </c>
    </row>
    <row r="1721" spans="1:10" x14ac:dyDescent="0.25">
      <c r="A1721">
        <v>13</v>
      </c>
      <c r="B1721" s="1">
        <v>40263</v>
      </c>
      <c r="C1721">
        <v>0</v>
      </c>
      <c r="D1721">
        <v>41.48</v>
      </c>
      <c r="E1721">
        <v>2.819</v>
      </c>
      <c r="F1721">
        <v>126.6050645</v>
      </c>
      <c r="G1721">
        <v>1882095.98</v>
      </c>
      <c r="H1721" t="str">
        <f>TEXT(Ventas[[#This Row],[Fecha_venta]],"dd")</f>
        <v>26</v>
      </c>
      <c r="I1721" t="str">
        <f>TEXT(Ventas[[#This Row],[Fecha_venta]],"m")</f>
        <v>3</v>
      </c>
      <c r="J1721" t="str">
        <f>TEXT(Ventas[[#This Row],[Fecha_venta]],"yyyy")</f>
        <v>2010</v>
      </c>
    </row>
    <row r="1722" spans="1:10" x14ac:dyDescent="0.25">
      <c r="A1722">
        <v>13</v>
      </c>
      <c r="B1722" s="1">
        <v>40270</v>
      </c>
      <c r="C1722">
        <v>0</v>
      </c>
      <c r="D1722">
        <v>42.15</v>
      </c>
      <c r="E1722">
        <v>2.8420000000000001</v>
      </c>
      <c r="F1722">
        <v>126.6034839</v>
      </c>
      <c r="G1722">
        <v>2142482.14</v>
      </c>
      <c r="H1722" t="str">
        <f>TEXT(Ventas[[#This Row],[Fecha_venta]],"dd")</f>
        <v>02</v>
      </c>
      <c r="I1722" t="str">
        <f>TEXT(Ventas[[#This Row],[Fecha_venta]],"m")</f>
        <v>4</v>
      </c>
      <c r="J1722" t="str">
        <f>TEXT(Ventas[[#This Row],[Fecha_venta]],"yyyy")</f>
        <v>2010</v>
      </c>
    </row>
    <row r="1723" spans="1:10" x14ac:dyDescent="0.25">
      <c r="A1723">
        <v>13</v>
      </c>
      <c r="B1723" s="1">
        <v>40277</v>
      </c>
      <c r="C1723">
        <v>0</v>
      </c>
      <c r="D1723">
        <v>38.97</v>
      </c>
      <c r="E1723">
        <v>2.8769999999999998</v>
      </c>
      <c r="F1723">
        <v>126.6019032</v>
      </c>
      <c r="G1723">
        <v>1898321.33</v>
      </c>
      <c r="H1723" t="str">
        <f>TEXT(Ventas[[#This Row],[Fecha_venta]],"dd")</f>
        <v>09</v>
      </c>
      <c r="I1723" t="str">
        <f>TEXT(Ventas[[#This Row],[Fecha_venta]],"m")</f>
        <v>4</v>
      </c>
      <c r="J1723" t="str">
        <f>TEXT(Ventas[[#This Row],[Fecha_venta]],"yyyy")</f>
        <v>2010</v>
      </c>
    </row>
    <row r="1724" spans="1:10" x14ac:dyDescent="0.25">
      <c r="A1724">
        <v>13</v>
      </c>
      <c r="B1724" s="1">
        <v>40284</v>
      </c>
      <c r="C1724">
        <v>0</v>
      </c>
      <c r="D1724">
        <v>50.39</v>
      </c>
      <c r="E1724">
        <v>2.915</v>
      </c>
      <c r="F1724">
        <v>126.5621</v>
      </c>
      <c r="G1724">
        <v>1819660.44</v>
      </c>
      <c r="H1724" t="str">
        <f>TEXT(Ventas[[#This Row],[Fecha_venta]],"dd")</f>
        <v>16</v>
      </c>
      <c r="I1724" t="str">
        <f>TEXT(Ventas[[#This Row],[Fecha_venta]],"m")</f>
        <v>4</v>
      </c>
      <c r="J1724" t="str">
        <f>TEXT(Ventas[[#This Row],[Fecha_venta]],"yyyy")</f>
        <v>2010</v>
      </c>
    </row>
    <row r="1725" spans="1:10" x14ac:dyDescent="0.25">
      <c r="A1725">
        <v>13</v>
      </c>
      <c r="B1725" s="1">
        <v>40291</v>
      </c>
      <c r="C1725">
        <v>0</v>
      </c>
      <c r="D1725">
        <v>55.66</v>
      </c>
      <c r="E1725">
        <v>2.9359999999999999</v>
      </c>
      <c r="F1725">
        <v>126.4713333</v>
      </c>
      <c r="G1725">
        <v>1909330.77</v>
      </c>
      <c r="H1725" t="str">
        <f>TEXT(Ventas[[#This Row],[Fecha_venta]],"dd")</f>
        <v>23</v>
      </c>
      <c r="I1725" t="str">
        <f>TEXT(Ventas[[#This Row],[Fecha_venta]],"m")</f>
        <v>4</v>
      </c>
      <c r="J1725" t="str">
        <f>TEXT(Ventas[[#This Row],[Fecha_venta]],"yyyy")</f>
        <v>2010</v>
      </c>
    </row>
    <row r="1726" spans="1:10" x14ac:dyDescent="0.25">
      <c r="A1726">
        <v>13</v>
      </c>
      <c r="B1726" s="1">
        <v>40298</v>
      </c>
      <c r="C1726">
        <v>0</v>
      </c>
      <c r="D1726">
        <v>48.33</v>
      </c>
      <c r="E1726">
        <v>2.9409999999999998</v>
      </c>
      <c r="F1726">
        <v>126.3805667</v>
      </c>
      <c r="G1726">
        <v>1785823.37</v>
      </c>
      <c r="H1726" t="str">
        <f>TEXT(Ventas[[#This Row],[Fecha_venta]],"dd")</f>
        <v>30</v>
      </c>
      <c r="I1726" t="str">
        <f>TEXT(Ventas[[#This Row],[Fecha_venta]],"m")</f>
        <v>4</v>
      </c>
      <c r="J1726" t="str">
        <f>TEXT(Ventas[[#This Row],[Fecha_venta]],"yyyy")</f>
        <v>2010</v>
      </c>
    </row>
    <row r="1727" spans="1:10" x14ac:dyDescent="0.25">
      <c r="A1727">
        <v>13</v>
      </c>
      <c r="B1727" s="1">
        <v>40305</v>
      </c>
      <c r="C1727">
        <v>0</v>
      </c>
      <c r="D1727">
        <v>44.42</v>
      </c>
      <c r="E1727">
        <v>2.948</v>
      </c>
      <c r="F1727">
        <v>126.2898</v>
      </c>
      <c r="G1727">
        <v>2005478.46</v>
      </c>
      <c r="H1727" t="str">
        <f>TEXT(Ventas[[#This Row],[Fecha_venta]],"dd")</f>
        <v>07</v>
      </c>
      <c r="I1727" t="str">
        <f>TEXT(Ventas[[#This Row],[Fecha_venta]],"m")</f>
        <v>5</v>
      </c>
      <c r="J1727" t="str">
        <f>TEXT(Ventas[[#This Row],[Fecha_venta]],"yyyy")</f>
        <v>2010</v>
      </c>
    </row>
    <row r="1728" spans="1:10" x14ac:dyDescent="0.25">
      <c r="A1728">
        <v>13</v>
      </c>
      <c r="B1728" s="1">
        <v>40312</v>
      </c>
      <c r="C1728">
        <v>0</v>
      </c>
      <c r="D1728">
        <v>50.15</v>
      </c>
      <c r="E1728">
        <v>2.9620000000000002</v>
      </c>
      <c r="F1728">
        <v>126.2085484</v>
      </c>
      <c r="G1728">
        <v>1890273.44</v>
      </c>
      <c r="H1728" t="str">
        <f>TEXT(Ventas[[#This Row],[Fecha_venta]],"dd")</f>
        <v>14</v>
      </c>
      <c r="I1728" t="str">
        <f>TEXT(Ventas[[#This Row],[Fecha_venta]],"m")</f>
        <v>5</v>
      </c>
      <c r="J1728" t="str">
        <f>TEXT(Ventas[[#This Row],[Fecha_venta]],"yyyy")</f>
        <v>2010</v>
      </c>
    </row>
    <row r="1729" spans="1:10" x14ac:dyDescent="0.25">
      <c r="A1729">
        <v>13</v>
      </c>
      <c r="B1729" s="1">
        <v>40319</v>
      </c>
      <c r="C1729">
        <v>0</v>
      </c>
      <c r="D1729">
        <v>57.71</v>
      </c>
      <c r="E1729">
        <v>2.95</v>
      </c>
      <c r="F1729">
        <v>126.1843871</v>
      </c>
      <c r="G1729">
        <v>1853657.6</v>
      </c>
      <c r="H1729" t="str">
        <f>TEXT(Ventas[[#This Row],[Fecha_venta]],"dd")</f>
        <v>21</v>
      </c>
      <c r="I1729" t="str">
        <f>TEXT(Ventas[[#This Row],[Fecha_venta]],"m")</f>
        <v>5</v>
      </c>
      <c r="J1729" t="str">
        <f>TEXT(Ventas[[#This Row],[Fecha_venta]],"yyyy")</f>
        <v>2010</v>
      </c>
    </row>
    <row r="1730" spans="1:10" x14ac:dyDescent="0.25">
      <c r="A1730">
        <v>13</v>
      </c>
      <c r="B1730" s="1">
        <v>40326</v>
      </c>
      <c r="C1730">
        <v>0</v>
      </c>
      <c r="D1730">
        <v>53.11</v>
      </c>
      <c r="E1730">
        <v>2.9079999999999999</v>
      </c>
      <c r="F1730">
        <v>126.16022580000001</v>
      </c>
      <c r="G1730">
        <v>1877358.86</v>
      </c>
      <c r="H1730" t="str">
        <f>TEXT(Ventas[[#This Row],[Fecha_venta]],"dd")</f>
        <v>28</v>
      </c>
      <c r="I1730" t="str">
        <f>TEXT(Ventas[[#This Row],[Fecha_venta]],"m")</f>
        <v>5</v>
      </c>
      <c r="J1730" t="str">
        <f>TEXT(Ventas[[#This Row],[Fecha_venta]],"yyyy")</f>
        <v>2010</v>
      </c>
    </row>
    <row r="1731" spans="1:10" x14ac:dyDescent="0.25">
      <c r="A1731">
        <v>13</v>
      </c>
      <c r="B1731" s="1">
        <v>40333</v>
      </c>
      <c r="C1731">
        <v>0</v>
      </c>
      <c r="D1731">
        <v>59.85</v>
      </c>
      <c r="E1731">
        <v>2.871</v>
      </c>
      <c r="F1731">
        <v>126.1360645</v>
      </c>
      <c r="G1731">
        <v>2022705.22</v>
      </c>
      <c r="H1731" t="str">
        <f>TEXT(Ventas[[#This Row],[Fecha_venta]],"dd")</f>
        <v>04</v>
      </c>
      <c r="I1731" t="str">
        <f>TEXT(Ventas[[#This Row],[Fecha_venta]],"m")</f>
        <v>6</v>
      </c>
      <c r="J1731" t="str">
        <f>TEXT(Ventas[[#This Row],[Fecha_venta]],"yyyy")</f>
        <v>2010</v>
      </c>
    </row>
    <row r="1732" spans="1:10" x14ac:dyDescent="0.25">
      <c r="A1732">
        <v>13</v>
      </c>
      <c r="B1732" s="1">
        <v>40340</v>
      </c>
      <c r="C1732">
        <v>0</v>
      </c>
      <c r="D1732">
        <v>65.239999999999995</v>
      </c>
      <c r="E1732">
        <v>2.8410000000000002</v>
      </c>
      <c r="F1732">
        <v>126.1119032</v>
      </c>
      <c r="G1732">
        <v>2037880.96</v>
      </c>
      <c r="H1732" t="str">
        <f>TEXT(Ventas[[#This Row],[Fecha_venta]],"dd")</f>
        <v>11</v>
      </c>
      <c r="I1732" t="str">
        <f>TEXT(Ventas[[#This Row],[Fecha_venta]],"m")</f>
        <v>6</v>
      </c>
      <c r="J1732" t="str">
        <f>TEXT(Ventas[[#This Row],[Fecha_venta]],"yyyy")</f>
        <v>2010</v>
      </c>
    </row>
    <row r="1733" spans="1:10" x14ac:dyDescent="0.25">
      <c r="A1733">
        <v>13</v>
      </c>
      <c r="B1733" s="1">
        <v>40347</v>
      </c>
      <c r="C1733">
        <v>0</v>
      </c>
      <c r="D1733">
        <v>58.41</v>
      </c>
      <c r="E1733">
        <v>2.819</v>
      </c>
      <c r="F1733">
        <v>126.114</v>
      </c>
      <c r="G1733">
        <v>2003435.31</v>
      </c>
      <c r="H1733" t="str">
        <f>TEXT(Ventas[[#This Row],[Fecha_venta]],"dd")</f>
        <v>18</v>
      </c>
      <c r="I1733" t="str">
        <f>TEXT(Ventas[[#This Row],[Fecha_venta]],"m")</f>
        <v>6</v>
      </c>
      <c r="J1733" t="str">
        <f>TEXT(Ventas[[#This Row],[Fecha_venta]],"yyyy")</f>
        <v>2010</v>
      </c>
    </row>
    <row r="1734" spans="1:10" x14ac:dyDescent="0.25">
      <c r="A1734">
        <v>13</v>
      </c>
      <c r="B1734" s="1">
        <v>40354</v>
      </c>
      <c r="C1734">
        <v>0</v>
      </c>
      <c r="D1734">
        <v>71.83</v>
      </c>
      <c r="E1734">
        <v>2.82</v>
      </c>
      <c r="F1734">
        <v>126.1266</v>
      </c>
      <c r="G1734">
        <v>1970340.25</v>
      </c>
      <c r="H1734" t="str">
        <f>TEXT(Ventas[[#This Row],[Fecha_venta]],"dd")</f>
        <v>25</v>
      </c>
      <c r="I1734" t="str">
        <f>TEXT(Ventas[[#This Row],[Fecha_venta]],"m")</f>
        <v>6</v>
      </c>
      <c r="J1734" t="str">
        <f>TEXT(Ventas[[#This Row],[Fecha_venta]],"yyyy")</f>
        <v>2010</v>
      </c>
    </row>
    <row r="1735" spans="1:10" x14ac:dyDescent="0.25">
      <c r="A1735">
        <v>13</v>
      </c>
      <c r="B1735" s="1">
        <v>40361</v>
      </c>
      <c r="C1735">
        <v>0</v>
      </c>
      <c r="D1735">
        <v>78.819999999999993</v>
      </c>
      <c r="E1735">
        <v>2.8140000000000001</v>
      </c>
      <c r="F1735">
        <v>126.1392</v>
      </c>
      <c r="G1735">
        <v>2018314.71</v>
      </c>
      <c r="H1735" t="str">
        <f>TEXT(Ventas[[#This Row],[Fecha_venta]],"dd")</f>
        <v>02</v>
      </c>
      <c r="I1735" t="str">
        <f>TEXT(Ventas[[#This Row],[Fecha_venta]],"m")</f>
        <v>7</v>
      </c>
      <c r="J1735" t="str">
        <f>TEXT(Ventas[[#This Row],[Fecha_venta]],"yyyy")</f>
        <v>2010</v>
      </c>
    </row>
    <row r="1736" spans="1:10" x14ac:dyDescent="0.25">
      <c r="A1736">
        <v>13</v>
      </c>
      <c r="B1736" s="1">
        <v>40368</v>
      </c>
      <c r="C1736">
        <v>0</v>
      </c>
      <c r="D1736">
        <v>71.33</v>
      </c>
      <c r="E1736">
        <v>2.802</v>
      </c>
      <c r="F1736">
        <v>126.15179999999999</v>
      </c>
      <c r="G1736">
        <v>1870843.9</v>
      </c>
      <c r="H1736" t="str">
        <f>TEXT(Ventas[[#This Row],[Fecha_venta]],"dd")</f>
        <v>09</v>
      </c>
      <c r="I1736" t="str">
        <f>TEXT(Ventas[[#This Row],[Fecha_venta]],"m")</f>
        <v>7</v>
      </c>
      <c r="J1736" t="str">
        <f>TEXT(Ventas[[#This Row],[Fecha_venta]],"yyyy")</f>
        <v>2010</v>
      </c>
    </row>
    <row r="1737" spans="1:10" x14ac:dyDescent="0.25">
      <c r="A1737">
        <v>13</v>
      </c>
      <c r="B1737" s="1">
        <v>40375</v>
      </c>
      <c r="C1737">
        <v>0</v>
      </c>
      <c r="D1737">
        <v>77.790000000000006</v>
      </c>
      <c r="E1737">
        <v>2.7909999999999999</v>
      </c>
      <c r="F1737">
        <v>126.1498065</v>
      </c>
      <c r="G1737">
        <v>1932231.05</v>
      </c>
      <c r="H1737" t="str">
        <f>TEXT(Ventas[[#This Row],[Fecha_venta]],"dd")</f>
        <v>16</v>
      </c>
      <c r="I1737" t="str">
        <f>TEXT(Ventas[[#This Row],[Fecha_venta]],"m")</f>
        <v>7</v>
      </c>
      <c r="J1737" t="str">
        <f>TEXT(Ventas[[#This Row],[Fecha_venta]],"yyyy")</f>
        <v>2010</v>
      </c>
    </row>
    <row r="1738" spans="1:10" x14ac:dyDescent="0.25">
      <c r="A1738">
        <v>13</v>
      </c>
      <c r="B1738" s="1">
        <v>40382</v>
      </c>
      <c r="C1738">
        <v>0</v>
      </c>
      <c r="D1738">
        <v>82.27</v>
      </c>
      <c r="E1738">
        <v>2.7970000000000002</v>
      </c>
      <c r="F1738">
        <v>126.1283548</v>
      </c>
      <c r="G1738">
        <v>1907351.2</v>
      </c>
      <c r="H1738" t="str">
        <f>TEXT(Ventas[[#This Row],[Fecha_venta]],"dd")</f>
        <v>23</v>
      </c>
      <c r="I1738" t="str">
        <f>TEXT(Ventas[[#This Row],[Fecha_venta]],"m")</f>
        <v>7</v>
      </c>
      <c r="J1738" t="str">
        <f>TEXT(Ventas[[#This Row],[Fecha_venta]],"yyyy")</f>
        <v>2010</v>
      </c>
    </row>
    <row r="1739" spans="1:10" x14ac:dyDescent="0.25">
      <c r="A1739">
        <v>13</v>
      </c>
      <c r="B1739" s="1">
        <v>40389</v>
      </c>
      <c r="C1739">
        <v>0</v>
      </c>
      <c r="D1739">
        <v>78.94</v>
      </c>
      <c r="E1739">
        <v>2.7970000000000002</v>
      </c>
      <c r="F1739">
        <v>126.1069032</v>
      </c>
      <c r="G1739">
        <v>1817887.23</v>
      </c>
      <c r="H1739" t="str">
        <f>TEXT(Ventas[[#This Row],[Fecha_venta]],"dd")</f>
        <v>30</v>
      </c>
      <c r="I1739" t="str">
        <f>TEXT(Ventas[[#This Row],[Fecha_venta]],"m")</f>
        <v>7</v>
      </c>
      <c r="J1739" t="str">
        <f>TEXT(Ventas[[#This Row],[Fecha_venta]],"yyyy")</f>
        <v>2010</v>
      </c>
    </row>
    <row r="1740" spans="1:10" x14ac:dyDescent="0.25">
      <c r="A1740">
        <v>13</v>
      </c>
      <c r="B1740" s="1">
        <v>40396</v>
      </c>
      <c r="C1740">
        <v>0</v>
      </c>
      <c r="D1740">
        <v>81.239999999999995</v>
      </c>
      <c r="E1740">
        <v>2.802</v>
      </c>
      <c r="F1740">
        <v>126.0854516</v>
      </c>
      <c r="G1740">
        <v>1969121.45</v>
      </c>
      <c r="H1740" t="str">
        <f>TEXT(Ventas[[#This Row],[Fecha_venta]],"dd")</f>
        <v>06</v>
      </c>
      <c r="I1740" t="str">
        <f>TEXT(Ventas[[#This Row],[Fecha_venta]],"m")</f>
        <v>8</v>
      </c>
      <c r="J1740" t="str">
        <f>TEXT(Ventas[[#This Row],[Fecha_venta]],"yyyy")</f>
        <v>2010</v>
      </c>
    </row>
    <row r="1741" spans="1:10" x14ac:dyDescent="0.25">
      <c r="A1741">
        <v>13</v>
      </c>
      <c r="B1741" s="1">
        <v>40403</v>
      </c>
      <c r="C1741">
        <v>0</v>
      </c>
      <c r="D1741">
        <v>74.930000000000007</v>
      </c>
      <c r="E1741">
        <v>2.8370000000000002</v>
      </c>
      <c r="F1741">
        <v>126.06399999999999</v>
      </c>
      <c r="G1741">
        <v>1877592.55</v>
      </c>
      <c r="H1741" t="str">
        <f>TEXT(Ventas[[#This Row],[Fecha_venta]],"dd")</f>
        <v>13</v>
      </c>
      <c r="I1741" t="str">
        <f>TEXT(Ventas[[#This Row],[Fecha_venta]],"m")</f>
        <v>8</v>
      </c>
      <c r="J1741" t="str">
        <f>TEXT(Ventas[[#This Row],[Fecha_venta]],"yyyy")</f>
        <v>2010</v>
      </c>
    </row>
    <row r="1742" spans="1:10" x14ac:dyDescent="0.25">
      <c r="A1742">
        <v>13</v>
      </c>
      <c r="B1742" s="1">
        <v>40410</v>
      </c>
      <c r="C1742">
        <v>0</v>
      </c>
      <c r="D1742">
        <v>76.34</v>
      </c>
      <c r="E1742">
        <v>2.85</v>
      </c>
      <c r="F1742">
        <v>126.0766452</v>
      </c>
      <c r="G1742">
        <v>1997397.63</v>
      </c>
      <c r="H1742" t="str">
        <f>TEXT(Ventas[[#This Row],[Fecha_venta]],"dd")</f>
        <v>20</v>
      </c>
      <c r="I1742" t="str">
        <f>TEXT(Ventas[[#This Row],[Fecha_venta]],"m")</f>
        <v>8</v>
      </c>
      <c r="J1742" t="str">
        <f>TEXT(Ventas[[#This Row],[Fecha_venta]],"yyyy")</f>
        <v>2010</v>
      </c>
    </row>
    <row r="1743" spans="1:10" x14ac:dyDescent="0.25">
      <c r="A1743">
        <v>13</v>
      </c>
      <c r="B1743" s="1">
        <v>40417</v>
      </c>
      <c r="C1743">
        <v>0</v>
      </c>
      <c r="D1743">
        <v>75.31</v>
      </c>
      <c r="E1743">
        <v>2.8540000000000001</v>
      </c>
      <c r="F1743">
        <v>126.0892903</v>
      </c>
      <c r="G1743">
        <v>1908278.27</v>
      </c>
      <c r="H1743" t="str">
        <f>TEXT(Ventas[[#This Row],[Fecha_venta]],"dd")</f>
        <v>27</v>
      </c>
      <c r="I1743" t="str">
        <f>TEXT(Ventas[[#This Row],[Fecha_venta]],"m")</f>
        <v>8</v>
      </c>
      <c r="J1743" t="str">
        <f>TEXT(Ventas[[#This Row],[Fecha_venta]],"yyyy")</f>
        <v>2010</v>
      </c>
    </row>
    <row r="1744" spans="1:10" x14ac:dyDescent="0.25">
      <c r="A1744">
        <v>13</v>
      </c>
      <c r="B1744" s="1">
        <v>40424</v>
      </c>
      <c r="C1744">
        <v>0</v>
      </c>
      <c r="D1744">
        <v>65.709999999999994</v>
      </c>
      <c r="E1744">
        <v>2.8679999999999999</v>
      </c>
      <c r="F1744">
        <v>126.1019355</v>
      </c>
      <c r="G1744">
        <v>1911852.58</v>
      </c>
      <c r="H1744" t="str">
        <f>TEXT(Ventas[[#This Row],[Fecha_venta]],"dd")</f>
        <v>03</v>
      </c>
      <c r="I1744" t="str">
        <f>TEXT(Ventas[[#This Row],[Fecha_venta]],"m")</f>
        <v>9</v>
      </c>
      <c r="J1744" t="str">
        <f>TEXT(Ventas[[#This Row],[Fecha_venta]],"yyyy")</f>
        <v>2010</v>
      </c>
    </row>
    <row r="1745" spans="1:10" x14ac:dyDescent="0.25">
      <c r="A1745">
        <v>13</v>
      </c>
      <c r="B1745" s="1">
        <v>40431</v>
      </c>
      <c r="C1745">
        <v>1</v>
      </c>
      <c r="D1745">
        <v>65.739999999999995</v>
      </c>
      <c r="E1745">
        <v>2.87</v>
      </c>
      <c r="F1745">
        <v>126.1145806</v>
      </c>
      <c r="G1745">
        <v>1772143.94</v>
      </c>
      <c r="H1745" t="str">
        <f>TEXT(Ventas[[#This Row],[Fecha_venta]],"dd")</f>
        <v>10</v>
      </c>
      <c r="I1745" t="str">
        <f>TEXT(Ventas[[#This Row],[Fecha_venta]],"m")</f>
        <v>9</v>
      </c>
      <c r="J1745" t="str">
        <f>TEXT(Ventas[[#This Row],[Fecha_venta]],"yyyy")</f>
        <v>2010</v>
      </c>
    </row>
    <row r="1746" spans="1:10" x14ac:dyDescent="0.25">
      <c r="A1746">
        <v>13</v>
      </c>
      <c r="B1746" s="1">
        <v>40438</v>
      </c>
      <c r="C1746">
        <v>0</v>
      </c>
      <c r="D1746">
        <v>66.84</v>
      </c>
      <c r="E1746">
        <v>2.875</v>
      </c>
      <c r="F1746">
        <v>126.1454667</v>
      </c>
      <c r="G1746">
        <v>1790279.74</v>
      </c>
      <c r="H1746" t="str">
        <f>TEXT(Ventas[[#This Row],[Fecha_venta]],"dd")</f>
        <v>17</v>
      </c>
      <c r="I1746" t="str">
        <f>TEXT(Ventas[[#This Row],[Fecha_venta]],"m")</f>
        <v>9</v>
      </c>
      <c r="J1746" t="str">
        <f>TEXT(Ventas[[#This Row],[Fecha_venta]],"yyyy")</f>
        <v>2010</v>
      </c>
    </row>
    <row r="1747" spans="1:10" x14ac:dyDescent="0.25">
      <c r="A1747">
        <v>13</v>
      </c>
      <c r="B1747" s="1">
        <v>40445</v>
      </c>
      <c r="C1747">
        <v>0</v>
      </c>
      <c r="D1747">
        <v>68.22</v>
      </c>
      <c r="E1747">
        <v>2.8719999999999999</v>
      </c>
      <c r="F1747">
        <v>126.1900333</v>
      </c>
      <c r="G1747">
        <v>1705655.09</v>
      </c>
      <c r="H1747" t="str">
        <f>TEXT(Ventas[[#This Row],[Fecha_venta]],"dd")</f>
        <v>24</v>
      </c>
      <c r="I1747" t="str">
        <f>TEXT(Ventas[[#This Row],[Fecha_venta]],"m")</f>
        <v>9</v>
      </c>
      <c r="J1747" t="str">
        <f>TEXT(Ventas[[#This Row],[Fecha_venta]],"yyyy")</f>
        <v>2010</v>
      </c>
    </row>
    <row r="1748" spans="1:10" x14ac:dyDescent="0.25">
      <c r="A1748">
        <v>13</v>
      </c>
      <c r="B1748" s="1">
        <v>40452</v>
      </c>
      <c r="C1748">
        <v>0</v>
      </c>
      <c r="D1748">
        <v>68.739999999999995</v>
      </c>
      <c r="E1748">
        <v>2.8530000000000002</v>
      </c>
      <c r="F1748">
        <v>126.2346</v>
      </c>
      <c r="G1748">
        <v>1765584.48</v>
      </c>
      <c r="H1748" t="str">
        <f>TEXT(Ventas[[#This Row],[Fecha_venta]],"dd")</f>
        <v>01</v>
      </c>
      <c r="I1748" t="str">
        <f>TEXT(Ventas[[#This Row],[Fecha_venta]],"m")</f>
        <v>10</v>
      </c>
      <c r="J1748" t="str">
        <f>TEXT(Ventas[[#This Row],[Fecha_venta]],"yyyy")</f>
        <v>2010</v>
      </c>
    </row>
    <row r="1749" spans="1:10" x14ac:dyDescent="0.25">
      <c r="A1749">
        <v>13</v>
      </c>
      <c r="B1749" s="1">
        <v>40459</v>
      </c>
      <c r="C1749">
        <v>0</v>
      </c>
      <c r="D1749">
        <v>63.03</v>
      </c>
      <c r="E1749">
        <v>2.8410000000000002</v>
      </c>
      <c r="F1749">
        <v>126.2791667</v>
      </c>
      <c r="G1749">
        <v>1871924.07</v>
      </c>
      <c r="H1749" t="str">
        <f>TEXT(Ventas[[#This Row],[Fecha_venta]],"dd")</f>
        <v>08</v>
      </c>
      <c r="I1749" t="str">
        <f>TEXT(Ventas[[#This Row],[Fecha_venta]],"m")</f>
        <v>10</v>
      </c>
      <c r="J1749" t="str">
        <f>TEXT(Ventas[[#This Row],[Fecha_venta]],"yyyy")</f>
        <v>2010</v>
      </c>
    </row>
    <row r="1750" spans="1:10" x14ac:dyDescent="0.25">
      <c r="A1750">
        <v>13</v>
      </c>
      <c r="B1750" s="1">
        <v>40466</v>
      </c>
      <c r="C1750">
        <v>0</v>
      </c>
      <c r="D1750">
        <v>54.12</v>
      </c>
      <c r="E1750">
        <v>2.8450000000000002</v>
      </c>
      <c r="F1750">
        <v>126.32667739999999</v>
      </c>
      <c r="G1750">
        <v>1851431.06</v>
      </c>
      <c r="H1750" t="str">
        <f>TEXT(Ventas[[#This Row],[Fecha_venta]],"dd")</f>
        <v>15</v>
      </c>
      <c r="I1750" t="str">
        <f>TEXT(Ventas[[#This Row],[Fecha_venta]],"m")</f>
        <v>10</v>
      </c>
      <c r="J1750" t="str">
        <f>TEXT(Ventas[[#This Row],[Fecha_venta]],"yyyy")</f>
        <v>2010</v>
      </c>
    </row>
    <row r="1751" spans="1:10" x14ac:dyDescent="0.25">
      <c r="A1751">
        <v>13</v>
      </c>
      <c r="B1751" s="1">
        <v>40473</v>
      </c>
      <c r="C1751">
        <v>0</v>
      </c>
      <c r="D1751">
        <v>56.89</v>
      </c>
      <c r="E1751">
        <v>2.8490000000000002</v>
      </c>
      <c r="F1751">
        <v>126.3815484</v>
      </c>
      <c r="G1751">
        <v>1796949.59</v>
      </c>
      <c r="H1751" t="str">
        <f>TEXT(Ventas[[#This Row],[Fecha_venta]],"dd")</f>
        <v>22</v>
      </c>
      <c r="I1751" t="str">
        <f>TEXT(Ventas[[#This Row],[Fecha_venta]],"m")</f>
        <v>10</v>
      </c>
      <c r="J1751" t="str">
        <f>TEXT(Ventas[[#This Row],[Fecha_venta]],"yyyy")</f>
        <v>2010</v>
      </c>
    </row>
    <row r="1752" spans="1:10" x14ac:dyDescent="0.25">
      <c r="A1752">
        <v>13</v>
      </c>
      <c r="B1752" s="1">
        <v>40480</v>
      </c>
      <c r="C1752">
        <v>0</v>
      </c>
      <c r="D1752">
        <v>45.12</v>
      </c>
      <c r="E1752">
        <v>2.8410000000000002</v>
      </c>
      <c r="F1752">
        <v>126.43641940000001</v>
      </c>
      <c r="G1752">
        <v>1887895.07</v>
      </c>
      <c r="H1752" t="str">
        <f>TEXT(Ventas[[#This Row],[Fecha_venta]],"dd")</f>
        <v>29</v>
      </c>
      <c r="I1752" t="str">
        <f>TEXT(Ventas[[#This Row],[Fecha_venta]],"m")</f>
        <v>10</v>
      </c>
      <c r="J1752" t="str">
        <f>TEXT(Ventas[[#This Row],[Fecha_venta]],"yyyy")</f>
        <v>2010</v>
      </c>
    </row>
    <row r="1753" spans="1:10" x14ac:dyDescent="0.25">
      <c r="A1753">
        <v>13</v>
      </c>
      <c r="B1753" s="1">
        <v>40487</v>
      </c>
      <c r="C1753">
        <v>0</v>
      </c>
      <c r="D1753">
        <v>49.96</v>
      </c>
      <c r="E1753">
        <v>2.831</v>
      </c>
      <c r="F1753">
        <v>126.4912903</v>
      </c>
      <c r="G1753">
        <v>1854967.66</v>
      </c>
      <c r="H1753" t="str">
        <f>TEXT(Ventas[[#This Row],[Fecha_venta]],"dd")</f>
        <v>05</v>
      </c>
      <c r="I1753" t="str">
        <f>TEXT(Ventas[[#This Row],[Fecha_venta]],"m")</f>
        <v>11</v>
      </c>
      <c r="J1753" t="str">
        <f>TEXT(Ventas[[#This Row],[Fecha_venta]],"yyyy")</f>
        <v>2010</v>
      </c>
    </row>
    <row r="1754" spans="1:10" x14ac:dyDescent="0.25">
      <c r="A1754">
        <v>13</v>
      </c>
      <c r="B1754" s="1">
        <v>40494</v>
      </c>
      <c r="C1754">
        <v>0</v>
      </c>
      <c r="D1754">
        <v>42.55</v>
      </c>
      <c r="E1754">
        <v>2.831</v>
      </c>
      <c r="F1754">
        <v>126.54616129999999</v>
      </c>
      <c r="G1754">
        <v>1939964.63</v>
      </c>
      <c r="H1754" t="str">
        <f>TEXT(Ventas[[#This Row],[Fecha_venta]],"dd")</f>
        <v>12</v>
      </c>
      <c r="I1754" t="str">
        <f>TEXT(Ventas[[#This Row],[Fecha_venta]],"m")</f>
        <v>11</v>
      </c>
      <c r="J1754" t="str">
        <f>TEXT(Ventas[[#This Row],[Fecha_venta]],"yyyy")</f>
        <v>2010</v>
      </c>
    </row>
    <row r="1755" spans="1:10" x14ac:dyDescent="0.25">
      <c r="A1755">
        <v>13</v>
      </c>
      <c r="B1755" s="1">
        <v>40501</v>
      </c>
      <c r="C1755">
        <v>0</v>
      </c>
      <c r="D1755">
        <v>42</v>
      </c>
      <c r="E1755">
        <v>2.8420000000000001</v>
      </c>
      <c r="F1755">
        <v>126.60720000000001</v>
      </c>
      <c r="G1755">
        <v>1925393.91</v>
      </c>
      <c r="H1755" t="str">
        <f>TEXT(Ventas[[#This Row],[Fecha_venta]],"dd")</f>
        <v>19</v>
      </c>
      <c r="I1755" t="str">
        <f>TEXT(Ventas[[#This Row],[Fecha_venta]],"m")</f>
        <v>11</v>
      </c>
      <c r="J1755" t="str">
        <f>TEXT(Ventas[[#This Row],[Fecha_venta]],"yyyy")</f>
        <v>2010</v>
      </c>
    </row>
    <row r="1756" spans="1:10" x14ac:dyDescent="0.25">
      <c r="A1756">
        <v>13</v>
      </c>
      <c r="B1756" s="1">
        <v>40508</v>
      </c>
      <c r="C1756">
        <v>1</v>
      </c>
      <c r="D1756">
        <v>28.22</v>
      </c>
      <c r="E1756">
        <v>2.83</v>
      </c>
      <c r="F1756">
        <v>126.66926669999999</v>
      </c>
      <c r="G1756">
        <v>2766400.05</v>
      </c>
      <c r="H1756" t="str">
        <f>TEXT(Ventas[[#This Row],[Fecha_venta]],"dd")</f>
        <v>26</v>
      </c>
      <c r="I1756" t="str">
        <f>TEXT(Ventas[[#This Row],[Fecha_venta]],"m")</f>
        <v>11</v>
      </c>
      <c r="J1756" t="str">
        <f>TEXT(Ventas[[#This Row],[Fecha_venta]],"yyyy")</f>
        <v>2010</v>
      </c>
    </row>
    <row r="1757" spans="1:10" x14ac:dyDescent="0.25">
      <c r="A1757">
        <v>13</v>
      </c>
      <c r="B1757" s="1">
        <v>40515</v>
      </c>
      <c r="C1757">
        <v>0</v>
      </c>
      <c r="D1757">
        <v>25.8</v>
      </c>
      <c r="E1757">
        <v>2.8119999999999998</v>
      </c>
      <c r="F1757">
        <v>126.7313333</v>
      </c>
      <c r="G1757">
        <v>2083379.89</v>
      </c>
      <c r="H1757" t="str">
        <f>TEXT(Ventas[[#This Row],[Fecha_venta]],"dd")</f>
        <v>03</v>
      </c>
      <c r="I1757" t="str">
        <f>TEXT(Ventas[[#This Row],[Fecha_venta]],"m")</f>
        <v>12</v>
      </c>
      <c r="J1757" t="str">
        <f>TEXT(Ventas[[#This Row],[Fecha_venta]],"yyyy")</f>
        <v>2010</v>
      </c>
    </row>
    <row r="1758" spans="1:10" x14ac:dyDescent="0.25">
      <c r="A1758">
        <v>13</v>
      </c>
      <c r="B1758" s="1">
        <v>40522</v>
      </c>
      <c r="C1758">
        <v>0</v>
      </c>
      <c r="D1758">
        <v>36.78</v>
      </c>
      <c r="E1758">
        <v>2.8170000000000002</v>
      </c>
      <c r="F1758">
        <v>126.79340000000001</v>
      </c>
      <c r="G1758">
        <v>2461468.35</v>
      </c>
      <c r="H1758" t="str">
        <f>TEXT(Ventas[[#This Row],[Fecha_venta]],"dd")</f>
        <v>10</v>
      </c>
      <c r="I1758" t="str">
        <f>TEXT(Ventas[[#This Row],[Fecha_venta]],"m")</f>
        <v>12</v>
      </c>
      <c r="J1758" t="str">
        <f>TEXT(Ventas[[#This Row],[Fecha_venta]],"yyyy")</f>
        <v>2010</v>
      </c>
    </row>
    <row r="1759" spans="1:10" x14ac:dyDescent="0.25">
      <c r="A1759">
        <v>13</v>
      </c>
      <c r="B1759" s="1">
        <v>40529</v>
      </c>
      <c r="C1759">
        <v>0</v>
      </c>
      <c r="D1759">
        <v>35.21</v>
      </c>
      <c r="E1759">
        <v>2.8420000000000001</v>
      </c>
      <c r="F1759">
        <v>126.8794839</v>
      </c>
      <c r="G1759">
        <v>2771646.81</v>
      </c>
      <c r="H1759" t="str">
        <f>TEXT(Ventas[[#This Row],[Fecha_venta]],"dd")</f>
        <v>17</v>
      </c>
      <c r="I1759" t="str">
        <f>TEXT(Ventas[[#This Row],[Fecha_venta]],"m")</f>
        <v>12</v>
      </c>
      <c r="J1759" t="str">
        <f>TEXT(Ventas[[#This Row],[Fecha_venta]],"yyyy")</f>
        <v>2010</v>
      </c>
    </row>
    <row r="1760" spans="1:10" x14ac:dyDescent="0.25">
      <c r="A1760">
        <v>13</v>
      </c>
      <c r="B1760" s="1">
        <v>40536</v>
      </c>
      <c r="C1760">
        <v>0</v>
      </c>
      <c r="D1760">
        <v>34.9</v>
      </c>
      <c r="E1760">
        <v>2.8460000000000001</v>
      </c>
      <c r="F1760">
        <v>126.9835806</v>
      </c>
      <c r="G1760">
        <v>3595903.2</v>
      </c>
      <c r="H1760" t="str">
        <f>TEXT(Ventas[[#This Row],[Fecha_venta]],"dd")</f>
        <v>24</v>
      </c>
      <c r="I1760" t="str">
        <f>TEXT(Ventas[[#This Row],[Fecha_venta]],"m")</f>
        <v>12</v>
      </c>
      <c r="J1760" t="str">
        <f>TEXT(Ventas[[#This Row],[Fecha_venta]],"yyyy")</f>
        <v>2010</v>
      </c>
    </row>
    <row r="1761" spans="1:10" x14ac:dyDescent="0.25">
      <c r="A1761">
        <v>13</v>
      </c>
      <c r="B1761" s="1">
        <v>40543</v>
      </c>
      <c r="C1761">
        <v>1</v>
      </c>
      <c r="D1761">
        <v>26.79</v>
      </c>
      <c r="E1761">
        <v>2.8679999999999999</v>
      </c>
      <c r="F1761">
        <v>127.0876774</v>
      </c>
      <c r="G1761">
        <v>1675292</v>
      </c>
      <c r="H1761" t="str">
        <f>TEXT(Ventas[[#This Row],[Fecha_venta]],"dd")</f>
        <v>31</v>
      </c>
      <c r="I1761" t="str">
        <f>TEXT(Ventas[[#This Row],[Fecha_venta]],"m")</f>
        <v>12</v>
      </c>
      <c r="J1761" t="str">
        <f>TEXT(Ventas[[#This Row],[Fecha_venta]],"yyyy")</f>
        <v>2010</v>
      </c>
    </row>
    <row r="1762" spans="1:10" x14ac:dyDescent="0.25">
      <c r="A1762">
        <v>13</v>
      </c>
      <c r="B1762" s="1">
        <v>40550</v>
      </c>
      <c r="C1762">
        <v>0</v>
      </c>
      <c r="D1762">
        <v>16.940000000000001</v>
      </c>
      <c r="E1762">
        <v>2.891</v>
      </c>
      <c r="F1762">
        <v>127.1917742</v>
      </c>
      <c r="G1762">
        <v>1744544.39</v>
      </c>
      <c r="H1762" t="str">
        <f>TEXT(Ventas[[#This Row],[Fecha_venta]],"dd")</f>
        <v>07</v>
      </c>
      <c r="I1762" t="str">
        <f>TEXT(Ventas[[#This Row],[Fecha_venta]],"m")</f>
        <v>1</v>
      </c>
      <c r="J1762" t="str">
        <f>TEXT(Ventas[[#This Row],[Fecha_venta]],"yyyy")</f>
        <v>2011</v>
      </c>
    </row>
    <row r="1763" spans="1:10" x14ac:dyDescent="0.25">
      <c r="A1763">
        <v>13</v>
      </c>
      <c r="B1763" s="1">
        <v>40557</v>
      </c>
      <c r="C1763">
        <v>0</v>
      </c>
      <c r="D1763">
        <v>20.6</v>
      </c>
      <c r="E1763">
        <v>2.903</v>
      </c>
      <c r="F1763">
        <v>127.30093549999999</v>
      </c>
      <c r="G1763">
        <v>1682316.31</v>
      </c>
      <c r="H1763" t="str">
        <f>TEXT(Ventas[[#This Row],[Fecha_venta]],"dd")</f>
        <v>14</v>
      </c>
      <c r="I1763" t="str">
        <f>TEXT(Ventas[[#This Row],[Fecha_venta]],"m")</f>
        <v>1</v>
      </c>
      <c r="J1763" t="str">
        <f>TEXT(Ventas[[#This Row],[Fecha_venta]],"yyyy")</f>
        <v>2011</v>
      </c>
    </row>
    <row r="1764" spans="1:10" x14ac:dyDescent="0.25">
      <c r="A1764">
        <v>13</v>
      </c>
      <c r="B1764" s="1">
        <v>40564</v>
      </c>
      <c r="C1764">
        <v>0</v>
      </c>
      <c r="D1764">
        <v>34.799999999999997</v>
      </c>
      <c r="E1764">
        <v>2.9340000000000002</v>
      </c>
      <c r="F1764">
        <v>127.4404839</v>
      </c>
      <c r="G1764">
        <v>1770177.37</v>
      </c>
      <c r="H1764" t="str">
        <f>TEXT(Ventas[[#This Row],[Fecha_venta]],"dd")</f>
        <v>21</v>
      </c>
      <c r="I1764" t="str">
        <f>TEXT(Ventas[[#This Row],[Fecha_venta]],"m")</f>
        <v>1</v>
      </c>
      <c r="J1764" t="str">
        <f>TEXT(Ventas[[#This Row],[Fecha_venta]],"yyyy")</f>
        <v>2011</v>
      </c>
    </row>
    <row r="1765" spans="1:10" x14ac:dyDescent="0.25">
      <c r="A1765">
        <v>13</v>
      </c>
      <c r="B1765" s="1">
        <v>40571</v>
      </c>
      <c r="C1765">
        <v>0</v>
      </c>
      <c r="D1765">
        <v>31.64</v>
      </c>
      <c r="E1765">
        <v>2.96</v>
      </c>
      <c r="F1765">
        <v>127.5800323</v>
      </c>
      <c r="G1765">
        <v>1633663.12</v>
      </c>
      <c r="H1765" t="str">
        <f>TEXT(Ventas[[#This Row],[Fecha_venta]],"dd")</f>
        <v>28</v>
      </c>
      <c r="I1765" t="str">
        <f>TEXT(Ventas[[#This Row],[Fecha_venta]],"m")</f>
        <v>1</v>
      </c>
      <c r="J1765" t="str">
        <f>TEXT(Ventas[[#This Row],[Fecha_venta]],"yyyy")</f>
        <v>2011</v>
      </c>
    </row>
    <row r="1766" spans="1:10" x14ac:dyDescent="0.25">
      <c r="A1766">
        <v>13</v>
      </c>
      <c r="B1766" s="1">
        <v>40578</v>
      </c>
      <c r="C1766">
        <v>0</v>
      </c>
      <c r="D1766">
        <v>23.35</v>
      </c>
      <c r="E1766">
        <v>2.9740000000000002</v>
      </c>
      <c r="F1766">
        <v>127.7195806</v>
      </c>
      <c r="G1766">
        <v>1848186.58</v>
      </c>
      <c r="H1766" t="str">
        <f>TEXT(Ventas[[#This Row],[Fecha_venta]],"dd")</f>
        <v>04</v>
      </c>
      <c r="I1766" t="str">
        <f>TEXT(Ventas[[#This Row],[Fecha_venta]],"m")</f>
        <v>2</v>
      </c>
      <c r="J1766" t="str">
        <f>TEXT(Ventas[[#This Row],[Fecha_venta]],"yyyy")</f>
        <v>2011</v>
      </c>
    </row>
    <row r="1767" spans="1:10" x14ac:dyDescent="0.25">
      <c r="A1767">
        <v>13</v>
      </c>
      <c r="B1767" s="1">
        <v>40585</v>
      </c>
      <c r="C1767">
        <v>1</v>
      </c>
      <c r="D1767">
        <v>30.83</v>
      </c>
      <c r="E1767">
        <v>3.0339999999999998</v>
      </c>
      <c r="F1767">
        <v>127.859129</v>
      </c>
      <c r="G1767">
        <v>1944438.9</v>
      </c>
      <c r="H1767" t="str">
        <f>TEXT(Ventas[[#This Row],[Fecha_venta]],"dd")</f>
        <v>11</v>
      </c>
      <c r="I1767" t="str">
        <f>TEXT(Ventas[[#This Row],[Fecha_venta]],"m")</f>
        <v>2</v>
      </c>
      <c r="J1767" t="str">
        <f>TEXT(Ventas[[#This Row],[Fecha_venta]],"yyyy")</f>
        <v>2011</v>
      </c>
    </row>
    <row r="1768" spans="1:10" x14ac:dyDescent="0.25">
      <c r="A1768">
        <v>13</v>
      </c>
      <c r="B1768" s="1">
        <v>40592</v>
      </c>
      <c r="C1768">
        <v>0</v>
      </c>
      <c r="D1768">
        <v>40.85</v>
      </c>
      <c r="E1768">
        <v>3.0619999999999998</v>
      </c>
      <c r="F1768">
        <v>127.99525</v>
      </c>
      <c r="G1768">
        <v>2003480.59</v>
      </c>
      <c r="H1768" t="str">
        <f>TEXT(Ventas[[#This Row],[Fecha_venta]],"dd")</f>
        <v>18</v>
      </c>
      <c r="I1768" t="str">
        <f>TEXT(Ventas[[#This Row],[Fecha_venta]],"m")</f>
        <v>2</v>
      </c>
      <c r="J1768" t="str">
        <f>TEXT(Ventas[[#This Row],[Fecha_venta]],"yyyy")</f>
        <v>2011</v>
      </c>
    </row>
    <row r="1769" spans="1:10" x14ac:dyDescent="0.25">
      <c r="A1769">
        <v>13</v>
      </c>
      <c r="B1769" s="1">
        <v>40599</v>
      </c>
      <c r="C1769">
        <v>0</v>
      </c>
      <c r="D1769">
        <v>33.17</v>
      </c>
      <c r="E1769">
        <v>3.12</v>
      </c>
      <c r="F1769">
        <v>128.13</v>
      </c>
      <c r="G1769">
        <v>1831933.95</v>
      </c>
      <c r="H1769" t="str">
        <f>TEXT(Ventas[[#This Row],[Fecha_venta]],"dd")</f>
        <v>25</v>
      </c>
      <c r="I1769" t="str">
        <f>TEXT(Ventas[[#This Row],[Fecha_venta]],"m")</f>
        <v>2</v>
      </c>
      <c r="J1769" t="str">
        <f>TEXT(Ventas[[#This Row],[Fecha_venta]],"yyyy")</f>
        <v>2011</v>
      </c>
    </row>
    <row r="1770" spans="1:10" x14ac:dyDescent="0.25">
      <c r="A1770">
        <v>13</v>
      </c>
      <c r="B1770" s="1">
        <v>40606</v>
      </c>
      <c r="C1770">
        <v>0</v>
      </c>
      <c r="D1770">
        <v>34.229999999999997</v>
      </c>
      <c r="E1770">
        <v>3.23</v>
      </c>
      <c r="F1770">
        <v>128.26474999999999</v>
      </c>
      <c r="G1770">
        <v>1894960.68</v>
      </c>
      <c r="H1770" t="str">
        <f>TEXT(Ventas[[#This Row],[Fecha_venta]],"dd")</f>
        <v>04</v>
      </c>
      <c r="I1770" t="str">
        <f>TEXT(Ventas[[#This Row],[Fecha_venta]],"m")</f>
        <v>3</v>
      </c>
      <c r="J1770" t="str">
        <f>TEXT(Ventas[[#This Row],[Fecha_venta]],"yyyy")</f>
        <v>2011</v>
      </c>
    </row>
    <row r="1771" spans="1:10" x14ac:dyDescent="0.25">
      <c r="A1771">
        <v>13</v>
      </c>
      <c r="B1771" s="1">
        <v>40613</v>
      </c>
      <c r="C1771">
        <v>0</v>
      </c>
      <c r="D1771">
        <v>41.28</v>
      </c>
      <c r="E1771">
        <v>3.3460000000000001</v>
      </c>
      <c r="F1771">
        <v>128.39949999999999</v>
      </c>
      <c r="G1771">
        <v>1852432.58</v>
      </c>
      <c r="H1771" t="str">
        <f>TEXT(Ventas[[#This Row],[Fecha_venta]],"dd")</f>
        <v>11</v>
      </c>
      <c r="I1771" t="str">
        <f>TEXT(Ventas[[#This Row],[Fecha_venta]],"m")</f>
        <v>3</v>
      </c>
      <c r="J1771" t="str">
        <f>TEXT(Ventas[[#This Row],[Fecha_venta]],"yyyy")</f>
        <v>2011</v>
      </c>
    </row>
    <row r="1772" spans="1:10" x14ac:dyDescent="0.25">
      <c r="A1772">
        <v>13</v>
      </c>
      <c r="B1772" s="1">
        <v>40620</v>
      </c>
      <c r="C1772">
        <v>0</v>
      </c>
      <c r="D1772">
        <v>44.69</v>
      </c>
      <c r="E1772">
        <v>3.407</v>
      </c>
      <c r="F1772">
        <v>128.5121935</v>
      </c>
      <c r="G1772">
        <v>1852443.78</v>
      </c>
      <c r="H1772" t="str">
        <f>TEXT(Ventas[[#This Row],[Fecha_venta]],"dd")</f>
        <v>18</v>
      </c>
      <c r="I1772" t="str">
        <f>TEXT(Ventas[[#This Row],[Fecha_venta]],"m")</f>
        <v>3</v>
      </c>
      <c r="J1772" t="str">
        <f>TEXT(Ventas[[#This Row],[Fecha_venta]],"yyyy")</f>
        <v>2011</v>
      </c>
    </row>
    <row r="1773" spans="1:10" x14ac:dyDescent="0.25">
      <c r="A1773">
        <v>13</v>
      </c>
      <c r="B1773" s="1">
        <v>40627</v>
      </c>
      <c r="C1773">
        <v>0</v>
      </c>
      <c r="D1773">
        <v>42.38</v>
      </c>
      <c r="E1773">
        <v>3.4350000000000001</v>
      </c>
      <c r="F1773">
        <v>128.61606449999999</v>
      </c>
      <c r="G1773">
        <v>1807545.43</v>
      </c>
      <c r="H1773" t="str">
        <f>TEXT(Ventas[[#This Row],[Fecha_venta]],"dd")</f>
        <v>25</v>
      </c>
      <c r="I1773" t="str">
        <f>TEXT(Ventas[[#This Row],[Fecha_venta]],"m")</f>
        <v>3</v>
      </c>
      <c r="J1773" t="str">
        <f>TEXT(Ventas[[#This Row],[Fecha_venta]],"yyyy")</f>
        <v>2011</v>
      </c>
    </row>
    <row r="1774" spans="1:10" x14ac:dyDescent="0.25">
      <c r="A1774">
        <v>13</v>
      </c>
      <c r="B1774" s="1">
        <v>40634</v>
      </c>
      <c r="C1774">
        <v>0</v>
      </c>
      <c r="D1774">
        <v>42.49</v>
      </c>
      <c r="E1774">
        <v>3.4870000000000001</v>
      </c>
      <c r="F1774">
        <v>128.71993549999999</v>
      </c>
      <c r="G1774">
        <v>1864238.64</v>
      </c>
      <c r="H1774" t="str">
        <f>TEXT(Ventas[[#This Row],[Fecha_venta]],"dd")</f>
        <v>01</v>
      </c>
      <c r="I1774" t="str">
        <f>TEXT(Ventas[[#This Row],[Fecha_venta]],"m")</f>
        <v>4</v>
      </c>
      <c r="J1774" t="str">
        <f>TEXT(Ventas[[#This Row],[Fecha_venta]],"yyyy")</f>
        <v>2011</v>
      </c>
    </row>
    <row r="1775" spans="1:10" x14ac:dyDescent="0.25">
      <c r="A1775">
        <v>13</v>
      </c>
      <c r="B1775" s="1">
        <v>40641</v>
      </c>
      <c r="C1775">
        <v>0</v>
      </c>
      <c r="D1775">
        <v>42.75</v>
      </c>
      <c r="E1775">
        <v>3.5470000000000002</v>
      </c>
      <c r="F1775">
        <v>128.82380649999999</v>
      </c>
      <c r="G1775">
        <v>1887465.04</v>
      </c>
      <c r="H1775" t="str">
        <f>TEXT(Ventas[[#This Row],[Fecha_venta]],"dd")</f>
        <v>08</v>
      </c>
      <c r="I1775" t="str">
        <f>TEXT(Ventas[[#This Row],[Fecha_venta]],"m")</f>
        <v>4</v>
      </c>
      <c r="J1775" t="str">
        <f>TEXT(Ventas[[#This Row],[Fecha_venta]],"yyyy")</f>
        <v>2011</v>
      </c>
    </row>
    <row r="1776" spans="1:10" x14ac:dyDescent="0.25">
      <c r="A1776">
        <v>13</v>
      </c>
      <c r="B1776" s="1">
        <v>40648</v>
      </c>
      <c r="C1776">
        <v>0</v>
      </c>
      <c r="D1776">
        <v>41.72</v>
      </c>
      <c r="E1776">
        <v>3.6160000000000001</v>
      </c>
      <c r="F1776">
        <v>128.9107333</v>
      </c>
      <c r="G1776">
        <v>1950994.04</v>
      </c>
      <c r="H1776" t="str">
        <f>TEXT(Ventas[[#This Row],[Fecha_venta]],"dd")</f>
        <v>15</v>
      </c>
      <c r="I1776" t="str">
        <f>TEXT(Ventas[[#This Row],[Fecha_venta]],"m")</f>
        <v>4</v>
      </c>
      <c r="J1776" t="str">
        <f>TEXT(Ventas[[#This Row],[Fecha_venta]],"yyyy")</f>
        <v>2011</v>
      </c>
    </row>
    <row r="1777" spans="1:10" x14ac:dyDescent="0.25">
      <c r="A1777">
        <v>13</v>
      </c>
      <c r="B1777" s="1">
        <v>40655</v>
      </c>
      <c r="C1777">
        <v>0</v>
      </c>
      <c r="D1777">
        <v>47.55</v>
      </c>
      <c r="E1777">
        <v>3.6549999999999998</v>
      </c>
      <c r="F1777">
        <v>128.95529999999999</v>
      </c>
      <c r="G1777">
        <v>2124316.34</v>
      </c>
      <c r="H1777" t="str">
        <f>TEXT(Ventas[[#This Row],[Fecha_venta]],"dd")</f>
        <v>22</v>
      </c>
      <c r="I1777" t="str">
        <f>TEXT(Ventas[[#This Row],[Fecha_venta]],"m")</f>
        <v>4</v>
      </c>
      <c r="J1777" t="str">
        <f>TEXT(Ventas[[#This Row],[Fecha_venta]],"yyyy")</f>
        <v>2011</v>
      </c>
    </row>
    <row r="1778" spans="1:10" x14ac:dyDescent="0.25">
      <c r="A1778">
        <v>13</v>
      </c>
      <c r="B1778" s="1">
        <v>40662</v>
      </c>
      <c r="C1778">
        <v>0</v>
      </c>
      <c r="D1778">
        <v>43.85</v>
      </c>
      <c r="E1778">
        <v>3.6829999999999998</v>
      </c>
      <c r="F1778">
        <v>128.99986670000001</v>
      </c>
      <c r="G1778">
        <v>1895583.12</v>
      </c>
      <c r="H1778" t="str">
        <f>TEXT(Ventas[[#This Row],[Fecha_venta]],"dd")</f>
        <v>29</v>
      </c>
      <c r="I1778" t="str">
        <f>TEXT(Ventas[[#This Row],[Fecha_venta]],"m")</f>
        <v>4</v>
      </c>
      <c r="J1778" t="str">
        <f>TEXT(Ventas[[#This Row],[Fecha_venta]],"yyyy")</f>
        <v>2011</v>
      </c>
    </row>
    <row r="1779" spans="1:10" x14ac:dyDescent="0.25">
      <c r="A1779">
        <v>13</v>
      </c>
      <c r="B1779" s="1">
        <v>40669</v>
      </c>
      <c r="C1779">
        <v>0</v>
      </c>
      <c r="D1779">
        <v>47.75</v>
      </c>
      <c r="E1779">
        <v>3.7440000000000002</v>
      </c>
      <c r="F1779">
        <v>129.04443330000001</v>
      </c>
      <c r="G1779">
        <v>1986380.4</v>
      </c>
      <c r="H1779" t="str">
        <f>TEXT(Ventas[[#This Row],[Fecha_venta]],"dd")</f>
        <v>06</v>
      </c>
      <c r="I1779" t="str">
        <f>TEXT(Ventas[[#This Row],[Fecha_venta]],"m")</f>
        <v>5</v>
      </c>
      <c r="J1779" t="str">
        <f>TEXT(Ventas[[#This Row],[Fecha_venta]],"yyyy")</f>
        <v>2011</v>
      </c>
    </row>
    <row r="1780" spans="1:10" x14ac:dyDescent="0.25">
      <c r="A1780">
        <v>13</v>
      </c>
      <c r="B1780" s="1">
        <v>40676</v>
      </c>
      <c r="C1780">
        <v>0</v>
      </c>
      <c r="D1780">
        <v>52.4</v>
      </c>
      <c r="E1780">
        <v>3.77</v>
      </c>
      <c r="F1780">
        <v>129.089</v>
      </c>
      <c r="G1780">
        <v>1958823.56</v>
      </c>
      <c r="H1780" t="str">
        <f>TEXT(Ventas[[#This Row],[Fecha_venta]],"dd")</f>
        <v>13</v>
      </c>
      <c r="I1780" t="str">
        <f>TEXT(Ventas[[#This Row],[Fecha_venta]],"m")</f>
        <v>5</v>
      </c>
      <c r="J1780" t="str">
        <f>TEXT(Ventas[[#This Row],[Fecha_venta]],"yyyy")</f>
        <v>2011</v>
      </c>
    </row>
    <row r="1781" spans="1:10" x14ac:dyDescent="0.25">
      <c r="A1781">
        <v>13</v>
      </c>
      <c r="B1781" s="1">
        <v>40683</v>
      </c>
      <c r="C1781">
        <v>0</v>
      </c>
      <c r="D1781">
        <v>52.12</v>
      </c>
      <c r="E1781">
        <v>3.802</v>
      </c>
      <c r="F1781">
        <v>129.07567739999999</v>
      </c>
      <c r="G1781">
        <v>1860923.55</v>
      </c>
      <c r="H1781" t="str">
        <f>TEXT(Ventas[[#This Row],[Fecha_venta]],"dd")</f>
        <v>20</v>
      </c>
      <c r="I1781" t="str">
        <f>TEXT(Ventas[[#This Row],[Fecha_venta]],"m")</f>
        <v>5</v>
      </c>
      <c r="J1781" t="str">
        <f>TEXT(Ventas[[#This Row],[Fecha_venta]],"yyyy")</f>
        <v>2011</v>
      </c>
    </row>
    <row r="1782" spans="1:10" x14ac:dyDescent="0.25">
      <c r="A1782">
        <v>13</v>
      </c>
      <c r="B1782" s="1">
        <v>40690</v>
      </c>
      <c r="C1782">
        <v>0</v>
      </c>
      <c r="D1782">
        <v>54.62</v>
      </c>
      <c r="E1782">
        <v>3.778</v>
      </c>
      <c r="F1782">
        <v>129.06235480000001</v>
      </c>
      <c r="G1782">
        <v>1866369.93</v>
      </c>
      <c r="H1782" t="str">
        <f>TEXT(Ventas[[#This Row],[Fecha_venta]],"dd")</f>
        <v>27</v>
      </c>
      <c r="I1782" t="str">
        <f>TEXT(Ventas[[#This Row],[Fecha_venta]],"m")</f>
        <v>5</v>
      </c>
      <c r="J1782" t="str">
        <f>TEXT(Ventas[[#This Row],[Fecha_venta]],"yyyy")</f>
        <v>2011</v>
      </c>
    </row>
    <row r="1783" spans="1:10" x14ac:dyDescent="0.25">
      <c r="A1783">
        <v>13</v>
      </c>
      <c r="B1783" s="1">
        <v>40697</v>
      </c>
      <c r="C1783">
        <v>0</v>
      </c>
      <c r="D1783">
        <v>52.76</v>
      </c>
      <c r="E1783">
        <v>3.7519999999999998</v>
      </c>
      <c r="F1783">
        <v>129.04903229999999</v>
      </c>
      <c r="G1783">
        <v>1935593.87</v>
      </c>
      <c r="H1783" t="str">
        <f>TEXT(Ventas[[#This Row],[Fecha_venta]],"dd")</f>
        <v>03</v>
      </c>
      <c r="I1783" t="str">
        <f>TEXT(Ventas[[#This Row],[Fecha_venta]],"m")</f>
        <v>6</v>
      </c>
      <c r="J1783" t="str">
        <f>TEXT(Ventas[[#This Row],[Fecha_venta]],"yyyy")</f>
        <v>2011</v>
      </c>
    </row>
    <row r="1784" spans="1:10" x14ac:dyDescent="0.25">
      <c r="A1784">
        <v>13</v>
      </c>
      <c r="B1784" s="1">
        <v>40704</v>
      </c>
      <c r="C1784">
        <v>0</v>
      </c>
      <c r="D1784">
        <v>61.39</v>
      </c>
      <c r="E1784">
        <v>3.7320000000000002</v>
      </c>
      <c r="F1784">
        <v>129.03570970000001</v>
      </c>
      <c r="G1784">
        <v>1997816.98</v>
      </c>
      <c r="H1784" t="str">
        <f>TEXT(Ventas[[#This Row],[Fecha_venta]],"dd")</f>
        <v>10</v>
      </c>
      <c r="I1784" t="str">
        <f>TEXT(Ventas[[#This Row],[Fecha_venta]],"m")</f>
        <v>6</v>
      </c>
      <c r="J1784" t="str">
        <f>TEXT(Ventas[[#This Row],[Fecha_venta]],"yyyy")</f>
        <v>2011</v>
      </c>
    </row>
    <row r="1785" spans="1:10" x14ac:dyDescent="0.25">
      <c r="A1785">
        <v>13</v>
      </c>
      <c r="B1785" s="1">
        <v>40711</v>
      </c>
      <c r="C1785">
        <v>0</v>
      </c>
      <c r="D1785">
        <v>63.35</v>
      </c>
      <c r="E1785">
        <v>3.7040000000000002</v>
      </c>
      <c r="F1785">
        <v>129.04320000000001</v>
      </c>
      <c r="G1785">
        <v>2086433.49</v>
      </c>
      <c r="H1785" t="str">
        <f>TEXT(Ventas[[#This Row],[Fecha_venta]],"dd")</f>
        <v>17</v>
      </c>
      <c r="I1785" t="str">
        <f>TEXT(Ventas[[#This Row],[Fecha_venta]],"m")</f>
        <v>6</v>
      </c>
      <c r="J1785" t="str">
        <f>TEXT(Ventas[[#This Row],[Fecha_venta]],"yyyy")</f>
        <v>2011</v>
      </c>
    </row>
    <row r="1786" spans="1:10" x14ac:dyDescent="0.25">
      <c r="A1786">
        <v>13</v>
      </c>
      <c r="B1786" s="1">
        <v>40718</v>
      </c>
      <c r="C1786">
        <v>0</v>
      </c>
      <c r="D1786">
        <v>66.38</v>
      </c>
      <c r="E1786">
        <v>3.6680000000000001</v>
      </c>
      <c r="F1786">
        <v>129.06630000000001</v>
      </c>
      <c r="G1786">
        <v>2009163.08</v>
      </c>
      <c r="H1786" t="str">
        <f>TEXT(Ventas[[#This Row],[Fecha_venta]],"dd")</f>
        <v>24</v>
      </c>
      <c r="I1786" t="str">
        <f>TEXT(Ventas[[#This Row],[Fecha_venta]],"m")</f>
        <v>6</v>
      </c>
      <c r="J1786" t="str">
        <f>TEXT(Ventas[[#This Row],[Fecha_venta]],"yyyy")</f>
        <v>2011</v>
      </c>
    </row>
    <row r="1787" spans="1:10" x14ac:dyDescent="0.25">
      <c r="A1787">
        <v>13</v>
      </c>
      <c r="B1787" s="1">
        <v>40725</v>
      </c>
      <c r="C1787">
        <v>0</v>
      </c>
      <c r="D1787">
        <v>74.290000000000006</v>
      </c>
      <c r="E1787">
        <v>3.613</v>
      </c>
      <c r="F1787">
        <v>129.08940000000001</v>
      </c>
      <c r="G1787">
        <v>2048035.74</v>
      </c>
      <c r="H1787" t="str">
        <f>TEXT(Ventas[[#This Row],[Fecha_venta]],"dd")</f>
        <v>01</v>
      </c>
      <c r="I1787" t="str">
        <f>TEXT(Ventas[[#This Row],[Fecha_venta]],"m")</f>
        <v>7</v>
      </c>
      <c r="J1787" t="str">
        <f>TEXT(Ventas[[#This Row],[Fecha_venta]],"yyyy")</f>
        <v>2011</v>
      </c>
    </row>
    <row r="1788" spans="1:10" x14ac:dyDescent="0.25">
      <c r="A1788">
        <v>13</v>
      </c>
      <c r="B1788" s="1">
        <v>40732</v>
      </c>
      <c r="C1788">
        <v>0</v>
      </c>
      <c r="D1788">
        <v>77.3</v>
      </c>
      <c r="E1788">
        <v>3.5630000000000002</v>
      </c>
      <c r="F1788">
        <v>129.11250000000001</v>
      </c>
      <c r="G1788">
        <v>2021699.38</v>
      </c>
      <c r="H1788" t="str">
        <f>TEXT(Ventas[[#This Row],[Fecha_venta]],"dd")</f>
        <v>08</v>
      </c>
      <c r="I1788" t="str">
        <f>TEXT(Ventas[[#This Row],[Fecha_venta]],"m")</f>
        <v>7</v>
      </c>
      <c r="J1788" t="str">
        <f>TEXT(Ventas[[#This Row],[Fecha_venta]],"yyyy")</f>
        <v>2011</v>
      </c>
    </row>
    <row r="1789" spans="1:10" x14ac:dyDescent="0.25">
      <c r="A1789">
        <v>13</v>
      </c>
      <c r="B1789" s="1">
        <v>40739</v>
      </c>
      <c r="C1789">
        <v>0</v>
      </c>
      <c r="D1789">
        <v>75.59</v>
      </c>
      <c r="E1789">
        <v>3.5529999999999999</v>
      </c>
      <c r="F1789">
        <v>129.13383870000001</v>
      </c>
      <c r="G1789">
        <v>1956813.31</v>
      </c>
      <c r="H1789" t="str">
        <f>TEXT(Ventas[[#This Row],[Fecha_venta]],"dd")</f>
        <v>15</v>
      </c>
      <c r="I1789" t="str">
        <f>TEXT(Ventas[[#This Row],[Fecha_venta]],"m")</f>
        <v>7</v>
      </c>
      <c r="J1789" t="str">
        <f>TEXT(Ventas[[#This Row],[Fecha_venta]],"yyyy")</f>
        <v>2011</v>
      </c>
    </row>
    <row r="1790" spans="1:10" x14ac:dyDescent="0.25">
      <c r="A1790">
        <v>13</v>
      </c>
      <c r="B1790" s="1">
        <v>40746</v>
      </c>
      <c r="C1790">
        <v>0</v>
      </c>
      <c r="D1790">
        <v>78.5</v>
      </c>
      <c r="E1790">
        <v>3.5630000000000002</v>
      </c>
      <c r="F1790">
        <v>129.1507742</v>
      </c>
      <c r="G1790">
        <v>1987089.36</v>
      </c>
      <c r="H1790" t="str">
        <f>TEXT(Ventas[[#This Row],[Fecha_venta]],"dd")</f>
        <v>22</v>
      </c>
      <c r="I1790" t="str">
        <f>TEXT(Ventas[[#This Row],[Fecha_venta]],"m")</f>
        <v>7</v>
      </c>
      <c r="J1790" t="str">
        <f>TEXT(Ventas[[#This Row],[Fecha_venta]],"yyyy")</f>
        <v>2011</v>
      </c>
    </row>
    <row r="1791" spans="1:10" x14ac:dyDescent="0.25">
      <c r="A1791">
        <v>13</v>
      </c>
      <c r="B1791" s="1">
        <v>40753</v>
      </c>
      <c r="C1791">
        <v>0</v>
      </c>
      <c r="D1791">
        <v>77.62</v>
      </c>
      <c r="E1791">
        <v>3.5739999999999998</v>
      </c>
      <c r="F1791">
        <v>129.16770969999999</v>
      </c>
      <c r="G1791">
        <v>1880785.69</v>
      </c>
      <c r="H1791" t="str">
        <f>TEXT(Ventas[[#This Row],[Fecha_venta]],"dd")</f>
        <v>29</v>
      </c>
      <c r="I1791" t="str">
        <f>TEXT(Ventas[[#This Row],[Fecha_venta]],"m")</f>
        <v>7</v>
      </c>
      <c r="J1791" t="str">
        <f>TEXT(Ventas[[#This Row],[Fecha_venta]],"yyyy")</f>
        <v>2011</v>
      </c>
    </row>
    <row r="1792" spans="1:10" x14ac:dyDescent="0.25">
      <c r="A1792">
        <v>13</v>
      </c>
      <c r="B1792" s="1">
        <v>40760</v>
      </c>
      <c r="C1792">
        <v>0</v>
      </c>
      <c r="D1792">
        <v>75.56</v>
      </c>
      <c r="E1792">
        <v>3.5950000000000002</v>
      </c>
      <c r="F1792">
        <v>129.18464520000001</v>
      </c>
      <c r="G1792">
        <v>2076231.8</v>
      </c>
      <c r="H1792" t="str">
        <f>TEXT(Ventas[[#This Row],[Fecha_venta]],"dd")</f>
        <v>05</v>
      </c>
      <c r="I1792" t="str">
        <f>TEXT(Ventas[[#This Row],[Fecha_venta]],"m")</f>
        <v>8</v>
      </c>
      <c r="J1792" t="str">
        <f>TEXT(Ventas[[#This Row],[Fecha_venta]],"yyyy")</f>
        <v>2011</v>
      </c>
    </row>
    <row r="1793" spans="1:10" x14ac:dyDescent="0.25">
      <c r="A1793">
        <v>13</v>
      </c>
      <c r="B1793" s="1">
        <v>40767</v>
      </c>
      <c r="C1793">
        <v>0</v>
      </c>
      <c r="D1793">
        <v>75.95</v>
      </c>
      <c r="E1793">
        <v>3.6059999999999999</v>
      </c>
      <c r="F1793">
        <v>129.2015806</v>
      </c>
      <c r="G1793">
        <v>1970341.38</v>
      </c>
      <c r="H1793" t="str">
        <f>TEXT(Ventas[[#This Row],[Fecha_venta]],"dd")</f>
        <v>12</v>
      </c>
      <c r="I1793" t="str">
        <f>TEXT(Ventas[[#This Row],[Fecha_venta]],"m")</f>
        <v>8</v>
      </c>
      <c r="J1793" t="str">
        <f>TEXT(Ventas[[#This Row],[Fecha_venta]],"yyyy")</f>
        <v>2011</v>
      </c>
    </row>
    <row r="1794" spans="1:10" x14ac:dyDescent="0.25">
      <c r="A1794">
        <v>13</v>
      </c>
      <c r="B1794" s="1">
        <v>40774</v>
      </c>
      <c r="C1794">
        <v>0</v>
      </c>
      <c r="D1794">
        <v>76.680000000000007</v>
      </c>
      <c r="E1794">
        <v>3.5779999999999998</v>
      </c>
      <c r="F1794">
        <v>129.24058059999999</v>
      </c>
      <c r="G1794">
        <v>2090340.98</v>
      </c>
      <c r="H1794" t="str">
        <f>TEXT(Ventas[[#This Row],[Fecha_venta]],"dd")</f>
        <v>19</v>
      </c>
      <c r="I1794" t="str">
        <f>TEXT(Ventas[[#This Row],[Fecha_venta]],"m")</f>
        <v>8</v>
      </c>
      <c r="J1794" t="str">
        <f>TEXT(Ventas[[#This Row],[Fecha_venta]],"yyyy")</f>
        <v>2011</v>
      </c>
    </row>
    <row r="1795" spans="1:10" x14ac:dyDescent="0.25">
      <c r="A1795">
        <v>13</v>
      </c>
      <c r="B1795" s="1">
        <v>40781</v>
      </c>
      <c r="C1795">
        <v>0</v>
      </c>
      <c r="D1795">
        <v>81.53</v>
      </c>
      <c r="E1795">
        <v>3.57</v>
      </c>
      <c r="F1795">
        <v>129.28325810000001</v>
      </c>
      <c r="G1795">
        <v>2035244.54</v>
      </c>
      <c r="H1795" t="str">
        <f>TEXT(Ventas[[#This Row],[Fecha_venta]],"dd")</f>
        <v>26</v>
      </c>
      <c r="I1795" t="str">
        <f>TEXT(Ventas[[#This Row],[Fecha_venta]],"m")</f>
        <v>8</v>
      </c>
      <c r="J1795" t="str">
        <f>TEXT(Ventas[[#This Row],[Fecha_venta]],"yyyy")</f>
        <v>2011</v>
      </c>
    </row>
    <row r="1796" spans="1:10" x14ac:dyDescent="0.25">
      <c r="A1796">
        <v>13</v>
      </c>
      <c r="B1796" s="1">
        <v>40788</v>
      </c>
      <c r="C1796">
        <v>0</v>
      </c>
      <c r="D1796">
        <v>77</v>
      </c>
      <c r="E1796">
        <v>3.58</v>
      </c>
      <c r="F1796">
        <v>129.32593550000001</v>
      </c>
      <c r="G1796">
        <v>1953628.82</v>
      </c>
      <c r="H1796" t="str">
        <f>TEXT(Ventas[[#This Row],[Fecha_venta]],"dd")</f>
        <v>02</v>
      </c>
      <c r="I1796" t="str">
        <f>TEXT(Ventas[[#This Row],[Fecha_venta]],"m")</f>
        <v>9</v>
      </c>
      <c r="J1796" t="str">
        <f>TEXT(Ventas[[#This Row],[Fecha_venta]],"yyyy")</f>
        <v>2011</v>
      </c>
    </row>
    <row r="1797" spans="1:10" x14ac:dyDescent="0.25">
      <c r="A1797">
        <v>13</v>
      </c>
      <c r="B1797" s="1">
        <v>40795</v>
      </c>
      <c r="C1797">
        <v>1</v>
      </c>
      <c r="D1797">
        <v>70.19</v>
      </c>
      <c r="E1797">
        <v>3.6190000000000002</v>
      </c>
      <c r="F1797">
        <v>129.36861289999999</v>
      </c>
      <c r="G1797">
        <v>1872921.31</v>
      </c>
      <c r="H1797" t="str">
        <f>TEXT(Ventas[[#This Row],[Fecha_venta]],"dd")</f>
        <v>09</v>
      </c>
      <c r="I1797" t="str">
        <f>TEXT(Ventas[[#This Row],[Fecha_venta]],"m")</f>
        <v>9</v>
      </c>
      <c r="J1797" t="str">
        <f>TEXT(Ventas[[#This Row],[Fecha_venta]],"yyyy")</f>
        <v>2011</v>
      </c>
    </row>
    <row r="1798" spans="1:10" x14ac:dyDescent="0.25">
      <c r="A1798">
        <v>13</v>
      </c>
      <c r="B1798" s="1">
        <v>40802</v>
      </c>
      <c r="C1798">
        <v>0</v>
      </c>
      <c r="D1798">
        <v>67.540000000000006</v>
      </c>
      <c r="E1798">
        <v>3.641</v>
      </c>
      <c r="F1798">
        <v>129.4306</v>
      </c>
      <c r="G1798">
        <v>1923223.82</v>
      </c>
      <c r="H1798" t="str">
        <f>TEXT(Ventas[[#This Row],[Fecha_venta]],"dd")</f>
        <v>16</v>
      </c>
      <c r="I1798" t="str">
        <f>TEXT(Ventas[[#This Row],[Fecha_venta]],"m")</f>
        <v>9</v>
      </c>
      <c r="J1798" t="str">
        <f>TEXT(Ventas[[#This Row],[Fecha_venta]],"yyyy")</f>
        <v>2011</v>
      </c>
    </row>
    <row r="1799" spans="1:10" x14ac:dyDescent="0.25">
      <c r="A1799">
        <v>13</v>
      </c>
      <c r="B1799" s="1">
        <v>40809</v>
      </c>
      <c r="C1799">
        <v>0</v>
      </c>
      <c r="D1799">
        <v>63.6</v>
      </c>
      <c r="E1799">
        <v>3.6480000000000001</v>
      </c>
      <c r="F1799">
        <v>129.51833329999999</v>
      </c>
      <c r="G1799">
        <v>1847430.96</v>
      </c>
      <c r="H1799" t="str">
        <f>TEXT(Ventas[[#This Row],[Fecha_venta]],"dd")</f>
        <v>23</v>
      </c>
      <c r="I1799" t="str">
        <f>TEXT(Ventas[[#This Row],[Fecha_venta]],"m")</f>
        <v>9</v>
      </c>
      <c r="J1799" t="str">
        <f>TEXT(Ventas[[#This Row],[Fecha_venta]],"yyyy")</f>
        <v>2011</v>
      </c>
    </row>
    <row r="1800" spans="1:10" x14ac:dyDescent="0.25">
      <c r="A1800">
        <v>13</v>
      </c>
      <c r="B1800" s="1">
        <v>40816</v>
      </c>
      <c r="C1800">
        <v>0</v>
      </c>
      <c r="D1800">
        <v>68.28</v>
      </c>
      <c r="E1800">
        <v>3.6230000000000002</v>
      </c>
      <c r="F1800">
        <v>129.60606670000001</v>
      </c>
      <c r="G1800">
        <v>1835662.69</v>
      </c>
      <c r="H1800" t="str">
        <f>TEXT(Ventas[[#This Row],[Fecha_venta]],"dd")</f>
        <v>30</v>
      </c>
      <c r="I1800" t="str">
        <f>TEXT(Ventas[[#This Row],[Fecha_venta]],"m")</f>
        <v>9</v>
      </c>
      <c r="J1800" t="str">
        <f>TEXT(Ventas[[#This Row],[Fecha_venta]],"yyyy")</f>
        <v>2011</v>
      </c>
    </row>
    <row r="1801" spans="1:10" x14ac:dyDescent="0.25">
      <c r="A1801">
        <v>13</v>
      </c>
      <c r="B1801" s="1">
        <v>40823</v>
      </c>
      <c r="C1801">
        <v>0</v>
      </c>
      <c r="D1801">
        <v>60.62</v>
      </c>
      <c r="E1801">
        <v>3.5920000000000001</v>
      </c>
      <c r="F1801">
        <v>129.69380000000001</v>
      </c>
      <c r="G1801">
        <v>2067232.56</v>
      </c>
      <c r="H1801" t="str">
        <f>TEXT(Ventas[[#This Row],[Fecha_venta]],"dd")</f>
        <v>07</v>
      </c>
      <c r="I1801" t="str">
        <f>TEXT(Ventas[[#This Row],[Fecha_venta]],"m")</f>
        <v>10</v>
      </c>
      <c r="J1801" t="str">
        <f>TEXT(Ventas[[#This Row],[Fecha_venta]],"yyyy")</f>
        <v>2011</v>
      </c>
    </row>
    <row r="1802" spans="1:10" x14ac:dyDescent="0.25">
      <c r="A1802">
        <v>13</v>
      </c>
      <c r="B1802" s="1">
        <v>40830</v>
      </c>
      <c r="C1802">
        <v>0</v>
      </c>
      <c r="D1802">
        <v>51.74</v>
      </c>
      <c r="E1802">
        <v>3.5670000000000002</v>
      </c>
      <c r="F1802">
        <v>129.77064519999999</v>
      </c>
      <c r="G1802">
        <v>1929659.07</v>
      </c>
      <c r="H1802" t="str">
        <f>TEXT(Ventas[[#This Row],[Fecha_venta]],"dd")</f>
        <v>14</v>
      </c>
      <c r="I1802" t="str">
        <f>TEXT(Ventas[[#This Row],[Fecha_venta]],"m")</f>
        <v>10</v>
      </c>
      <c r="J1802" t="str">
        <f>TEXT(Ventas[[#This Row],[Fecha_venta]],"yyyy")</f>
        <v>2011</v>
      </c>
    </row>
    <row r="1803" spans="1:10" x14ac:dyDescent="0.25">
      <c r="A1803">
        <v>13</v>
      </c>
      <c r="B1803" s="1">
        <v>40837</v>
      </c>
      <c r="C1803">
        <v>0</v>
      </c>
      <c r="D1803">
        <v>54.66</v>
      </c>
      <c r="E1803">
        <v>3.5790000000000002</v>
      </c>
      <c r="F1803">
        <v>129.78216130000001</v>
      </c>
      <c r="G1803">
        <v>1973544.27</v>
      </c>
      <c r="H1803" t="str">
        <f>TEXT(Ventas[[#This Row],[Fecha_venta]],"dd")</f>
        <v>21</v>
      </c>
      <c r="I1803" t="str">
        <f>TEXT(Ventas[[#This Row],[Fecha_venta]],"m")</f>
        <v>10</v>
      </c>
      <c r="J1803" t="str">
        <f>TEXT(Ventas[[#This Row],[Fecha_venta]],"yyyy")</f>
        <v>2011</v>
      </c>
    </row>
    <row r="1804" spans="1:10" x14ac:dyDescent="0.25">
      <c r="A1804">
        <v>13</v>
      </c>
      <c r="B1804" s="1">
        <v>40844</v>
      </c>
      <c r="C1804">
        <v>0</v>
      </c>
      <c r="D1804">
        <v>47.41</v>
      </c>
      <c r="E1804">
        <v>3.5670000000000002</v>
      </c>
      <c r="F1804">
        <v>129.79367740000001</v>
      </c>
      <c r="G1804">
        <v>1948733.81</v>
      </c>
      <c r="H1804" t="str">
        <f>TEXT(Ventas[[#This Row],[Fecha_venta]],"dd")</f>
        <v>28</v>
      </c>
      <c r="I1804" t="str">
        <f>TEXT(Ventas[[#This Row],[Fecha_venta]],"m")</f>
        <v>10</v>
      </c>
      <c r="J1804" t="str">
        <f>TEXT(Ventas[[#This Row],[Fecha_venta]],"yyyy")</f>
        <v>2011</v>
      </c>
    </row>
    <row r="1805" spans="1:10" x14ac:dyDescent="0.25">
      <c r="A1805">
        <v>13</v>
      </c>
      <c r="B1805" s="1">
        <v>40851</v>
      </c>
      <c r="C1805">
        <v>0</v>
      </c>
      <c r="D1805">
        <v>43.51</v>
      </c>
      <c r="E1805">
        <v>3.5379999999999998</v>
      </c>
      <c r="F1805">
        <v>129.8051935</v>
      </c>
      <c r="G1805">
        <v>2036317.54</v>
      </c>
      <c r="H1805" t="str">
        <f>TEXT(Ventas[[#This Row],[Fecha_venta]],"dd")</f>
        <v>04</v>
      </c>
      <c r="I1805" t="str">
        <f>TEXT(Ventas[[#This Row],[Fecha_venta]],"m")</f>
        <v>11</v>
      </c>
      <c r="J1805" t="str">
        <f>TEXT(Ventas[[#This Row],[Fecha_venta]],"yyyy")</f>
        <v>2011</v>
      </c>
    </row>
    <row r="1806" spans="1:10" x14ac:dyDescent="0.25">
      <c r="A1806">
        <v>13</v>
      </c>
      <c r="B1806" s="1">
        <v>40858</v>
      </c>
      <c r="C1806">
        <v>0</v>
      </c>
      <c r="D1806">
        <v>33.799999999999997</v>
      </c>
      <c r="E1806">
        <v>3.5129999999999999</v>
      </c>
      <c r="F1806">
        <v>129.81670969999999</v>
      </c>
      <c r="G1806">
        <v>2111592.09</v>
      </c>
      <c r="H1806" t="str">
        <f>TEXT(Ventas[[#This Row],[Fecha_venta]],"dd")</f>
        <v>11</v>
      </c>
      <c r="I1806" t="str">
        <f>TEXT(Ventas[[#This Row],[Fecha_venta]],"m")</f>
        <v>11</v>
      </c>
      <c r="J1806" t="str">
        <f>TEXT(Ventas[[#This Row],[Fecha_venta]],"yyyy")</f>
        <v>2011</v>
      </c>
    </row>
    <row r="1807" spans="1:10" x14ac:dyDescent="0.25">
      <c r="A1807">
        <v>13</v>
      </c>
      <c r="B1807" s="1">
        <v>40865</v>
      </c>
      <c r="C1807">
        <v>0</v>
      </c>
      <c r="D1807">
        <v>40.65</v>
      </c>
      <c r="E1807">
        <v>3.4889999999999999</v>
      </c>
      <c r="F1807">
        <v>129.8268333</v>
      </c>
      <c r="G1807">
        <v>2016323.51</v>
      </c>
      <c r="H1807" t="str">
        <f>TEXT(Ventas[[#This Row],[Fecha_venta]],"dd")</f>
        <v>18</v>
      </c>
      <c r="I1807" t="str">
        <f>TEXT(Ventas[[#This Row],[Fecha_venta]],"m")</f>
        <v>11</v>
      </c>
      <c r="J1807" t="str">
        <f>TEXT(Ventas[[#This Row],[Fecha_venta]],"yyyy")</f>
        <v>2011</v>
      </c>
    </row>
    <row r="1808" spans="1:10" x14ac:dyDescent="0.25">
      <c r="A1808">
        <v>13</v>
      </c>
      <c r="B1808" s="1">
        <v>40872</v>
      </c>
      <c r="C1808">
        <v>1</v>
      </c>
      <c r="D1808">
        <v>38.89</v>
      </c>
      <c r="E1808">
        <v>1.0000000000000001E-5</v>
      </c>
      <c r="F1808">
        <v>129.8364</v>
      </c>
      <c r="G1808">
        <v>2864170.61</v>
      </c>
      <c r="H1808" t="str">
        <f>TEXT(Ventas[[#This Row],[Fecha_venta]],"dd")</f>
        <v>25</v>
      </c>
      <c r="I1808" t="str">
        <f>TEXT(Ventas[[#This Row],[Fecha_venta]],"m")</f>
        <v>11</v>
      </c>
      <c r="J1808" t="str">
        <f>TEXT(Ventas[[#This Row],[Fecha_venta]],"yyyy")</f>
        <v>2011</v>
      </c>
    </row>
    <row r="1809" spans="1:10" x14ac:dyDescent="0.25">
      <c r="A1809">
        <v>13</v>
      </c>
      <c r="B1809" s="1">
        <v>40879</v>
      </c>
      <c r="C1809">
        <v>0</v>
      </c>
      <c r="D1809">
        <v>33.94</v>
      </c>
      <c r="E1809">
        <v>3.3889999999999998</v>
      </c>
      <c r="F1809">
        <v>129.84596669999999</v>
      </c>
      <c r="G1809">
        <v>2051315.66</v>
      </c>
      <c r="H1809" t="str">
        <f>TEXT(Ventas[[#This Row],[Fecha_venta]],"dd")</f>
        <v>02</v>
      </c>
      <c r="I1809" t="str">
        <f>TEXT(Ventas[[#This Row],[Fecha_venta]],"m")</f>
        <v>12</v>
      </c>
      <c r="J1809" t="str">
        <f>TEXT(Ventas[[#This Row],[Fecha_venta]],"yyyy")</f>
        <v>2011</v>
      </c>
    </row>
    <row r="1810" spans="1:10" x14ac:dyDescent="0.25">
      <c r="A1810">
        <v>13</v>
      </c>
      <c r="B1810" s="1">
        <v>40886</v>
      </c>
      <c r="C1810">
        <v>0</v>
      </c>
      <c r="D1810">
        <v>24.82</v>
      </c>
      <c r="E1810">
        <v>3.3410000000000002</v>
      </c>
      <c r="F1810">
        <v>129.85553329999999</v>
      </c>
      <c r="G1810">
        <v>2462779.06</v>
      </c>
      <c r="H1810" t="str">
        <f>TEXT(Ventas[[#This Row],[Fecha_venta]],"dd")</f>
        <v>09</v>
      </c>
      <c r="I1810" t="str">
        <f>TEXT(Ventas[[#This Row],[Fecha_venta]],"m")</f>
        <v>12</v>
      </c>
      <c r="J1810" t="str">
        <f>TEXT(Ventas[[#This Row],[Fecha_venta]],"yyyy")</f>
        <v>2011</v>
      </c>
    </row>
    <row r="1811" spans="1:10" x14ac:dyDescent="0.25">
      <c r="A1811">
        <v>13</v>
      </c>
      <c r="B1811" s="1">
        <v>40893</v>
      </c>
      <c r="C1811">
        <v>0</v>
      </c>
      <c r="D1811">
        <v>27.85</v>
      </c>
      <c r="E1811">
        <v>3.282</v>
      </c>
      <c r="F1811">
        <v>129.8980645</v>
      </c>
      <c r="G1811">
        <v>2760346.71</v>
      </c>
      <c r="H1811" t="str">
        <f>TEXT(Ventas[[#This Row],[Fecha_venta]],"dd")</f>
        <v>16</v>
      </c>
      <c r="I1811" t="str">
        <f>TEXT(Ventas[[#This Row],[Fecha_venta]],"m")</f>
        <v>12</v>
      </c>
      <c r="J1811" t="str">
        <f>TEXT(Ventas[[#This Row],[Fecha_venta]],"yyyy")</f>
        <v>2011</v>
      </c>
    </row>
    <row r="1812" spans="1:10" x14ac:dyDescent="0.25">
      <c r="A1812">
        <v>13</v>
      </c>
      <c r="B1812" s="1">
        <v>40900</v>
      </c>
      <c r="C1812">
        <v>0</v>
      </c>
      <c r="D1812">
        <v>24.76</v>
      </c>
      <c r="E1812">
        <v>3.1859999999999999</v>
      </c>
      <c r="F1812">
        <v>129.98454839999999</v>
      </c>
      <c r="G1812">
        <v>3556766.03</v>
      </c>
      <c r="H1812" t="str">
        <f>TEXT(Ventas[[#This Row],[Fecha_venta]],"dd")</f>
        <v>23</v>
      </c>
      <c r="I1812" t="str">
        <f>TEXT(Ventas[[#This Row],[Fecha_venta]],"m")</f>
        <v>12</v>
      </c>
      <c r="J1812" t="str">
        <f>TEXT(Ventas[[#This Row],[Fecha_venta]],"yyyy")</f>
        <v>2011</v>
      </c>
    </row>
    <row r="1813" spans="1:10" x14ac:dyDescent="0.25">
      <c r="A1813">
        <v>13</v>
      </c>
      <c r="B1813" s="1">
        <v>40907</v>
      </c>
      <c r="C1813">
        <v>1</v>
      </c>
      <c r="D1813">
        <v>31.53</v>
      </c>
      <c r="E1813">
        <v>3.1190000000000002</v>
      </c>
      <c r="F1813">
        <v>130.07103230000001</v>
      </c>
      <c r="G1813">
        <v>1969056.91</v>
      </c>
      <c r="H1813" t="str">
        <f>TEXT(Ventas[[#This Row],[Fecha_venta]],"dd")</f>
        <v>30</v>
      </c>
      <c r="I1813" t="str">
        <f>TEXT(Ventas[[#This Row],[Fecha_venta]],"m")</f>
        <v>12</v>
      </c>
      <c r="J1813" t="str">
        <f>TEXT(Ventas[[#This Row],[Fecha_venta]],"yyyy")</f>
        <v>2011</v>
      </c>
    </row>
    <row r="1814" spans="1:10" x14ac:dyDescent="0.25">
      <c r="A1814">
        <v>13</v>
      </c>
      <c r="B1814" s="1">
        <v>40914</v>
      </c>
      <c r="C1814">
        <v>0</v>
      </c>
      <c r="D1814">
        <v>33.799999999999997</v>
      </c>
      <c r="E1814">
        <v>3.08</v>
      </c>
      <c r="F1814">
        <v>130.15751610000001</v>
      </c>
      <c r="G1814">
        <v>1865752.78</v>
      </c>
      <c r="H1814" t="str">
        <f>TEXT(Ventas[[#This Row],[Fecha_venta]],"dd")</f>
        <v>06</v>
      </c>
      <c r="I1814" t="str">
        <f>TEXT(Ventas[[#This Row],[Fecha_venta]],"m")</f>
        <v>1</v>
      </c>
      <c r="J1814" t="str">
        <f>TEXT(Ventas[[#This Row],[Fecha_venta]],"yyyy")</f>
        <v>2012</v>
      </c>
    </row>
    <row r="1815" spans="1:10" x14ac:dyDescent="0.25">
      <c r="A1815">
        <v>13</v>
      </c>
      <c r="B1815" s="1">
        <v>40921</v>
      </c>
      <c r="C1815">
        <v>0</v>
      </c>
      <c r="D1815">
        <v>25.61</v>
      </c>
      <c r="E1815">
        <v>3.056</v>
      </c>
      <c r="F1815">
        <v>130.244</v>
      </c>
      <c r="G1815">
        <v>1794962.64</v>
      </c>
      <c r="H1815" t="str">
        <f>TEXT(Ventas[[#This Row],[Fecha_venta]],"dd")</f>
        <v>13</v>
      </c>
      <c r="I1815" t="str">
        <f>TEXT(Ventas[[#This Row],[Fecha_venta]],"m")</f>
        <v>1</v>
      </c>
      <c r="J1815" t="str">
        <f>TEXT(Ventas[[#This Row],[Fecha_venta]],"yyyy")</f>
        <v>2012</v>
      </c>
    </row>
    <row r="1816" spans="1:10" x14ac:dyDescent="0.25">
      <c r="A1816">
        <v>13</v>
      </c>
      <c r="B1816" s="1">
        <v>40928</v>
      </c>
      <c r="C1816">
        <v>0</v>
      </c>
      <c r="D1816">
        <v>32.71</v>
      </c>
      <c r="E1816">
        <v>3.0470000000000002</v>
      </c>
      <c r="F1816">
        <v>130.27922580000001</v>
      </c>
      <c r="G1816">
        <v>1811606.21</v>
      </c>
      <c r="H1816" t="str">
        <f>TEXT(Ventas[[#This Row],[Fecha_venta]],"dd")</f>
        <v>20</v>
      </c>
      <c r="I1816" t="str">
        <f>TEXT(Ventas[[#This Row],[Fecha_venta]],"m")</f>
        <v>1</v>
      </c>
      <c r="J1816" t="str">
        <f>TEXT(Ventas[[#This Row],[Fecha_venta]],"yyyy")</f>
        <v>2012</v>
      </c>
    </row>
    <row r="1817" spans="1:10" x14ac:dyDescent="0.25">
      <c r="A1817">
        <v>13</v>
      </c>
      <c r="B1817" s="1">
        <v>40935</v>
      </c>
      <c r="C1817">
        <v>0</v>
      </c>
      <c r="D1817">
        <v>34.32</v>
      </c>
      <c r="E1817">
        <v>3.0579999999999998</v>
      </c>
      <c r="F1817">
        <v>130.31445160000001</v>
      </c>
      <c r="G1817">
        <v>1733983.09</v>
      </c>
      <c r="H1817" t="str">
        <f>TEXT(Ventas[[#This Row],[Fecha_venta]],"dd")</f>
        <v>27</v>
      </c>
      <c r="I1817" t="str">
        <f>TEXT(Ventas[[#This Row],[Fecha_venta]],"m")</f>
        <v>1</v>
      </c>
      <c r="J1817" t="str">
        <f>TEXT(Ventas[[#This Row],[Fecha_venta]],"yyyy")</f>
        <v>2012</v>
      </c>
    </row>
    <row r="1818" spans="1:10" x14ac:dyDescent="0.25">
      <c r="A1818">
        <v>13</v>
      </c>
      <c r="B1818" s="1">
        <v>40942</v>
      </c>
      <c r="C1818">
        <v>0</v>
      </c>
      <c r="D1818">
        <v>31.39</v>
      </c>
      <c r="E1818">
        <v>3.077</v>
      </c>
      <c r="F1818">
        <v>130.34967739999999</v>
      </c>
      <c r="G1818">
        <v>1927780.74</v>
      </c>
      <c r="H1818" t="str">
        <f>TEXT(Ventas[[#This Row],[Fecha_venta]],"dd")</f>
        <v>03</v>
      </c>
      <c r="I1818" t="str">
        <f>TEXT(Ventas[[#This Row],[Fecha_venta]],"m")</f>
        <v>2</v>
      </c>
      <c r="J1818" t="str">
        <f>TEXT(Ventas[[#This Row],[Fecha_venta]],"yyyy")</f>
        <v>2012</v>
      </c>
    </row>
    <row r="1819" spans="1:10" x14ac:dyDescent="0.25">
      <c r="A1819">
        <v>13</v>
      </c>
      <c r="B1819" s="1">
        <v>40949</v>
      </c>
      <c r="C1819">
        <v>1</v>
      </c>
      <c r="D1819">
        <v>33.729999999999997</v>
      </c>
      <c r="E1819">
        <v>3.1160000000000001</v>
      </c>
      <c r="F1819">
        <v>130.3849032</v>
      </c>
      <c r="G1819">
        <v>2069284.57</v>
      </c>
      <c r="H1819" t="str">
        <f>TEXT(Ventas[[#This Row],[Fecha_venta]],"dd")</f>
        <v>10</v>
      </c>
      <c r="I1819" t="str">
        <f>TEXT(Ventas[[#This Row],[Fecha_venta]],"m")</f>
        <v>2</v>
      </c>
      <c r="J1819" t="str">
        <f>TEXT(Ventas[[#This Row],[Fecha_venta]],"yyyy")</f>
        <v>2012</v>
      </c>
    </row>
    <row r="1820" spans="1:10" x14ac:dyDescent="0.25">
      <c r="A1820">
        <v>13</v>
      </c>
      <c r="B1820" s="1">
        <v>40956</v>
      </c>
      <c r="C1820">
        <v>0</v>
      </c>
      <c r="D1820">
        <v>36.57</v>
      </c>
      <c r="E1820">
        <v>3.1190000000000002</v>
      </c>
      <c r="F1820">
        <v>130.45462069999999</v>
      </c>
      <c r="G1820">
        <v>2214477.06</v>
      </c>
      <c r="H1820" t="str">
        <f>TEXT(Ventas[[#This Row],[Fecha_venta]],"dd")</f>
        <v>17</v>
      </c>
      <c r="I1820" t="str">
        <f>TEXT(Ventas[[#This Row],[Fecha_venta]],"m")</f>
        <v>2</v>
      </c>
      <c r="J1820" t="str">
        <f>TEXT(Ventas[[#This Row],[Fecha_venta]],"yyyy")</f>
        <v>2012</v>
      </c>
    </row>
    <row r="1821" spans="1:10" x14ac:dyDescent="0.25">
      <c r="A1821">
        <v>13</v>
      </c>
      <c r="B1821" s="1">
        <v>40963</v>
      </c>
      <c r="C1821">
        <v>0</v>
      </c>
      <c r="D1821">
        <v>35.380000000000003</v>
      </c>
      <c r="E1821">
        <v>3.145</v>
      </c>
      <c r="F1821">
        <v>130.55020690000001</v>
      </c>
      <c r="G1821">
        <v>1929768.03</v>
      </c>
      <c r="H1821" t="str">
        <f>TEXT(Ventas[[#This Row],[Fecha_venta]],"dd")</f>
        <v>24</v>
      </c>
      <c r="I1821" t="str">
        <f>TEXT(Ventas[[#This Row],[Fecha_venta]],"m")</f>
        <v>2</v>
      </c>
      <c r="J1821" t="str">
        <f>TEXT(Ventas[[#This Row],[Fecha_venta]],"yyyy")</f>
        <v>2012</v>
      </c>
    </row>
    <row r="1822" spans="1:10" x14ac:dyDescent="0.25">
      <c r="A1822">
        <v>13</v>
      </c>
      <c r="B1822" s="1">
        <v>40970</v>
      </c>
      <c r="C1822">
        <v>0</v>
      </c>
      <c r="D1822">
        <v>32.36</v>
      </c>
      <c r="E1822">
        <v>3.242</v>
      </c>
      <c r="F1822">
        <v>130.64579309999999</v>
      </c>
      <c r="G1822">
        <v>1969742.76</v>
      </c>
      <c r="H1822" t="str">
        <f>TEXT(Ventas[[#This Row],[Fecha_venta]],"dd")</f>
        <v>02</v>
      </c>
      <c r="I1822" t="str">
        <f>TEXT(Ventas[[#This Row],[Fecha_venta]],"m")</f>
        <v>3</v>
      </c>
      <c r="J1822" t="str">
        <f>TEXT(Ventas[[#This Row],[Fecha_venta]],"yyyy")</f>
        <v>2012</v>
      </c>
    </row>
    <row r="1823" spans="1:10" x14ac:dyDescent="0.25">
      <c r="A1823">
        <v>13</v>
      </c>
      <c r="B1823" s="1">
        <v>40977</v>
      </c>
      <c r="C1823">
        <v>0</v>
      </c>
      <c r="D1823">
        <v>38.24</v>
      </c>
      <c r="E1823">
        <v>3.38</v>
      </c>
      <c r="F1823">
        <v>130.74137930000001</v>
      </c>
      <c r="G1823">
        <v>1986445.65</v>
      </c>
      <c r="H1823" t="str">
        <f>TEXT(Ventas[[#This Row],[Fecha_venta]],"dd")</f>
        <v>09</v>
      </c>
      <c r="I1823" t="str">
        <f>TEXT(Ventas[[#This Row],[Fecha_venta]],"m")</f>
        <v>3</v>
      </c>
      <c r="J1823" t="str">
        <f>TEXT(Ventas[[#This Row],[Fecha_venta]],"yyyy")</f>
        <v>2012</v>
      </c>
    </row>
    <row r="1824" spans="1:10" x14ac:dyDescent="0.25">
      <c r="A1824">
        <v>13</v>
      </c>
      <c r="B1824" s="1">
        <v>40984</v>
      </c>
      <c r="C1824">
        <v>0</v>
      </c>
      <c r="D1824">
        <v>52.5</v>
      </c>
      <c r="E1824">
        <v>3.5289999999999999</v>
      </c>
      <c r="F1824">
        <v>130.82619349999999</v>
      </c>
      <c r="G1824">
        <v>2025582.62</v>
      </c>
      <c r="H1824" t="str">
        <f>TEXT(Ventas[[#This Row],[Fecha_venta]],"dd")</f>
        <v>16</v>
      </c>
      <c r="I1824" t="str">
        <f>TEXT(Ventas[[#This Row],[Fecha_venta]],"m")</f>
        <v>3</v>
      </c>
      <c r="J1824" t="str">
        <f>TEXT(Ventas[[#This Row],[Fecha_venta]],"yyyy")</f>
        <v>2012</v>
      </c>
    </row>
    <row r="1825" spans="1:10" x14ac:dyDescent="0.25">
      <c r="A1825">
        <v>13</v>
      </c>
      <c r="B1825" s="1">
        <v>40991</v>
      </c>
      <c r="C1825">
        <v>0</v>
      </c>
      <c r="D1825">
        <v>47.83</v>
      </c>
      <c r="E1825">
        <v>3.6709999999999998</v>
      </c>
      <c r="F1825">
        <v>130.89664519999999</v>
      </c>
      <c r="G1825">
        <v>1904421.74</v>
      </c>
      <c r="H1825" t="str">
        <f>TEXT(Ventas[[#This Row],[Fecha_venta]],"dd")</f>
        <v>23</v>
      </c>
      <c r="I1825" t="str">
        <f>TEXT(Ventas[[#This Row],[Fecha_venta]],"m")</f>
        <v>3</v>
      </c>
      <c r="J1825" t="str">
        <f>TEXT(Ventas[[#This Row],[Fecha_venta]],"yyyy")</f>
        <v>2012</v>
      </c>
    </row>
    <row r="1826" spans="1:10" x14ac:dyDescent="0.25">
      <c r="A1826">
        <v>13</v>
      </c>
      <c r="B1826" s="1">
        <v>40998</v>
      </c>
      <c r="C1826">
        <v>0</v>
      </c>
      <c r="D1826">
        <v>53.2</v>
      </c>
      <c r="E1826">
        <v>3.734</v>
      </c>
      <c r="F1826">
        <v>130.96709680000001</v>
      </c>
      <c r="G1826">
        <v>1948982.7</v>
      </c>
      <c r="H1826" t="str">
        <f>TEXT(Ventas[[#This Row],[Fecha_venta]],"dd")</f>
        <v>30</v>
      </c>
      <c r="I1826" t="str">
        <f>TEXT(Ventas[[#This Row],[Fecha_venta]],"m")</f>
        <v>3</v>
      </c>
      <c r="J1826" t="str">
        <f>TEXT(Ventas[[#This Row],[Fecha_venta]],"yyyy")</f>
        <v>2012</v>
      </c>
    </row>
    <row r="1827" spans="1:10" x14ac:dyDescent="0.25">
      <c r="A1827">
        <v>13</v>
      </c>
      <c r="B1827" s="1">
        <v>41005</v>
      </c>
      <c r="C1827">
        <v>0</v>
      </c>
      <c r="D1827">
        <v>48.85</v>
      </c>
      <c r="E1827">
        <v>3.7930000000000001</v>
      </c>
      <c r="F1827">
        <v>131.03754839999999</v>
      </c>
      <c r="G1827">
        <v>2271614.7599999998</v>
      </c>
      <c r="H1827" t="str">
        <f>TEXT(Ventas[[#This Row],[Fecha_venta]],"dd")</f>
        <v>06</v>
      </c>
      <c r="I1827" t="str">
        <f>TEXT(Ventas[[#This Row],[Fecha_venta]],"m")</f>
        <v>4</v>
      </c>
      <c r="J1827" t="str">
        <f>TEXT(Ventas[[#This Row],[Fecha_venta]],"yyyy")</f>
        <v>2012</v>
      </c>
    </row>
    <row r="1828" spans="1:10" x14ac:dyDescent="0.25">
      <c r="A1828">
        <v>13</v>
      </c>
      <c r="B1828" s="1">
        <v>41012</v>
      </c>
      <c r="C1828">
        <v>0</v>
      </c>
      <c r="D1828">
        <v>51.7</v>
      </c>
      <c r="E1828">
        <v>3.8330000000000002</v>
      </c>
      <c r="F1828">
        <v>131.108</v>
      </c>
      <c r="G1828">
        <v>2057637.86</v>
      </c>
      <c r="H1828" t="str">
        <f>TEXT(Ventas[[#This Row],[Fecha_venta]],"dd")</f>
        <v>13</v>
      </c>
      <c r="I1828" t="str">
        <f>TEXT(Ventas[[#This Row],[Fecha_venta]],"m")</f>
        <v>4</v>
      </c>
      <c r="J1828" t="str">
        <f>TEXT(Ventas[[#This Row],[Fecha_venta]],"yyyy")</f>
        <v>2012</v>
      </c>
    </row>
    <row r="1829" spans="1:10" x14ac:dyDescent="0.25">
      <c r="A1829">
        <v>13</v>
      </c>
      <c r="B1829" s="1">
        <v>41019</v>
      </c>
      <c r="C1829">
        <v>0</v>
      </c>
      <c r="D1829">
        <v>50.24</v>
      </c>
      <c r="E1829">
        <v>3.8450000000000002</v>
      </c>
      <c r="F1829">
        <v>131.11733330000001</v>
      </c>
      <c r="G1829">
        <v>1955689.12</v>
      </c>
      <c r="H1829" t="str">
        <f>TEXT(Ventas[[#This Row],[Fecha_venta]],"dd")</f>
        <v>20</v>
      </c>
      <c r="I1829" t="str">
        <f>TEXT(Ventas[[#This Row],[Fecha_venta]],"m")</f>
        <v>4</v>
      </c>
      <c r="J1829" t="str">
        <f>TEXT(Ventas[[#This Row],[Fecha_venta]],"yyyy")</f>
        <v>2012</v>
      </c>
    </row>
    <row r="1830" spans="1:10" x14ac:dyDescent="0.25">
      <c r="A1830">
        <v>13</v>
      </c>
      <c r="B1830" s="1">
        <v>41026</v>
      </c>
      <c r="C1830">
        <v>0</v>
      </c>
      <c r="D1830">
        <v>64.8</v>
      </c>
      <c r="E1830">
        <v>3.8420000000000001</v>
      </c>
      <c r="F1830">
        <v>131.12666669999999</v>
      </c>
      <c r="G1830">
        <v>1970121.65</v>
      </c>
      <c r="H1830" t="str">
        <f>TEXT(Ventas[[#This Row],[Fecha_venta]],"dd")</f>
        <v>27</v>
      </c>
      <c r="I1830" t="str">
        <f>TEXT(Ventas[[#This Row],[Fecha_venta]],"m")</f>
        <v>4</v>
      </c>
      <c r="J1830" t="str">
        <f>TEXT(Ventas[[#This Row],[Fecha_venta]],"yyyy")</f>
        <v>2012</v>
      </c>
    </row>
    <row r="1831" spans="1:10" x14ac:dyDescent="0.25">
      <c r="A1831">
        <v>13</v>
      </c>
      <c r="B1831" s="1">
        <v>41033</v>
      </c>
      <c r="C1831">
        <v>0</v>
      </c>
      <c r="D1831">
        <v>54.41</v>
      </c>
      <c r="E1831">
        <v>3.831</v>
      </c>
      <c r="F1831">
        <v>131.136</v>
      </c>
      <c r="G1831">
        <v>1995994.51</v>
      </c>
      <c r="H1831" t="str">
        <f>TEXT(Ventas[[#This Row],[Fecha_venta]],"dd")</f>
        <v>04</v>
      </c>
      <c r="I1831" t="str">
        <f>TEXT(Ventas[[#This Row],[Fecha_venta]],"m")</f>
        <v>5</v>
      </c>
      <c r="J1831" t="str">
        <f>TEXT(Ventas[[#This Row],[Fecha_venta]],"yyyy")</f>
        <v>2012</v>
      </c>
    </row>
    <row r="1832" spans="1:10" x14ac:dyDescent="0.25">
      <c r="A1832">
        <v>13</v>
      </c>
      <c r="B1832" s="1">
        <v>41040</v>
      </c>
      <c r="C1832">
        <v>0</v>
      </c>
      <c r="D1832">
        <v>56.47</v>
      </c>
      <c r="E1832">
        <v>3.8090000000000002</v>
      </c>
      <c r="F1832">
        <v>131.1453333</v>
      </c>
      <c r="G1832">
        <v>2080764.17</v>
      </c>
      <c r="H1832" t="str">
        <f>TEXT(Ventas[[#This Row],[Fecha_venta]],"dd")</f>
        <v>11</v>
      </c>
      <c r="I1832" t="str">
        <f>TEXT(Ventas[[#This Row],[Fecha_venta]],"m")</f>
        <v>5</v>
      </c>
      <c r="J1832" t="str">
        <f>TEXT(Ventas[[#This Row],[Fecha_venta]],"yyyy")</f>
        <v>2012</v>
      </c>
    </row>
    <row r="1833" spans="1:10" x14ac:dyDescent="0.25">
      <c r="A1833">
        <v>13</v>
      </c>
      <c r="B1833" s="1">
        <v>41047</v>
      </c>
      <c r="C1833">
        <v>0</v>
      </c>
      <c r="D1833">
        <v>-1</v>
      </c>
      <c r="E1833">
        <v>3.8079999999999998</v>
      </c>
      <c r="F1833">
        <v>131.09832259999999</v>
      </c>
      <c r="G1833">
        <v>2131900.5499999998</v>
      </c>
      <c r="H1833" t="str">
        <f>TEXT(Ventas[[#This Row],[Fecha_venta]],"dd")</f>
        <v>18</v>
      </c>
      <c r="I1833" t="str">
        <f>TEXT(Ventas[[#This Row],[Fecha_venta]],"m")</f>
        <v>5</v>
      </c>
      <c r="J1833" t="str">
        <f>TEXT(Ventas[[#This Row],[Fecha_venta]],"yyyy")</f>
        <v>2012</v>
      </c>
    </row>
    <row r="1834" spans="1:10" x14ac:dyDescent="0.25">
      <c r="A1834">
        <v>13</v>
      </c>
      <c r="B1834" s="1">
        <v>41054</v>
      </c>
      <c r="C1834">
        <v>0</v>
      </c>
      <c r="D1834">
        <v>62.39</v>
      </c>
      <c r="E1834">
        <v>3.8010000000000002</v>
      </c>
      <c r="F1834">
        <v>131.02877419999999</v>
      </c>
      <c r="G1834">
        <v>2043349.41</v>
      </c>
      <c r="H1834" t="str">
        <f>TEXT(Ventas[[#This Row],[Fecha_venta]],"dd")</f>
        <v>25</v>
      </c>
      <c r="I1834" t="str">
        <f>TEXT(Ventas[[#This Row],[Fecha_venta]],"m")</f>
        <v>5</v>
      </c>
      <c r="J1834" t="str">
        <f>TEXT(Ventas[[#This Row],[Fecha_venta]],"yyyy")</f>
        <v>2012</v>
      </c>
    </row>
    <row r="1835" spans="1:10" x14ac:dyDescent="0.25">
      <c r="A1835">
        <v>13</v>
      </c>
      <c r="B1835" s="1">
        <v>41061</v>
      </c>
      <c r="C1835">
        <v>0</v>
      </c>
      <c r="D1835">
        <v>61.11</v>
      </c>
      <c r="E1835">
        <v>3.7879999999999998</v>
      </c>
      <c r="F1835">
        <v>130.95922580000001</v>
      </c>
      <c r="G1835">
        <v>2035431.39</v>
      </c>
      <c r="H1835" t="str">
        <f>TEXT(Ventas[[#This Row],[Fecha_venta]],"dd")</f>
        <v>01</v>
      </c>
      <c r="I1835" t="str">
        <f>TEXT(Ventas[[#This Row],[Fecha_venta]],"m")</f>
        <v>6</v>
      </c>
      <c r="J1835" t="str">
        <f>TEXT(Ventas[[#This Row],[Fecha_venta]],"yyyy")</f>
        <v>2012</v>
      </c>
    </row>
    <row r="1836" spans="1:10" x14ac:dyDescent="0.25">
      <c r="A1836">
        <v>13</v>
      </c>
      <c r="B1836" s="1">
        <v>41068</v>
      </c>
      <c r="C1836">
        <v>0</v>
      </c>
      <c r="D1836">
        <v>68.400000000000006</v>
      </c>
      <c r="E1836">
        <v>3.7759999999999998</v>
      </c>
      <c r="F1836">
        <v>130.88967740000001</v>
      </c>
      <c r="G1836">
        <v>2182437.9</v>
      </c>
      <c r="H1836" t="str">
        <f>TEXT(Ventas[[#This Row],[Fecha_venta]],"dd")</f>
        <v>08</v>
      </c>
      <c r="I1836" t="str">
        <f>TEXT(Ventas[[#This Row],[Fecha_venta]],"m")</f>
        <v>6</v>
      </c>
      <c r="J1836" t="str">
        <f>TEXT(Ventas[[#This Row],[Fecha_venta]],"yyyy")</f>
        <v>2012</v>
      </c>
    </row>
    <row r="1837" spans="1:10" x14ac:dyDescent="0.25">
      <c r="A1837">
        <v>13</v>
      </c>
      <c r="B1837" s="1">
        <v>41075</v>
      </c>
      <c r="C1837">
        <v>0</v>
      </c>
      <c r="D1837">
        <v>65.97</v>
      </c>
      <c r="E1837">
        <v>3.7559999999999998</v>
      </c>
      <c r="F1837">
        <v>130.82953330000001</v>
      </c>
      <c r="G1837">
        <v>2152229.11</v>
      </c>
      <c r="H1837" t="str">
        <f>TEXT(Ventas[[#This Row],[Fecha_venta]],"dd")</f>
        <v>15</v>
      </c>
      <c r="I1837" t="str">
        <f>TEXT(Ventas[[#This Row],[Fecha_venta]],"m")</f>
        <v>6</v>
      </c>
      <c r="J1837" t="str">
        <f>TEXT(Ventas[[#This Row],[Fecha_venta]],"yyyy")</f>
        <v>2012</v>
      </c>
    </row>
    <row r="1838" spans="1:10" x14ac:dyDescent="0.25">
      <c r="A1838">
        <v>13</v>
      </c>
      <c r="B1838" s="1">
        <v>41082</v>
      </c>
      <c r="C1838">
        <v>0</v>
      </c>
      <c r="D1838">
        <v>72.89</v>
      </c>
      <c r="E1838">
        <v>3.7370000000000001</v>
      </c>
      <c r="F1838">
        <v>130.7929</v>
      </c>
      <c r="G1838">
        <v>2094373</v>
      </c>
      <c r="H1838" t="str">
        <f>TEXT(Ventas[[#This Row],[Fecha_venta]],"dd")</f>
        <v>22</v>
      </c>
      <c r="I1838" t="str">
        <f>TEXT(Ventas[[#This Row],[Fecha_venta]],"m")</f>
        <v>6</v>
      </c>
      <c r="J1838" t="str">
        <f>TEXT(Ventas[[#This Row],[Fecha_venta]],"yyyy")</f>
        <v>2012</v>
      </c>
    </row>
    <row r="1839" spans="1:10" x14ac:dyDescent="0.25">
      <c r="A1839">
        <v>13</v>
      </c>
      <c r="B1839" s="1">
        <v>41089</v>
      </c>
      <c r="C1839">
        <v>0</v>
      </c>
      <c r="D1839">
        <v>82</v>
      </c>
      <c r="E1839">
        <v>3.681</v>
      </c>
      <c r="F1839">
        <v>130.7562667</v>
      </c>
      <c r="G1839">
        <v>2037663.71</v>
      </c>
      <c r="H1839" t="str">
        <f>TEXT(Ventas[[#This Row],[Fecha_venta]],"dd")</f>
        <v>29</v>
      </c>
      <c r="I1839" t="str">
        <f>TEXT(Ventas[[#This Row],[Fecha_venta]],"m")</f>
        <v>6</v>
      </c>
      <c r="J1839" t="str">
        <f>TEXT(Ventas[[#This Row],[Fecha_venta]],"yyyy")</f>
        <v>2012</v>
      </c>
    </row>
    <row r="1840" spans="1:10" x14ac:dyDescent="0.25">
      <c r="A1840">
        <v>13</v>
      </c>
      <c r="B1840" s="1">
        <v>41096</v>
      </c>
      <c r="C1840">
        <v>0</v>
      </c>
      <c r="D1840">
        <v>79.23</v>
      </c>
      <c r="E1840">
        <v>3.63</v>
      </c>
      <c r="F1840">
        <v>130.7196333</v>
      </c>
      <c r="G1840">
        <v>2184980.35</v>
      </c>
      <c r="H1840" t="str">
        <f>TEXT(Ventas[[#This Row],[Fecha_venta]],"dd")</f>
        <v>06</v>
      </c>
      <c r="I1840" t="str">
        <f>TEXT(Ventas[[#This Row],[Fecha_venta]],"m")</f>
        <v>7</v>
      </c>
      <c r="J1840" t="str">
        <f>TEXT(Ventas[[#This Row],[Fecha_venta]],"yyyy")</f>
        <v>2012</v>
      </c>
    </row>
    <row r="1841" spans="1:10" x14ac:dyDescent="0.25">
      <c r="A1841">
        <v>13</v>
      </c>
      <c r="B1841" s="1">
        <v>41103</v>
      </c>
      <c r="C1841">
        <v>0</v>
      </c>
      <c r="D1841">
        <v>83.68</v>
      </c>
      <c r="E1841">
        <v>3.5950000000000002</v>
      </c>
      <c r="F1841">
        <v>130.68299999999999</v>
      </c>
      <c r="G1841">
        <v>2002750.99</v>
      </c>
      <c r="H1841" t="str">
        <f>TEXT(Ventas[[#This Row],[Fecha_venta]],"dd")</f>
        <v>13</v>
      </c>
      <c r="I1841" t="str">
        <f>TEXT(Ventas[[#This Row],[Fecha_venta]],"m")</f>
        <v>7</v>
      </c>
      <c r="J1841" t="str">
        <f>TEXT(Ventas[[#This Row],[Fecha_venta]],"yyyy")</f>
        <v>2012</v>
      </c>
    </row>
    <row r="1842" spans="1:10" x14ac:dyDescent="0.25">
      <c r="A1842">
        <v>13</v>
      </c>
      <c r="B1842" s="1">
        <v>41110</v>
      </c>
      <c r="C1842">
        <v>0</v>
      </c>
      <c r="D1842">
        <v>75.69</v>
      </c>
      <c r="E1842">
        <v>3.556</v>
      </c>
      <c r="F1842">
        <v>130.70129030000001</v>
      </c>
      <c r="G1842">
        <v>2053089.32</v>
      </c>
      <c r="H1842" t="str">
        <f>TEXT(Ventas[[#This Row],[Fecha_venta]],"dd")</f>
        <v>20</v>
      </c>
      <c r="I1842" t="str">
        <f>TEXT(Ventas[[#This Row],[Fecha_venta]],"m")</f>
        <v>7</v>
      </c>
      <c r="J1842" t="str">
        <f>TEXT(Ventas[[#This Row],[Fecha_venta]],"yyyy")</f>
        <v>2012</v>
      </c>
    </row>
    <row r="1843" spans="1:10" x14ac:dyDescent="0.25">
      <c r="A1843">
        <v>13</v>
      </c>
      <c r="B1843" s="1">
        <v>41117</v>
      </c>
      <c r="C1843">
        <v>0</v>
      </c>
      <c r="D1843">
        <v>80.42</v>
      </c>
      <c r="E1843">
        <v>3.5369999999999999</v>
      </c>
      <c r="F1843">
        <v>130.7195806</v>
      </c>
      <c r="G1843">
        <v>1914430.53</v>
      </c>
      <c r="H1843" t="str">
        <f>TEXT(Ventas[[#This Row],[Fecha_venta]],"dd")</f>
        <v>27</v>
      </c>
      <c r="I1843" t="str">
        <f>TEXT(Ventas[[#This Row],[Fecha_venta]],"m")</f>
        <v>7</v>
      </c>
      <c r="J1843" t="str">
        <f>TEXT(Ventas[[#This Row],[Fecha_venta]],"yyyy")</f>
        <v>2012</v>
      </c>
    </row>
    <row r="1844" spans="1:10" x14ac:dyDescent="0.25">
      <c r="A1844">
        <v>13</v>
      </c>
      <c r="B1844" s="1">
        <v>41124</v>
      </c>
      <c r="C1844">
        <v>0</v>
      </c>
      <c r="D1844">
        <v>81.99</v>
      </c>
      <c r="E1844">
        <v>3.512</v>
      </c>
      <c r="F1844">
        <v>130.73787100000001</v>
      </c>
      <c r="G1844">
        <v>2044148.23</v>
      </c>
      <c r="H1844" t="str">
        <f>TEXT(Ventas[[#This Row],[Fecha_venta]],"dd")</f>
        <v>03</v>
      </c>
      <c r="I1844" t="str">
        <f>TEXT(Ventas[[#This Row],[Fecha_venta]],"m")</f>
        <v>8</v>
      </c>
      <c r="J1844" t="str">
        <f>TEXT(Ventas[[#This Row],[Fecha_venta]],"yyyy")</f>
        <v>2012</v>
      </c>
    </row>
    <row r="1845" spans="1:10" x14ac:dyDescent="0.25">
      <c r="A1845">
        <v>13</v>
      </c>
      <c r="B1845" s="1">
        <v>41131</v>
      </c>
      <c r="C1845">
        <v>0</v>
      </c>
      <c r="D1845">
        <v>81.69</v>
      </c>
      <c r="E1845">
        <v>3.5089999999999999</v>
      </c>
      <c r="F1845">
        <v>130.7561613</v>
      </c>
      <c r="G1845">
        <v>2041019.92</v>
      </c>
      <c r="H1845" t="str">
        <f>TEXT(Ventas[[#This Row],[Fecha_venta]],"dd")</f>
        <v>10</v>
      </c>
      <c r="I1845" t="str">
        <f>TEXT(Ventas[[#This Row],[Fecha_venta]],"m")</f>
        <v>8</v>
      </c>
      <c r="J1845" t="str">
        <f>TEXT(Ventas[[#This Row],[Fecha_venta]],"yyyy")</f>
        <v>2012</v>
      </c>
    </row>
    <row r="1846" spans="1:10" x14ac:dyDescent="0.25">
      <c r="A1846">
        <v>13</v>
      </c>
      <c r="B1846" s="1">
        <v>41138</v>
      </c>
      <c r="C1846">
        <v>0</v>
      </c>
      <c r="D1846">
        <v>79.400000000000006</v>
      </c>
      <c r="E1846">
        <v>3.5449999999999999</v>
      </c>
      <c r="F1846">
        <v>130.79096770000001</v>
      </c>
      <c r="G1846">
        <v>2095769.18</v>
      </c>
      <c r="H1846" t="str">
        <f>TEXT(Ventas[[#This Row],[Fecha_venta]],"dd")</f>
        <v>17</v>
      </c>
      <c r="I1846" t="str">
        <f>TEXT(Ventas[[#This Row],[Fecha_venta]],"m")</f>
        <v>8</v>
      </c>
      <c r="J1846" t="str">
        <f>TEXT(Ventas[[#This Row],[Fecha_venta]],"yyyy")</f>
        <v>2012</v>
      </c>
    </row>
    <row r="1847" spans="1:10" x14ac:dyDescent="0.25">
      <c r="A1847">
        <v>13</v>
      </c>
      <c r="B1847" s="1">
        <v>41145</v>
      </c>
      <c r="C1847">
        <v>0</v>
      </c>
      <c r="D1847">
        <v>77.37</v>
      </c>
      <c r="E1847">
        <v>3.5819999999999999</v>
      </c>
      <c r="F1847">
        <v>130.8381613</v>
      </c>
      <c r="G1847">
        <v>2059458.25</v>
      </c>
      <c r="H1847" t="str">
        <f>TEXT(Ventas[[#This Row],[Fecha_venta]],"dd")</f>
        <v>24</v>
      </c>
      <c r="I1847" t="str">
        <f>TEXT(Ventas[[#This Row],[Fecha_venta]],"m")</f>
        <v>8</v>
      </c>
      <c r="J1847" t="str">
        <f>TEXT(Ventas[[#This Row],[Fecha_venta]],"yyyy")</f>
        <v>2012</v>
      </c>
    </row>
    <row r="1848" spans="1:10" x14ac:dyDescent="0.25">
      <c r="A1848">
        <v>13</v>
      </c>
      <c r="B1848" s="1">
        <v>41152</v>
      </c>
      <c r="C1848">
        <v>0</v>
      </c>
      <c r="D1848">
        <v>79.180000000000007</v>
      </c>
      <c r="E1848">
        <v>3.6240000000000001</v>
      </c>
      <c r="F1848">
        <v>130.88535479999999</v>
      </c>
      <c r="G1848">
        <v>2073855.42</v>
      </c>
      <c r="H1848" t="str">
        <f>TEXT(Ventas[[#This Row],[Fecha_venta]],"dd")</f>
        <v>31</v>
      </c>
      <c r="I1848" t="str">
        <f>TEXT(Ventas[[#This Row],[Fecha_venta]],"m")</f>
        <v>8</v>
      </c>
      <c r="J1848" t="str">
        <f>TEXT(Ventas[[#This Row],[Fecha_venta]],"yyyy")</f>
        <v>2012</v>
      </c>
    </row>
    <row r="1849" spans="1:10" x14ac:dyDescent="0.25">
      <c r="A1849">
        <v>13</v>
      </c>
      <c r="B1849" s="1">
        <v>41159</v>
      </c>
      <c r="C1849">
        <v>1</v>
      </c>
      <c r="D1849">
        <v>70.650000000000006</v>
      </c>
      <c r="E1849">
        <v>3.6890000000000001</v>
      </c>
      <c r="F1849">
        <v>130.9325484</v>
      </c>
      <c r="G1849">
        <v>2165796.31</v>
      </c>
      <c r="H1849" t="str">
        <f>TEXT(Ventas[[#This Row],[Fecha_venta]],"dd")</f>
        <v>07</v>
      </c>
      <c r="I1849" t="str">
        <f>TEXT(Ventas[[#This Row],[Fecha_venta]],"m")</f>
        <v>9</v>
      </c>
      <c r="J1849" t="str">
        <f>TEXT(Ventas[[#This Row],[Fecha_venta]],"yyyy")</f>
        <v>2012</v>
      </c>
    </row>
    <row r="1850" spans="1:10" x14ac:dyDescent="0.25">
      <c r="A1850">
        <v>13</v>
      </c>
      <c r="B1850" s="1">
        <v>41166</v>
      </c>
      <c r="C1850">
        <v>0</v>
      </c>
      <c r="D1850">
        <v>68.55</v>
      </c>
      <c r="E1850">
        <v>3.7490000000000001</v>
      </c>
      <c r="F1850">
        <v>130.97766669999999</v>
      </c>
      <c r="G1850">
        <v>1919917.03</v>
      </c>
      <c r="H1850" t="str">
        <f>TEXT(Ventas[[#This Row],[Fecha_venta]],"dd")</f>
        <v>14</v>
      </c>
      <c r="I1850" t="str">
        <f>TEXT(Ventas[[#This Row],[Fecha_venta]],"m")</f>
        <v>9</v>
      </c>
      <c r="J1850" t="str">
        <f>TEXT(Ventas[[#This Row],[Fecha_venta]],"yyyy")</f>
        <v>2012</v>
      </c>
    </row>
    <row r="1851" spans="1:10" x14ac:dyDescent="0.25">
      <c r="A1851">
        <v>13</v>
      </c>
      <c r="B1851" s="1">
        <v>41173</v>
      </c>
      <c r="C1851">
        <v>0</v>
      </c>
      <c r="D1851">
        <v>67.959999999999994</v>
      </c>
      <c r="E1851">
        <v>3.8210000000000002</v>
      </c>
      <c r="F1851">
        <v>131.01033330000001</v>
      </c>
      <c r="G1851">
        <v>1938379.66</v>
      </c>
      <c r="H1851" t="str">
        <f>TEXT(Ventas[[#This Row],[Fecha_venta]],"dd")</f>
        <v>21</v>
      </c>
      <c r="I1851" t="str">
        <f>TEXT(Ventas[[#This Row],[Fecha_venta]],"m")</f>
        <v>9</v>
      </c>
      <c r="J1851" t="str">
        <f>TEXT(Ventas[[#This Row],[Fecha_venta]],"yyyy")</f>
        <v>2012</v>
      </c>
    </row>
    <row r="1852" spans="1:10" x14ac:dyDescent="0.25">
      <c r="A1852">
        <v>13</v>
      </c>
      <c r="B1852" s="1">
        <v>41180</v>
      </c>
      <c r="C1852">
        <v>0</v>
      </c>
      <c r="D1852">
        <v>64.8</v>
      </c>
      <c r="E1852">
        <v>3.8210000000000002</v>
      </c>
      <c r="F1852">
        <v>131.04300000000001</v>
      </c>
      <c r="G1852">
        <v>1927664.11</v>
      </c>
      <c r="H1852" t="str">
        <f>TEXT(Ventas[[#This Row],[Fecha_venta]],"dd")</f>
        <v>28</v>
      </c>
      <c r="I1852" t="str">
        <f>TEXT(Ventas[[#This Row],[Fecha_venta]],"m")</f>
        <v>9</v>
      </c>
      <c r="J1852" t="str">
        <f>TEXT(Ventas[[#This Row],[Fecha_venta]],"yyyy")</f>
        <v>2012</v>
      </c>
    </row>
    <row r="1853" spans="1:10" x14ac:dyDescent="0.25">
      <c r="A1853">
        <v>13</v>
      </c>
      <c r="B1853" s="1">
        <v>41187</v>
      </c>
      <c r="C1853">
        <v>0</v>
      </c>
      <c r="D1853">
        <v>61.79</v>
      </c>
      <c r="E1853">
        <v>3.8149999999999999</v>
      </c>
      <c r="F1853">
        <v>131.0756667</v>
      </c>
      <c r="G1853">
        <v>2041918.74</v>
      </c>
      <c r="H1853" t="str">
        <f>TEXT(Ventas[[#This Row],[Fecha_venta]],"dd")</f>
        <v>05</v>
      </c>
      <c r="I1853" t="str">
        <f>TEXT(Ventas[[#This Row],[Fecha_venta]],"m")</f>
        <v>10</v>
      </c>
      <c r="J1853" t="str">
        <f>TEXT(Ventas[[#This Row],[Fecha_venta]],"yyyy")</f>
        <v>2012</v>
      </c>
    </row>
    <row r="1854" spans="1:10" x14ac:dyDescent="0.25">
      <c r="A1854">
        <v>13</v>
      </c>
      <c r="B1854" s="1">
        <v>41194</v>
      </c>
      <c r="C1854">
        <v>0</v>
      </c>
      <c r="D1854">
        <v>55.1</v>
      </c>
      <c r="E1854">
        <v>3.7970000000000002</v>
      </c>
      <c r="F1854">
        <v>131.1083333</v>
      </c>
      <c r="G1854">
        <v>1999079.44</v>
      </c>
      <c r="H1854" t="str">
        <f>TEXT(Ventas[[#This Row],[Fecha_venta]],"dd")</f>
        <v>12</v>
      </c>
      <c r="I1854" t="str">
        <f>TEXT(Ventas[[#This Row],[Fecha_venta]],"m")</f>
        <v>10</v>
      </c>
      <c r="J1854" t="str">
        <f>TEXT(Ventas[[#This Row],[Fecha_venta]],"yyyy")</f>
        <v>2012</v>
      </c>
    </row>
    <row r="1855" spans="1:10" x14ac:dyDescent="0.25">
      <c r="A1855">
        <v>13</v>
      </c>
      <c r="B1855" s="1">
        <v>41201</v>
      </c>
      <c r="C1855">
        <v>0</v>
      </c>
      <c r="D1855">
        <v>52.06</v>
      </c>
      <c r="E1855">
        <v>3.7810000000000001</v>
      </c>
      <c r="F1855">
        <v>131.14996769999999</v>
      </c>
      <c r="G1855">
        <v>2018010.15</v>
      </c>
      <c r="H1855" t="str">
        <f>TEXT(Ventas[[#This Row],[Fecha_venta]],"dd")</f>
        <v>19</v>
      </c>
      <c r="I1855" t="str">
        <f>TEXT(Ventas[[#This Row],[Fecha_venta]],"m")</f>
        <v>10</v>
      </c>
      <c r="J1855" t="str">
        <f>TEXT(Ventas[[#This Row],[Fecha_venta]],"yyyy")</f>
        <v>2012</v>
      </c>
    </row>
    <row r="1856" spans="1:10" x14ac:dyDescent="0.25">
      <c r="A1856">
        <v>13</v>
      </c>
      <c r="B1856" s="1">
        <v>41208</v>
      </c>
      <c r="C1856">
        <v>0</v>
      </c>
      <c r="D1856">
        <v>46.97</v>
      </c>
      <c r="E1856">
        <v>3.7549999999999999</v>
      </c>
      <c r="F1856">
        <v>131.19309680000001</v>
      </c>
      <c r="G1856">
        <v>2035189.66</v>
      </c>
      <c r="H1856" t="str">
        <f>TEXT(Ventas[[#This Row],[Fecha_venta]],"dd")</f>
        <v>26</v>
      </c>
      <c r="I1856" t="str">
        <f>TEXT(Ventas[[#This Row],[Fecha_venta]],"m")</f>
        <v>10</v>
      </c>
      <c r="J1856" t="str">
        <f>TEXT(Ventas[[#This Row],[Fecha_venta]],"yyyy")</f>
        <v>2012</v>
      </c>
    </row>
    <row r="1857" spans="1:10" x14ac:dyDescent="0.25">
      <c r="A1857">
        <v>14</v>
      </c>
      <c r="B1857" s="1">
        <v>40214</v>
      </c>
      <c r="C1857">
        <v>0</v>
      </c>
      <c r="D1857">
        <v>27.31</v>
      </c>
      <c r="E1857">
        <v>2.7839999999999998</v>
      </c>
      <c r="F1857">
        <v>181.8711898</v>
      </c>
      <c r="G1857">
        <v>2623469.9500000002</v>
      </c>
      <c r="H1857" t="str">
        <f>TEXT(Ventas[[#This Row],[Fecha_venta]],"dd")</f>
        <v>05</v>
      </c>
      <c r="I1857" t="str">
        <f>TEXT(Ventas[[#This Row],[Fecha_venta]],"m")</f>
        <v>2</v>
      </c>
      <c r="J1857" t="str">
        <f>TEXT(Ventas[[#This Row],[Fecha_venta]],"yyyy")</f>
        <v>2010</v>
      </c>
    </row>
    <row r="1858" spans="1:10" x14ac:dyDescent="0.25">
      <c r="A1858">
        <v>14</v>
      </c>
      <c r="B1858" s="1">
        <v>40221</v>
      </c>
      <c r="C1858">
        <v>1</v>
      </c>
      <c r="D1858">
        <v>27.73</v>
      </c>
      <c r="E1858">
        <v>2.7730000000000001</v>
      </c>
      <c r="F1858">
        <v>181.98231699999999</v>
      </c>
      <c r="G1858">
        <v>1704218.84</v>
      </c>
      <c r="H1858" t="str">
        <f>TEXT(Ventas[[#This Row],[Fecha_venta]],"dd")</f>
        <v>12</v>
      </c>
      <c r="I1858" t="str">
        <f>TEXT(Ventas[[#This Row],[Fecha_venta]],"m")</f>
        <v>2</v>
      </c>
      <c r="J1858" t="str">
        <f>TEXT(Ventas[[#This Row],[Fecha_venta]],"yyyy")</f>
        <v>2010</v>
      </c>
    </row>
    <row r="1859" spans="1:10" x14ac:dyDescent="0.25">
      <c r="A1859">
        <v>14</v>
      </c>
      <c r="B1859" s="1">
        <v>40228</v>
      </c>
      <c r="C1859">
        <v>0</v>
      </c>
      <c r="D1859">
        <v>31.27</v>
      </c>
      <c r="E1859">
        <v>2.7450000000000001</v>
      </c>
      <c r="F1859">
        <v>182.0347816</v>
      </c>
      <c r="G1859">
        <v>2204556.7000000002</v>
      </c>
      <c r="H1859" t="str">
        <f>TEXT(Ventas[[#This Row],[Fecha_venta]],"dd")</f>
        <v>19</v>
      </c>
      <c r="I1859" t="str">
        <f>TEXT(Ventas[[#This Row],[Fecha_venta]],"m")</f>
        <v>2</v>
      </c>
      <c r="J1859" t="str">
        <f>TEXT(Ventas[[#This Row],[Fecha_venta]],"yyyy")</f>
        <v>2010</v>
      </c>
    </row>
    <row r="1860" spans="1:10" x14ac:dyDescent="0.25">
      <c r="A1860">
        <v>14</v>
      </c>
      <c r="B1860" s="1">
        <v>40235</v>
      </c>
      <c r="C1860">
        <v>0</v>
      </c>
      <c r="D1860">
        <v>34.89</v>
      </c>
      <c r="E1860">
        <v>2.754</v>
      </c>
      <c r="F1860">
        <v>182.0774691</v>
      </c>
      <c r="G1860">
        <v>2095591.63</v>
      </c>
      <c r="H1860" t="str">
        <f>TEXT(Ventas[[#This Row],[Fecha_venta]],"dd")</f>
        <v>26</v>
      </c>
      <c r="I1860" t="str">
        <f>TEXT(Ventas[[#This Row],[Fecha_venta]],"m")</f>
        <v>2</v>
      </c>
      <c r="J1860" t="str">
        <f>TEXT(Ventas[[#This Row],[Fecha_venta]],"yyyy")</f>
        <v>2010</v>
      </c>
    </row>
    <row r="1861" spans="1:10" x14ac:dyDescent="0.25">
      <c r="A1861">
        <v>14</v>
      </c>
      <c r="B1861" s="1">
        <v>40242</v>
      </c>
      <c r="C1861">
        <v>0</v>
      </c>
      <c r="D1861">
        <v>37.130000000000003</v>
      </c>
      <c r="E1861">
        <v>2.7770000000000001</v>
      </c>
      <c r="F1861">
        <v>182.1201566</v>
      </c>
      <c r="G1861">
        <v>2237544.75</v>
      </c>
      <c r="H1861" t="str">
        <f>TEXT(Ventas[[#This Row],[Fecha_venta]],"dd")</f>
        <v>05</v>
      </c>
      <c r="I1861" t="str">
        <f>TEXT(Ventas[[#This Row],[Fecha_venta]],"m")</f>
        <v>3</v>
      </c>
      <c r="J1861" t="str">
        <f>TEXT(Ventas[[#This Row],[Fecha_venta]],"yyyy")</f>
        <v>2010</v>
      </c>
    </row>
    <row r="1862" spans="1:10" x14ac:dyDescent="0.25">
      <c r="A1862">
        <v>14</v>
      </c>
      <c r="B1862" s="1">
        <v>40249</v>
      </c>
      <c r="C1862">
        <v>0</v>
      </c>
      <c r="D1862">
        <v>45.8</v>
      </c>
      <c r="E1862">
        <v>2.8180000000000001</v>
      </c>
      <c r="F1862">
        <v>182.1628441</v>
      </c>
      <c r="G1862">
        <v>2156035.06</v>
      </c>
      <c r="H1862" t="str">
        <f>TEXT(Ventas[[#This Row],[Fecha_venta]],"dd")</f>
        <v>12</v>
      </c>
      <c r="I1862" t="str">
        <f>TEXT(Ventas[[#This Row],[Fecha_venta]],"m")</f>
        <v>3</v>
      </c>
      <c r="J1862" t="str">
        <f>TEXT(Ventas[[#This Row],[Fecha_venta]],"yyyy")</f>
        <v>2010</v>
      </c>
    </row>
    <row r="1863" spans="1:10" x14ac:dyDescent="0.25">
      <c r="A1863">
        <v>14</v>
      </c>
      <c r="B1863" s="1">
        <v>40256</v>
      </c>
      <c r="C1863">
        <v>0</v>
      </c>
      <c r="D1863">
        <v>48.79</v>
      </c>
      <c r="E1863">
        <v>2.8439999999999999</v>
      </c>
      <c r="F1863">
        <v>182.0779857</v>
      </c>
      <c r="G1863">
        <v>2066219.3</v>
      </c>
      <c r="H1863" t="str">
        <f>TEXT(Ventas[[#This Row],[Fecha_venta]],"dd")</f>
        <v>19</v>
      </c>
      <c r="I1863" t="str">
        <f>TEXT(Ventas[[#This Row],[Fecha_venta]],"m")</f>
        <v>3</v>
      </c>
      <c r="J1863" t="str">
        <f>TEXT(Ventas[[#This Row],[Fecha_venta]],"yyyy")</f>
        <v>2010</v>
      </c>
    </row>
    <row r="1864" spans="1:10" x14ac:dyDescent="0.25">
      <c r="A1864">
        <v>14</v>
      </c>
      <c r="B1864" s="1">
        <v>40263</v>
      </c>
      <c r="C1864">
        <v>0</v>
      </c>
      <c r="D1864">
        <v>54.36</v>
      </c>
      <c r="E1864">
        <v>2.8540000000000001</v>
      </c>
      <c r="F1864">
        <v>181.97186970000001</v>
      </c>
      <c r="G1864">
        <v>2050396.27</v>
      </c>
      <c r="H1864" t="str">
        <f>TEXT(Ventas[[#This Row],[Fecha_venta]],"dd")</f>
        <v>26</v>
      </c>
      <c r="I1864" t="str">
        <f>TEXT(Ventas[[#This Row],[Fecha_venta]],"m")</f>
        <v>3</v>
      </c>
      <c r="J1864" t="str">
        <f>TEXT(Ventas[[#This Row],[Fecha_venta]],"yyyy")</f>
        <v>2010</v>
      </c>
    </row>
    <row r="1865" spans="1:10" x14ac:dyDescent="0.25">
      <c r="A1865">
        <v>14</v>
      </c>
      <c r="B1865" s="1">
        <v>40270</v>
      </c>
      <c r="C1865">
        <v>0</v>
      </c>
      <c r="D1865">
        <v>47.74</v>
      </c>
      <c r="E1865">
        <v>2.85</v>
      </c>
      <c r="F1865">
        <v>181.8657537</v>
      </c>
      <c r="G1865">
        <v>2495630.5099999998</v>
      </c>
      <c r="H1865" t="str">
        <f>TEXT(Ventas[[#This Row],[Fecha_venta]],"dd")</f>
        <v>02</v>
      </c>
      <c r="I1865" t="str">
        <f>TEXT(Ventas[[#This Row],[Fecha_venta]],"m")</f>
        <v>4</v>
      </c>
      <c r="J1865" t="str">
        <f>TEXT(Ventas[[#This Row],[Fecha_venta]],"yyyy")</f>
        <v>2010</v>
      </c>
    </row>
    <row r="1866" spans="1:10" x14ac:dyDescent="0.25">
      <c r="A1866">
        <v>14</v>
      </c>
      <c r="B1866" s="1">
        <v>40277</v>
      </c>
      <c r="C1866">
        <v>0</v>
      </c>
      <c r="D1866">
        <v>65.45</v>
      </c>
      <c r="E1866">
        <v>2.8690000000000002</v>
      </c>
      <c r="F1866">
        <v>181.75963770000001</v>
      </c>
      <c r="G1866">
        <v>2258781.2799999998</v>
      </c>
      <c r="H1866" t="str">
        <f>TEXT(Ventas[[#This Row],[Fecha_venta]],"dd")</f>
        <v>09</v>
      </c>
      <c r="I1866" t="str">
        <f>TEXT(Ventas[[#This Row],[Fecha_venta]],"m")</f>
        <v>4</v>
      </c>
      <c r="J1866" t="str">
        <f>TEXT(Ventas[[#This Row],[Fecha_venta]],"yyyy")</f>
        <v>2010</v>
      </c>
    </row>
    <row r="1867" spans="1:10" x14ac:dyDescent="0.25">
      <c r="A1867">
        <v>14</v>
      </c>
      <c r="B1867" s="1">
        <v>40284</v>
      </c>
      <c r="C1867">
        <v>0</v>
      </c>
      <c r="D1867">
        <v>54.28</v>
      </c>
      <c r="E1867">
        <v>2.899</v>
      </c>
      <c r="F1867">
        <v>181.6924769</v>
      </c>
      <c r="G1867">
        <v>2121788.61</v>
      </c>
      <c r="H1867" t="str">
        <f>TEXT(Ventas[[#This Row],[Fecha_venta]],"dd")</f>
        <v>16</v>
      </c>
      <c r="I1867" t="str">
        <f>TEXT(Ventas[[#This Row],[Fecha_venta]],"m")</f>
        <v>4</v>
      </c>
      <c r="J1867" t="str">
        <f>TEXT(Ventas[[#This Row],[Fecha_venta]],"yyyy")</f>
        <v>2010</v>
      </c>
    </row>
    <row r="1868" spans="1:10" x14ac:dyDescent="0.25">
      <c r="A1868">
        <v>14</v>
      </c>
      <c r="B1868" s="1">
        <v>40291</v>
      </c>
      <c r="C1868">
        <v>0</v>
      </c>
      <c r="D1868">
        <v>53.47</v>
      </c>
      <c r="E1868">
        <v>2.9020000000000001</v>
      </c>
      <c r="F1868">
        <v>181.6772564</v>
      </c>
      <c r="G1868">
        <v>2138144.91</v>
      </c>
      <c r="H1868" t="str">
        <f>TEXT(Ventas[[#This Row],[Fecha_venta]],"dd")</f>
        <v>23</v>
      </c>
      <c r="I1868" t="str">
        <f>TEXT(Ventas[[#This Row],[Fecha_venta]],"m")</f>
        <v>4</v>
      </c>
      <c r="J1868" t="str">
        <f>TEXT(Ventas[[#This Row],[Fecha_venta]],"yyyy")</f>
        <v>2010</v>
      </c>
    </row>
    <row r="1869" spans="1:10" x14ac:dyDescent="0.25">
      <c r="A1869">
        <v>14</v>
      </c>
      <c r="B1869" s="1">
        <v>40298</v>
      </c>
      <c r="C1869">
        <v>0</v>
      </c>
      <c r="D1869">
        <v>53.15</v>
      </c>
      <c r="E1869">
        <v>2.9209999999999998</v>
      </c>
      <c r="F1869">
        <v>181.66203590000001</v>
      </c>
      <c r="G1869">
        <v>2082355.12</v>
      </c>
      <c r="H1869" t="str">
        <f>TEXT(Ventas[[#This Row],[Fecha_venta]],"dd")</f>
        <v>30</v>
      </c>
      <c r="I1869" t="str">
        <f>TEXT(Ventas[[#This Row],[Fecha_venta]],"m")</f>
        <v>4</v>
      </c>
      <c r="J1869" t="str">
        <f>TEXT(Ventas[[#This Row],[Fecha_venta]],"yyyy")</f>
        <v>2010</v>
      </c>
    </row>
    <row r="1870" spans="1:10" x14ac:dyDescent="0.25">
      <c r="A1870">
        <v>14</v>
      </c>
      <c r="B1870" s="1">
        <v>40305</v>
      </c>
      <c r="C1870">
        <v>0</v>
      </c>
      <c r="D1870">
        <v>70.75</v>
      </c>
      <c r="E1870">
        <v>2.9660000000000002</v>
      </c>
      <c r="F1870">
        <v>181.64681540000001</v>
      </c>
      <c r="G1870">
        <v>2370116.52</v>
      </c>
      <c r="H1870" t="str">
        <f>TEXT(Ventas[[#This Row],[Fecha_venta]],"dd")</f>
        <v>07</v>
      </c>
      <c r="I1870" t="str">
        <f>TEXT(Ventas[[#This Row],[Fecha_venta]],"m")</f>
        <v>5</v>
      </c>
      <c r="J1870" t="str">
        <f>TEXT(Ventas[[#This Row],[Fecha_venta]],"yyyy")</f>
        <v>2010</v>
      </c>
    </row>
    <row r="1871" spans="1:10" x14ac:dyDescent="0.25">
      <c r="A1871">
        <v>14</v>
      </c>
      <c r="B1871" s="1">
        <v>40312</v>
      </c>
      <c r="C1871">
        <v>0</v>
      </c>
      <c r="D1871">
        <v>54.26</v>
      </c>
      <c r="E1871">
        <v>2.9820000000000002</v>
      </c>
      <c r="F1871">
        <v>181.6612792</v>
      </c>
      <c r="G1871">
        <v>2129771.13</v>
      </c>
      <c r="H1871" t="str">
        <f>TEXT(Ventas[[#This Row],[Fecha_venta]],"dd")</f>
        <v>14</v>
      </c>
      <c r="I1871" t="str">
        <f>TEXT(Ventas[[#This Row],[Fecha_venta]],"m")</f>
        <v>5</v>
      </c>
      <c r="J1871" t="str">
        <f>TEXT(Ventas[[#This Row],[Fecha_venta]],"yyyy")</f>
        <v>2010</v>
      </c>
    </row>
    <row r="1872" spans="1:10" x14ac:dyDescent="0.25">
      <c r="A1872">
        <v>14</v>
      </c>
      <c r="B1872" s="1">
        <v>40319</v>
      </c>
      <c r="C1872">
        <v>0</v>
      </c>
      <c r="D1872">
        <v>62.62</v>
      </c>
      <c r="E1872">
        <v>2.9580000000000002</v>
      </c>
      <c r="F1872">
        <v>181.85384859999999</v>
      </c>
      <c r="G1872">
        <v>2108187.1</v>
      </c>
      <c r="H1872" t="str">
        <f>TEXT(Ventas[[#This Row],[Fecha_venta]],"dd")</f>
        <v>21</v>
      </c>
      <c r="I1872" t="str">
        <f>TEXT(Ventas[[#This Row],[Fecha_venta]],"m")</f>
        <v>5</v>
      </c>
      <c r="J1872" t="str">
        <f>TEXT(Ventas[[#This Row],[Fecha_venta]],"yyyy")</f>
        <v>2010</v>
      </c>
    </row>
    <row r="1873" spans="1:10" x14ac:dyDescent="0.25">
      <c r="A1873">
        <v>14</v>
      </c>
      <c r="B1873" s="1">
        <v>40326</v>
      </c>
      <c r="C1873">
        <v>0</v>
      </c>
      <c r="D1873">
        <v>69.27</v>
      </c>
      <c r="E1873">
        <v>2.899</v>
      </c>
      <c r="F1873">
        <v>182.04641810000001</v>
      </c>
      <c r="G1873">
        <v>2227152.16</v>
      </c>
      <c r="H1873" t="str">
        <f>TEXT(Ventas[[#This Row],[Fecha_venta]],"dd")</f>
        <v>28</v>
      </c>
      <c r="I1873" t="str">
        <f>TEXT(Ventas[[#This Row],[Fecha_venta]],"m")</f>
        <v>5</v>
      </c>
      <c r="J1873" t="str">
        <f>TEXT(Ventas[[#This Row],[Fecha_venta]],"yyyy")</f>
        <v>2010</v>
      </c>
    </row>
    <row r="1874" spans="1:10" x14ac:dyDescent="0.25">
      <c r="A1874">
        <v>14</v>
      </c>
      <c r="B1874" s="1">
        <v>40333</v>
      </c>
      <c r="C1874">
        <v>0</v>
      </c>
      <c r="D1874">
        <v>75.930000000000007</v>
      </c>
      <c r="E1874">
        <v>2.847</v>
      </c>
      <c r="F1874">
        <v>182.2389876</v>
      </c>
      <c r="G1874">
        <v>2363601.4700000002</v>
      </c>
      <c r="H1874" t="str">
        <f>TEXT(Ventas[[#This Row],[Fecha_venta]],"dd")</f>
        <v>04</v>
      </c>
      <c r="I1874" t="str">
        <f>TEXT(Ventas[[#This Row],[Fecha_venta]],"m")</f>
        <v>6</v>
      </c>
      <c r="J1874" t="str">
        <f>TEXT(Ventas[[#This Row],[Fecha_venta]],"yyyy")</f>
        <v>2010</v>
      </c>
    </row>
    <row r="1875" spans="1:10" x14ac:dyDescent="0.25">
      <c r="A1875">
        <v>14</v>
      </c>
      <c r="B1875" s="1">
        <v>40340</v>
      </c>
      <c r="C1875">
        <v>0</v>
      </c>
      <c r="D1875">
        <v>69.709999999999994</v>
      </c>
      <c r="E1875">
        <v>2.8090000000000002</v>
      </c>
      <c r="F1875">
        <v>182.43155709999999</v>
      </c>
      <c r="G1875">
        <v>2249570.04</v>
      </c>
      <c r="H1875" t="str">
        <f>TEXT(Ventas[[#This Row],[Fecha_venta]],"dd")</f>
        <v>11</v>
      </c>
      <c r="I1875" t="str">
        <f>TEXT(Ventas[[#This Row],[Fecha_venta]],"m")</f>
        <v>6</v>
      </c>
      <c r="J1875" t="str">
        <f>TEXT(Ventas[[#This Row],[Fecha_venta]],"yyyy")</f>
        <v>2010</v>
      </c>
    </row>
    <row r="1876" spans="1:10" x14ac:dyDescent="0.25">
      <c r="A1876">
        <v>14</v>
      </c>
      <c r="B1876" s="1">
        <v>40347</v>
      </c>
      <c r="C1876">
        <v>0</v>
      </c>
      <c r="D1876">
        <v>72.62</v>
      </c>
      <c r="E1876">
        <v>2.78</v>
      </c>
      <c r="F1876">
        <v>182.4424199</v>
      </c>
      <c r="G1876">
        <v>2248645.59</v>
      </c>
      <c r="H1876" t="str">
        <f>TEXT(Ventas[[#This Row],[Fecha_venta]],"dd")</f>
        <v>18</v>
      </c>
      <c r="I1876" t="str">
        <f>TEXT(Ventas[[#This Row],[Fecha_venta]],"m")</f>
        <v>6</v>
      </c>
      <c r="J1876" t="str">
        <f>TEXT(Ventas[[#This Row],[Fecha_venta]],"yyyy")</f>
        <v>2010</v>
      </c>
    </row>
    <row r="1877" spans="1:10" x14ac:dyDescent="0.25">
      <c r="A1877">
        <v>14</v>
      </c>
      <c r="B1877" s="1">
        <v>40354</v>
      </c>
      <c r="C1877">
        <v>0</v>
      </c>
      <c r="D1877">
        <v>79.319999999999993</v>
      </c>
      <c r="E1877">
        <v>2.8079999999999998</v>
      </c>
      <c r="F1877">
        <v>182.38059999999999</v>
      </c>
      <c r="G1877">
        <v>2246179.91</v>
      </c>
      <c r="H1877" t="str">
        <f>TEXT(Ventas[[#This Row],[Fecha_venta]],"dd")</f>
        <v>25</v>
      </c>
      <c r="I1877" t="str">
        <f>TEXT(Ventas[[#This Row],[Fecha_venta]],"m")</f>
        <v>6</v>
      </c>
      <c r="J1877" t="str">
        <f>TEXT(Ventas[[#This Row],[Fecha_venta]],"yyyy")</f>
        <v>2010</v>
      </c>
    </row>
    <row r="1878" spans="1:10" x14ac:dyDescent="0.25">
      <c r="A1878">
        <v>14</v>
      </c>
      <c r="B1878" s="1">
        <v>40361</v>
      </c>
      <c r="C1878">
        <v>0</v>
      </c>
      <c r="D1878">
        <v>76.61</v>
      </c>
      <c r="E1878">
        <v>2.8149999999999999</v>
      </c>
      <c r="F1878">
        <v>182.3187801</v>
      </c>
      <c r="G1878">
        <v>2334788.42</v>
      </c>
      <c r="H1878" t="str">
        <f>TEXT(Ventas[[#This Row],[Fecha_venta]],"dd")</f>
        <v>02</v>
      </c>
      <c r="I1878" t="str">
        <f>TEXT(Ventas[[#This Row],[Fecha_venta]],"m")</f>
        <v>7</v>
      </c>
      <c r="J1878" t="str">
        <f>TEXT(Ventas[[#This Row],[Fecha_venta]],"yyyy")</f>
        <v>2010</v>
      </c>
    </row>
    <row r="1879" spans="1:10" x14ac:dyDescent="0.25">
      <c r="A1879">
        <v>14</v>
      </c>
      <c r="B1879" s="1">
        <v>40368</v>
      </c>
      <c r="C1879">
        <v>0</v>
      </c>
      <c r="D1879">
        <v>82.45</v>
      </c>
      <c r="E1879">
        <v>2.7930000000000001</v>
      </c>
      <c r="F1879">
        <v>182.2569603</v>
      </c>
      <c r="G1879">
        <v>2236209.13</v>
      </c>
      <c r="H1879" t="str">
        <f>TEXT(Ventas[[#This Row],[Fecha_venta]],"dd")</f>
        <v>09</v>
      </c>
      <c r="I1879" t="str">
        <f>TEXT(Ventas[[#This Row],[Fecha_venta]],"m")</f>
        <v>7</v>
      </c>
      <c r="J1879" t="str">
        <f>TEXT(Ventas[[#This Row],[Fecha_venta]],"yyyy")</f>
        <v>2010</v>
      </c>
    </row>
    <row r="1880" spans="1:10" x14ac:dyDescent="0.25">
      <c r="A1880">
        <v>14</v>
      </c>
      <c r="B1880" s="1">
        <v>40375</v>
      </c>
      <c r="C1880">
        <v>0</v>
      </c>
      <c r="D1880">
        <v>77.84</v>
      </c>
      <c r="E1880">
        <v>2.7829999999999999</v>
      </c>
      <c r="F1880">
        <v>182.26044110000001</v>
      </c>
      <c r="G1880">
        <v>2130287.27</v>
      </c>
      <c r="H1880" t="str">
        <f>TEXT(Ventas[[#This Row],[Fecha_venta]],"dd")</f>
        <v>16</v>
      </c>
      <c r="I1880" t="str">
        <f>TEXT(Ventas[[#This Row],[Fecha_venta]],"m")</f>
        <v>7</v>
      </c>
      <c r="J1880" t="str">
        <f>TEXT(Ventas[[#This Row],[Fecha_venta]],"yyyy")</f>
        <v>2010</v>
      </c>
    </row>
    <row r="1881" spans="1:10" x14ac:dyDescent="0.25">
      <c r="A1881">
        <v>14</v>
      </c>
      <c r="B1881" s="1">
        <v>40382</v>
      </c>
      <c r="C1881">
        <v>0</v>
      </c>
      <c r="D1881">
        <v>81.459999999999994</v>
      </c>
      <c r="E1881">
        <v>2.7709999999999999</v>
      </c>
      <c r="F1881">
        <v>182.3509895</v>
      </c>
      <c r="G1881">
        <v>2044155.39</v>
      </c>
      <c r="H1881" t="str">
        <f>TEXT(Ventas[[#This Row],[Fecha_venta]],"dd")</f>
        <v>23</v>
      </c>
      <c r="I1881" t="str">
        <f>TEXT(Ventas[[#This Row],[Fecha_venta]],"m")</f>
        <v>7</v>
      </c>
      <c r="J1881" t="str">
        <f>TEXT(Ventas[[#This Row],[Fecha_venta]],"yyyy")</f>
        <v>2010</v>
      </c>
    </row>
    <row r="1882" spans="1:10" x14ac:dyDescent="0.25">
      <c r="A1882">
        <v>14</v>
      </c>
      <c r="B1882" s="1">
        <v>40389</v>
      </c>
      <c r="C1882">
        <v>0</v>
      </c>
      <c r="D1882">
        <v>79.78</v>
      </c>
      <c r="E1882">
        <v>2.7810000000000001</v>
      </c>
      <c r="F1882">
        <v>182.44153779999999</v>
      </c>
      <c r="G1882">
        <v>2054843.28</v>
      </c>
      <c r="H1882" t="str">
        <f>TEXT(Ventas[[#This Row],[Fecha_venta]],"dd")</f>
        <v>30</v>
      </c>
      <c r="I1882" t="str">
        <f>TEXT(Ventas[[#This Row],[Fecha_venta]],"m")</f>
        <v>7</v>
      </c>
      <c r="J1882" t="str">
        <f>TEXT(Ventas[[#This Row],[Fecha_venta]],"yyyy")</f>
        <v>2010</v>
      </c>
    </row>
    <row r="1883" spans="1:10" x14ac:dyDescent="0.25">
      <c r="A1883">
        <v>14</v>
      </c>
      <c r="B1883" s="1">
        <v>40396</v>
      </c>
      <c r="C1883">
        <v>0</v>
      </c>
      <c r="D1883">
        <v>77.17</v>
      </c>
      <c r="E1883">
        <v>2.7839999999999998</v>
      </c>
      <c r="F1883">
        <v>182.53208620000001</v>
      </c>
      <c r="G1883">
        <v>2219813.5</v>
      </c>
      <c r="H1883" t="str">
        <f>TEXT(Ventas[[#This Row],[Fecha_venta]],"dd")</f>
        <v>06</v>
      </c>
      <c r="I1883" t="str">
        <f>TEXT(Ventas[[#This Row],[Fecha_venta]],"m")</f>
        <v>8</v>
      </c>
      <c r="J1883" t="str">
        <f>TEXT(Ventas[[#This Row],[Fecha_venta]],"yyyy")</f>
        <v>2010</v>
      </c>
    </row>
    <row r="1884" spans="1:10" x14ac:dyDescent="0.25">
      <c r="A1884">
        <v>14</v>
      </c>
      <c r="B1884" s="1">
        <v>40403</v>
      </c>
      <c r="C1884">
        <v>0</v>
      </c>
      <c r="D1884">
        <v>78.44</v>
      </c>
      <c r="E1884">
        <v>2.8050000000000002</v>
      </c>
      <c r="F1884">
        <v>182.6226346</v>
      </c>
      <c r="G1884">
        <v>2052984.81</v>
      </c>
      <c r="H1884" t="str">
        <f>TEXT(Ventas[[#This Row],[Fecha_venta]],"dd")</f>
        <v>13</v>
      </c>
      <c r="I1884" t="str">
        <f>TEXT(Ventas[[#This Row],[Fecha_venta]],"m")</f>
        <v>8</v>
      </c>
      <c r="J1884" t="str">
        <f>TEXT(Ventas[[#This Row],[Fecha_venta]],"yyyy")</f>
        <v>2010</v>
      </c>
    </row>
    <row r="1885" spans="1:10" x14ac:dyDescent="0.25">
      <c r="A1885">
        <v>14</v>
      </c>
      <c r="B1885" s="1">
        <v>40410</v>
      </c>
      <c r="C1885">
        <v>0</v>
      </c>
      <c r="D1885">
        <v>76.010000000000005</v>
      </c>
      <c r="E1885">
        <v>2.7789999999999999</v>
      </c>
      <c r="F1885">
        <v>182.61652050000001</v>
      </c>
      <c r="G1885">
        <v>2057138.31</v>
      </c>
      <c r="H1885" t="str">
        <f>TEXT(Ventas[[#This Row],[Fecha_venta]],"dd")</f>
        <v>20</v>
      </c>
      <c r="I1885" t="str">
        <f>TEXT(Ventas[[#This Row],[Fecha_venta]],"m")</f>
        <v>8</v>
      </c>
      <c r="J1885" t="str">
        <f>TEXT(Ventas[[#This Row],[Fecha_venta]],"yyyy")</f>
        <v>2010</v>
      </c>
    </row>
    <row r="1886" spans="1:10" x14ac:dyDescent="0.25">
      <c r="A1886">
        <v>14</v>
      </c>
      <c r="B1886" s="1">
        <v>40417</v>
      </c>
      <c r="C1886">
        <v>0</v>
      </c>
      <c r="D1886">
        <v>71.36</v>
      </c>
      <c r="E1886">
        <v>2.7549999999999999</v>
      </c>
      <c r="F1886">
        <v>182.61040629999999</v>
      </c>
      <c r="G1886">
        <v>2020332.07</v>
      </c>
      <c r="H1886" t="str">
        <f>TEXT(Ventas[[#This Row],[Fecha_venta]],"dd")</f>
        <v>27</v>
      </c>
      <c r="I1886" t="str">
        <f>TEXT(Ventas[[#This Row],[Fecha_venta]],"m")</f>
        <v>8</v>
      </c>
      <c r="J1886" t="str">
        <f>TEXT(Ventas[[#This Row],[Fecha_venta]],"yyyy")</f>
        <v>2010</v>
      </c>
    </row>
    <row r="1887" spans="1:10" x14ac:dyDescent="0.25">
      <c r="A1887">
        <v>14</v>
      </c>
      <c r="B1887" s="1">
        <v>40424</v>
      </c>
      <c r="C1887">
        <v>0</v>
      </c>
      <c r="D1887">
        <v>78.37</v>
      </c>
      <c r="E1887">
        <v>2.7149999999999999</v>
      </c>
      <c r="F1887">
        <v>182.6042922</v>
      </c>
      <c r="G1887">
        <v>2182563.66</v>
      </c>
      <c r="H1887" t="str">
        <f>TEXT(Ventas[[#This Row],[Fecha_venta]],"dd")</f>
        <v>03</v>
      </c>
      <c r="I1887" t="str">
        <f>TEXT(Ventas[[#This Row],[Fecha_venta]],"m")</f>
        <v>9</v>
      </c>
      <c r="J1887" t="str">
        <f>TEXT(Ventas[[#This Row],[Fecha_venta]],"yyyy")</f>
        <v>2010</v>
      </c>
    </row>
    <row r="1888" spans="1:10" x14ac:dyDescent="0.25">
      <c r="A1888">
        <v>14</v>
      </c>
      <c r="B1888" s="1">
        <v>40431</v>
      </c>
      <c r="C1888">
        <v>1</v>
      </c>
      <c r="D1888">
        <v>70.87</v>
      </c>
      <c r="E1888">
        <v>2.6989999999999998</v>
      </c>
      <c r="F1888">
        <v>182.59817799999999</v>
      </c>
      <c r="G1888">
        <v>2191767.7599999998</v>
      </c>
      <c r="H1888" t="str">
        <f>TEXT(Ventas[[#This Row],[Fecha_venta]],"dd")</f>
        <v>10</v>
      </c>
      <c r="I1888" t="str">
        <f>TEXT(Ventas[[#This Row],[Fecha_venta]],"m")</f>
        <v>9</v>
      </c>
      <c r="J1888" t="str">
        <f>TEXT(Ventas[[#This Row],[Fecha_venta]],"yyyy")</f>
        <v>2010</v>
      </c>
    </row>
    <row r="1889" spans="1:10" x14ac:dyDescent="0.25">
      <c r="A1889">
        <v>14</v>
      </c>
      <c r="B1889" s="1">
        <v>40438</v>
      </c>
      <c r="C1889">
        <v>0</v>
      </c>
      <c r="D1889">
        <v>66.55</v>
      </c>
      <c r="E1889">
        <v>2.706</v>
      </c>
      <c r="F1889">
        <v>182.62250900000001</v>
      </c>
      <c r="G1889">
        <v>1953539.85</v>
      </c>
      <c r="H1889" t="str">
        <f>TEXT(Ventas[[#This Row],[Fecha_venta]],"dd")</f>
        <v>17</v>
      </c>
      <c r="I1889" t="str">
        <f>TEXT(Ventas[[#This Row],[Fecha_venta]],"m")</f>
        <v>9</v>
      </c>
      <c r="J1889" t="str">
        <f>TEXT(Ventas[[#This Row],[Fecha_venta]],"yyyy")</f>
        <v>2010</v>
      </c>
    </row>
    <row r="1890" spans="1:10" x14ac:dyDescent="0.25">
      <c r="A1890">
        <v>14</v>
      </c>
      <c r="B1890" s="1">
        <v>40445</v>
      </c>
      <c r="C1890">
        <v>0</v>
      </c>
      <c r="D1890">
        <v>68.59</v>
      </c>
      <c r="E1890">
        <v>2.7130000000000001</v>
      </c>
      <c r="F1890">
        <v>182.6696737</v>
      </c>
      <c r="G1890">
        <v>1879891.13</v>
      </c>
      <c r="H1890" t="str">
        <f>TEXT(Ventas[[#This Row],[Fecha_venta]],"dd")</f>
        <v>24</v>
      </c>
      <c r="I1890" t="str">
        <f>TEXT(Ventas[[#This Row],[Fecha_venta]],"m")</f>
        <v>9</v>
      </c>
      <c r="J1890" t="str">
        <f>TEXT(Ventas[[#This Row],[Fecha_venta]],"yyyy")</f>
        <v>2010</v>
      </c>
    </row>
    <row r="1891" spans="1:10" x14ac:dyDescent="0.25">
      <c r="A1891">
        <v>14</v>
      </c>
      <c r="B1891" s="1">
        <v>40452</v>
      </c>
      <c r="C1891">
        <v>0</v>
      </c>
      <c r="D1891">
        <v>70.58</v>
      </c>
      <c r="E1891">
        <v>2.7069999999999999</v>
      </c>
      <c r="F1891">
        <v>182.71683849999999</v>
      </c>
      <c r="G1891">
        <v>1855703.66</v>
      </c>
      <c r="H1891" t="str">
        <f>TEXT(Ventas[[#This Row],[Fecha_venta]],"dd")</f>
        <v>01</v>
      </c>
      <c r="I1891" t="str">
        <f>TEXT(Ventas[[#This Row],[Fecha_venta]],"m")</f>
        <v>10</v>
      </c>
      <c r="J1891" t="str">
        <f>TEXT(Ventas[[#This Row],[Fecha_venta]],"yyyy")</f>
        <v>2010</v>
      </c>
    </row>
    <row r="1892" spans="1:10" x14ac:dyDescent="0.25">
      <c r="A1892">
        <v>14</v>
      </c>
      <c r="B1892" s="1">
        <v>40459</v>
      </c>
      <c r="C1892">
        <v>0</v>
      </c>
      <c r="D1892">
        <v>56.49</v>
      </c>
      <c r="E1892">
        <v>2.7639999999999998</v>
      </c>
      <c r="F1892">
        <v>182.76400319999999</v>
      </c>
      <c r="G1892">
        <v>2091663.2</v>
      </c>
      <c r="H1892" t="str">
        <f>TEXT(Ventas[[#This Row],[Fecha_venta]],"dd")</f>
        <v>08</v>
      </c>
      <c r="I1892" t="str">
        <f>TEXT(Ventas[[#This Row],[Fecha_venta]],"m")</f>
        <v>10</v>
      </c>
      <c r="J1892" t="str">
        <f>TEXT(Ventas[[#This Row],[Fecha_venta]],"yyyy")</f>
        <v>2010</v>
      </c>
    </row>
    <row r="1893" spans="1:10" x14ac:dyDescent="0.25">
      <c r="A1893">
        <v>14</v>
      </c>
      <c r="B1893" s="1">
        <v>40466</v>
      </c>
      <c r="C1893">
        <v>0</v>
      </c>
      <c r="D1893">
        <v>58.61</v>
      </c>
      <c r="E1893">
        <v>2.8679999999999999</v>
      </c>
      <c r="F1893">
        <v>182.81062030000001</v>
      </c>
      <c r="G1893">
        <v>1932162.63</v>
      </c>
      <c r="H1893" t="str">
        <f>TEXT(Ventas[[#This Row],[Fecha_venta]],"dd")</f>
        <v>15</v>
      </c>
      <c r="I1893" t="str">
        <f>TEXT(Ventas[[#This Row],[Fecha_venta]],"m")</f>
        <v>10</v>
      </c>
      <c r="J1893" t="str">
        <f>TEXT(Ventas[[#This Row],[Fecha_venta]],"yyyy")</f>
        <v>2010</v>
      </c>
    </row>
    <row r="1894" spans="1:10" x14ac:dyDescent="0.25">
      <c r="A1894">
        <v>14</v>
      </c>
      <c r="B1894" s="1">
        <v>40473</v>
      </c>
      <c r="C1894">
        <v>0</v>
      </c>
      <c r="D1894">
        <v>53.15</v>
      </c>
      <c r="E1894">
        <v>2.9169999999999998</v>
      </c>
      <c r="F1894">
        <v>182.85586850000001</v>
      </c>
      <c r="G1894">
        <v>1936621.09</v>
      </c>
      <c r="H1894" t="str">
        <f>TEXT(Ventas[[#This Row],[Fecha_venta]],"dd")</f>
        <v>22</v>
      </c>
      <c r="I1894" t="str">
        <f>TEXT(Ventas[[#This Row],[Fecha_venta]],"m")</f>
        <v>10</v>
      </c>
      <c r="J1894" t="str">
        <f>TEXT(Ventas[[#This Row],[Fecha_venta]],"yyyy")</f>
        <v>2010</v>
      </c>
    </row>
    <row r="1895" spans="1:10" x14ac:dyDescent="0.25">
      <c r="A1895">
        <v>14</v>
      </c>
      <c r="B1895" s="1">
        <v>40480</v>
      </c>
      <c r="C1895">
        <v>0</v>
      </c>
      <c r="D1895">
        <v>61.3</v>
      </c>
      <c r="E1895">
        <v>2.9209999999999998</v>
      </c>
      <c r="F1895">
        <v>182.90111659999999</v>
      </c>
      <c r="G1895">
        <v>1984768.34</v>
      </c>
      <c r="H1895" t="str">
        <f>TEXT(Ventas[[#This Row],[Fecha_venta]],"dd")</f>
        <v>29</v>
      </c>
      <c r="I1895" t="str">
        <f>TEXT(Ventas[[#This Row],[Fecha_venta]],"m")</f>
        <v>10</v>
      </c>
      <c r="J1895" t="str">
        <f>TEXT(Ventas[[#This Row],[Fecha_venta]],"yyyy")</f>
        <v>2010</v>
      </c>
    </row>
    <row r="1896" spans="1:10" x14ac:dyDescent="0.25">
      <c r="A1896">
        <v>14</v>
      </c>
      <c r="B1896" s="1">
        <v>40487</v>
      </c>
      <c r="C1896">
        <v>0</v>
      </c>
      <c r="D1896">
        <v>45.65</v>
      </c>
      <c r="E1896">
        <v>2.9169999999999998</v>
      </c>
      <c r="F1896">
        <v>182.9463648</v>
      </c>
      <c r="G1896">
        <v>2078417.47</v>
      </c>
      <c r="H1896" t="str">
        <f>TEXT(Ventas[[#This Row],[Fecha_venta]],"dd")</f>
        <v>05</v>
      </c>
      <c r="I1896" t="str">
        <f>TEXT(Ventas[[#This Row],[Fecha_venta]],"m")</f>
        <v>11</v>
      </c>
      <c r="J1896" t="str">
        <f>TEXT(Ventas[[#This Row],[Fecha_venta]],"yyyy")</f>
        <v>2010</v>
      </c>
    </row>
    <row r="1897" spans="1:10" x14ac:dyDescent="0.25">
      <c r="A1897">
        <v>14</v>
      </c>
      <c r="B1897" s="1">
        <v>40494</v>
      </c>
      <c r="C1897">
        <v>0</v>
      </c>
      <c r="D1897">
        <v>46.14</v>
      </c>
      <c r="E1897">
        <v>2.931</v>
      </c>
      <c r="F1897">
        <v>182.99161290000001</v>
      </c>
      <c r="G1897">
        <v>2092189.06</v>
      </c>
      <c r="H1897" t="str">
        <f>TEXT(Ventas[[#This Row],[Fecha_venta]],"dd")</f>
        <v>12</v>
      </c>
      <c r="I1897" t="str">
        <f>TEXT(Ventas[[#This Row],[Fecha_venta]],"m")</f>
        <v>11</v>
      </c>
      <c r="J1897" t="str">
        <f>TEXT(Ventas[[#This Row],[Fecha_venta]],"yyyy")</f>
        <v>2010</v>
      </c>
    </row>
    <row r="1898" spans="1:10" x14ac:dyDescent="0.25">
      <c r="A1898">
        <v>14</v>
      </c>
      <c r="B1898" s="1">
        <v>40501</v>
      </c>
      <c r="C1898">
        <v>0</v>
      </c>
      <c r="D1898">
        <v>50.02</v>
      </c>
      <c r="E1898">
        <v>3</v>
      </c>
      <c r="F1898">
        <v>182.89893850000001</v>
      </c>
      <c r="G1898">
        <v>1968462.58</v>
      </c>
      <c r="H1898" t="str">
        <f>TEXT(Ventas[[#This Row],[Fecha_venta]],"dd")</f>
        <v>19</v>
      </c>
      <c r="I1898" t="str">
        <f>TEXT(Ventas[[#This Row],[Fecha_venta]],"m")</f>
        <v>11</v>
      </c>
      <c r="J1898" t="str">
        <f>TEXT(Ventas[[#This Row],[Fecha_venta]],"yyyy")</f>
        <v>2010</v>
      </c>
    </row>
    <row r="1899" spans="1:10" x14ac:dyDescent="0.25">
      <c r="A1899">
        <v>14</v>
      </c>
      <c r="B1899" s="1">
        <v>40508</v>
      </c>
      <c r="C1899">
        <v>1</v>
      </c>
      <c r="D1899">
        <v>46.15</v>
      </c>
      <c r="E1899">
        <v>3.0390000000000001</v>
      </c>
      <c r="F1899">
        <v>182.7832769</v>
      </c>
      <c r="G1899">
        <v>2921709.71</v>
      </c>
      <c r="H1899" t="str">
        <f>TEXT(Ventas[[#This Row],[Fecha_venta]],"dd")</f>
        <v>26</v>
      </c>
      <c r="I1899" t="str">
        <f>TEXT(Ventas[[#This Row],[Fecha_venta]],"m")</f>
        <v>11</v>
      </c>
      <c r="J1899" t="str">
        <f>TEXT(Ventas[[#This Row],[Fecha_venta]],"yyyy")</f>
        <v>2010</v>
      </c>
    </row>
    <row r="1900" spans="1:10" x14ac:dyDescent="0.25">
      <c r="A1900">
        <v>14</v>
      </c>
      <c r="B1900" s="1">
        <v>40515</v>
      </c>
      <c r="C1900">
        <v>0</v>
      </c>
      <c r="D1900">
        <v>40.93</v>
      </c>
      <c r="E1900">
        <v>3.0459999999999998</v>
      </c>
      <c r="F1900">
        <v>182.66761539999999</v>
      </c>
      <c r="G1900">
        <v>2258489.63</v>
      </c>
      <c r="H1900" t="str">
        <f>TEXT(Ventas[[#This Row],[Fecha_venta]],"dd")</f>
        <v>03</v>
      </c>
      <c r="I1900" t="str">
        <f>TEXT(Ventas[[#This Row],[Fecha_venta]],"m")</f>
        <v>12</v>
      </c>
      <c r="J1900" t="str">
        <f>TEXT(Ventas[[#This Row],[Fecha_venta]],"yyyy")</f>
        <v>2010</v>
      </c>
    </row>
    <row r="1901" spans="1:10" x14ac:dyDescent="0.25">
      <c r="A1901">
        <v>14</v>
      </c>
      <c r="B1901" s="1">
        <v>40522</v>
      </c>
      <c r="C1901">
        <v>0</v>
      </c>
      <c r="D1901">
        <v>30.54</v>
      </c>
      <c r="E1901">
        <v>3.109</v>
      </c>
      <c r="F1901">
        <v>182.55195380000001</v>
      </c>
      <c r="G1901">
        <v>2600519.2599999998</v>
      </c>
      <c r="H1901" t="str">
        <f>TEXT(Ventas[[#This Row],[Fecha_venta]],"dd")</f>
        <v>10</v>
      </c>
      <c r="I1901" t="str">
        <f>TEXT(Ventas[[#This Row],[Fecha_venta]],"m")</f>
        <v>12</v>
      </c>
      <c r="J1901" t="str">
        <f>TEXT(Ventas[[#This Row],[Fecha_venta]],"yyyy")</f>
        <v>2010</v>
      </c>
    </row>
    <row r="1902" spans="1:10" x14ac:dyDescent="0.25">
      <c r="A1902">
        <v>14</v>
      </c>
      <c r="B1902" s="1">
        <v>40529</v>
      </c>
      <c r="C1902">
        <v>0</v>
      </c>
      <c r="D1902">
        <v>30.51</v>
      </c>
      <c r="E1902">
        <v>3.14</v>
      </c>
      <c r="F1902">
        <v>182.517732</v>
      </c>
      <c r="G1902">
        <v>2762861.41</v>
      </c>
      <c r="H1902" t="str">
        <f>TEXT(Ventas[[#This Row],[Fecha_venta]],"dd")</f>
        <v>17</v>
      </c>
      <c r="I1902" t="str">
        <f>TEXT(Ventas[[#This Row],[Fecha_venta]],"m")</f>
        <v>12</v>
      </c>
      <c r="J1902" t="str">
        <f>TEXT(Ventas[[#This Row],[Fecha_venta]],"yyyy")</f>
        <v>2010</v>
      </c>
    </row>
    <row r="1903" spans="1:10" x14ac:dyDescent="0.25">
      <c r="A1903">
        <v>14</v>
      </c>
      <c r="B1903" s="1">
        <v>40536</v>
      </c>
      <c r="C1903">
        <v>0</v>
      </c>
      <c r="D1903">
        <v>30.59</v>
      </c>
      <c r="E1903">
        <v>3.141</v>
      </c>
      <c r="F1903">
        <v>182.54459</v>
      </c>
      <c r="G1903">
        <v>3818686.45</v>
      </c>
      <c r="H1903" t="str">
        <f>TEXT(Ventas[[#This Row],[Fecha_venta]],"dd")</f>
        <v>24</v>
      </c>
      <c r="I1903" t="str">
        <f>TEXT(Ventas[[#This Row],[Fecha_venta]],"m")</f>
        <v>12</v>
      </c>
      <c r="J1903" t="str">
        <f>TEXT(Ventas[[#This Row],[Fecha_venta]],"yyyy")</f>
        <v>2010</v>
      </c>
    </row>
    <row r="1904" spans="1:10" x14ac:dyDescent="0.25">
      <c r="A1904">
        <v>14</v>
      </c>
      <c r="B1904" s="1">
        <v>40543</v>
      </c>
      <c r="C1904">
        <v>1</v>
      </c>
      <c r="D1904">
        <v>29.67</v>
      </c>
      <c r="E1904">
        <v>3.1789999999999998</v>
      </c>
      <c r="F1904">
        <v>182.57144790000001</v>
      </c>
      <c r="G1904">
        <v>1623716.46</v>
      </c>
      <c r="H1904" t="str">
        <f>TEXT(Ventas[[#This Row],[Fecha_venta]],"dd")</f>
        <v>31</v>
      </c>
      <c r="I1904" t="str">
        <f>TEXT(Ventas[[#This Row],[Fecha_venta]],"m")</f>
        <v>12</v>
      </c>
      <c r="J1904" t="str">
        <f>TEXT(Ventas[[#This Row],[Fecha_venta]],"yyyy")</f>
        <v>2010</v>
      </c>
    </row>
    <row r="1905" spans="1:10" x14ac:dyDescent="0.25">
      <c r="A1905">
        <v>14</v>
      </c>
      <c r="B1905" s="1">
        <v>40550</v>
      </c>
      <c r="C1905">
        <v>0</v>
      </c>
      <c r="D1905">
        <v>34.32</v>
      </c>
      <c r="E1905">
        <v>3.1930000000000001</v>
      </c>
      <c r="F1905">
        <v>182.59830579999999</v>
      </c>
      <c r="G1905">
        <v>1864746.1</v>
      </c>
      <c r="H1905" t="str">
        <f>TEXT(Ventas[[#This Row],[Fecha_venta]],"dd")</f>
        <v>07</v>
      </c>
      <c r="I1905" t="str">
        <f>TEXT(Ventas[[#This Row],[Fecha_venta]],"m")</f>
        <v>1</v>
      </c>
      <c r="J1905" t="str">
        <f>TEXT(Ventas[[#This Row],[Fecha_venta]],"yyyy")</f>
        <v>2011</v>
      </c>
    </row>
    <row r="1906" spans="1:10" x14ac:dyDescent="0.25">
      <c r="A1906">
        <v>14</v>
      </c>
      <c r="B1906" s="1">
        <v>40557</v>
      </c>
      <c r="C1906">
        <v>0</v>
      </c>
      <c r="D1906">
        <v>24.78</v>
      </c>
      <c r="E1906">
        <v>3.2050000000000001</v>
      </c>
      <c r="F1906">
        <v>182.65857819999999</v>
      </c>
      <c r="G1906">
        <v>1699095.9</v>
      </c>
      <c r="H1906" t="str">
        <f>TEXT(Ventas[[#This Row],[Fecha_venta]],"dd")</f>
        <v>14</v>
      </c>
      <c r="I1906" t="str">
        <f>TEXT(Ventas[[#This Row],[Fecha_venta]],"m")</f>
        <v>1</v>
      </c>
      <c r="J1906" t="str">
        <f>TEXT(Ventas[[#This Row],[Fecha_venta]],"yyyy")</f>
        <v>2011</v>
      </c>
    </row>
    <row r="1907" spans="1:10" x14ac:dyDescent="0.25">
      <c r="A1907">
        <v>14</v>
      </c>
      <c r="B1907" s="1">
        <v>40564</v>
      </c>
      <c r="C1907">
        <v>0</v>
      </c>
      <c r="D1907">
        <v>30.55</v>
      </c>
      <c r="E1907">
        <v>3.2290000000000001</v>
      </c>
      <c r="F1907">
        <v>182.9193368</v>
      </c>
      <c r="G1907">
        <v>1743188.87</v>
      </c>
      <c r="H1907" t="str">
        <f>TEXT(Ventas[[#This Row],[Fecha_venta]],"dd")</f>
        <v>21</v>
      </c>
      <c r="I1907" t="str">
        <f>TEXT(Ventas[[#This Row],[Fecha_venta]],"m")</f>
        <v>1</v>
      </c>
      <c r="J1907" t="str">
        <f>TEXT(Ventas[[#This Row],[Fecha_venta]],"yyyy")</f>
        <v>2011</v>
      </c>
    </row>
    <row r="1908" spans="1:10" x14ac:dyDescent="0.25">
      <c r="A1908">
        <v>14</v>
      </c>
      <c r="B1908" s="1">
        <v>40571</v>
      </c>
      <c r="C1908">
        <v>0</v>
      </c>
      <c r="D1908">
        <v>24.05</v>
      </c>
      <c r="E1908">
        <v>3.2370000000000001</v>
      </c>
      <c r="F1908">
        <v>183.18009549999999</v>
      </c>
      <c r="G1908">
        <v>1613718.38</v>
      </c>
      <c r="H1908" t="str">
        <f>TEXT(Ventas[[#This Row],[Fecha_venta]],"dd")</f>
        <v>28</v>
      </c>
      <c r="I1908" t="str">
        <f>TEXT(Ventas[[#This Row],[Fecha_venta]],"m")</f>
        <v>1</v>
      </c>
      <c r="J1908" t="str">
        <f>TEXT(Ventas[[#This Row],[Fecha_venta]],"yyyy")</f>
        <v>2011</v>
      </c>
    </row>
    <row r="1909" spans="1:10" x14ac:dyDescent="0.25">
      <c r="A1909">
        <v>14</v>
      </c>
      <c r="B1909" s="1">
        <v>40578</v>
      </c>
      <c r="C1909">
        <v>0</v>
      </c>
      <c r="D1909">
        <v>28.73</v>
      </c>
      <c r="E1909">
        <v>3.2309999999999999</v>
      </c>
      <c r="F1909">
        <v>183.44085419999999</v>
      </c>
      <c r="G1909">
        <v>1995891.87</v>
      </c>
      <c r="H1909" t="str">
        <f>TEXT(Ventas[[#This Row],[Fecha_venta]],"dd")</f>
        <v>04</v>
      </c>
      <c r="I1909" t="str">
        <f>TEXT(Ventas[[#This Row],[Fecha_venta]],"m")</f>
        <v>2</v>
      </c>
      <c r="J1909" t="str">
        <f>TEXT(Ventas[[#This Row],[Fecha_venta]],"yyyy")</f>
        <v>2011</v>
      </c>
    </row>
    <row r="1910" spans="1:10" x14ac:dyDescent="0.25">
      <c r="A1910">
        <v>14</v>
      </c>
      <c r="B1910" s="1">
        <v>40585</v>
      </c>
      <c r="C1910">
        <v>1</v>
      </c>
      <c r="D1910">
        <v>30.3</v>
      </c>
      <c r="E1910">
        <v>3.2389999999999999</v>
      </c>
      <c r="F1910">
        <v>183.70161289999999</v>
      </c>
      <c r="G1910">
        <v>1980405.03</v>
      </c>
      <c r="H1910" t="str">
        <f>TEXT(Ventas[[#This Row],[Fecha_venta]],"dd")</f>
        <v>11</v>
      </c>
      <c r="I1910" t="str">
        <f>TEXT(Ventas[[#This Row],[Fecha_venta]],"m")</f>
        <v>2</v>
      </c>
      <c r="J1910" t="str">
        <f>TEXT(Ventas[[#This Row],[Fecha_venta]],"yyyy")</f>
        <v>2011</v>
      </c>
    </row>
    <row r="1911" spans="1:10" x14ac:dyDescent="0.25">
      <c r="A1911">
        <v>14</v>
      </c>
      <c r="B1911" s="1">
        <v>40592</v>
      </c>
      <c r="C1911">
        <v>0</v>
      </c>
      <c r="D1911">
        <v>40.700000000000003</v>
      </c>
      <c r="E1911">
        <v>3.2450000000000001</v>
      </c>
      <c r="F1911">
        <v>183.93713529999999</v>
      </c>
      <c r="G1911">
        <v>2019031.67</v>
      </c>
      <c r="H1911" t="str">
        <f>TEXT(Ventas[[#This Row],[Fecha_venta]],"dd")</f>
        <v>18</v>
      </c>
      <c r="I1911" t="str">
        <f>TEXT(Ventas[[#This Row],[Fecha_venta]],"m")</f>
        <v>2</v>
      </c>
      <c r="J1911" t="str">
        <f>TEXT(Ventas[[#This Row],[Fecha_venta]],"yyyy")</f>
        <v>2011</v>
      </c>
    </row>
    <row r="1912" spans="1:10" x14ac:dyDescent="0.25">
      <c r="A1912">
        <v>14</v>
      </c>
      <c r="B1912" s="1">
        <v>40599</v>
      </c>
      <c r="C1912">
        <v>0</v>
      </c>
      <c r="D1912">
        <v>35.78</v>
      </c>
      <c r="E1912">
        <v>3.274</v>
      </c>
      <c r="F1912">
        <v>184.16256319999999</v>
      </c>
      <c r="G1912">
        <v>1875708.88</v>
      </c>
      <c r="H1912" t="str">
        <f>TEXT(Ventas[[#This Row],[Fecha_venta]],"dd")</f>
        <v>25</v>
      </c>
      <c r="I1912" t="str">
        <f>TEXT(Ventas[[#This Row],[Fecha_venta]],"m")</f>
        <v>2</v>
      </c>
      <c r="J1912" t="str">
        <f>TEXT(Ventas[[#This Row],[Fecha_venta]],"yyyy")</f>
        <v>2011</v>
      </c>
    </row>
    <row r="1913" spans="1:10" x14ac:dyDescent="0.25">
      <c r="A1913">
        <v>14</v>
      </c>
      <c r="B1913" s="1">
        <v>40606</v>
      </c>
      <c r="C1913">
        <v>0</v>
      </c>
      <c r="D1913">
        <v>38.65</v>
      </c>
      <c r="E1913">
        <v>3.4329999999999998</v>
      </c>
      <c r="F1913">
        <v>184.38799109999999</v>
      </c>
      <c r="G1913">
        <v>2041215.61</v>
      </c>
      <c r="H1913" t="str">
        <f>TEXT(Ventas[[#This Row],[Fecha_venta]],"dd")</f>
        <v>04</v>
      </c>
      <c r="I1913" t="str">
        <f>TEXT(Ventas[[#This Row],[Fecha_venta]],"m")</f>
        <v>3</v>
      </c>
      <c r="J1913" t="str">
        <f>TEXT(Ventas[[#This Row],[Fecha_venta]],"yyyy")</f>
        <v>2011</v>
      </c>
    </row>
    <row r="1914" spans="1:10" x14ac:dyDescent="0.25">
      <c r="A1914">
        <v>14</v>
      </c>
      <c r="B1914" s="1">
        <v>40613</v>
      </c>
      <c r="C1914">
        <v>0</v>
      </c>
      <c r="D1914">
        <v>45.01</v>
      </c>
      <c r="E1914">
        <v>3.5819999999999999</v>
      </c>
      <c r="F1914">
        <v>184.61341899999999</v>
      </c>
      <c r="G1914">
        <v>1931104.67</v>
      </c>
      <c r="H1914" t="str">
        <f>TEXT(Ventas[[#This Row],[Fecha_venta]],"dd")</f>
        <v>11</v>
      </c>
      <c r="I1914" t="str">
        <f>TEXT(Ventas[[#This Row],[Fecha_venta]],"m")</f>
        <v>3</v>
      </c>
      <c r="J1914" t="str">
        <f>TEXT(Ventas[[#This Row],[Fecha_venta]],"yyyy")</f>
        <v>2011</v>
      </c>
    </row>
    <row r="1915" spans="1:10" x14ac:dyDescent="0.25">
      <c r="A1915">
        <v>14</v>
      </c>
      <c r="B1915" s="1">
        <v>40620</v>
      </c>
      <c r="C1915">
        <v>0</v>
      </c>
      <c r="D1915">
        <v>46.66</v>
      </c>
      <c r="E1915">
        <v>3.6309999999999998</v>
      </c>
      <c r="F1915">
        <v>184.809719</v>
      </c>
      <c r="G1915">
        <v>1932491.42</v>
      </c>
      <c r="H1915" t="str">
        <f>TEXT(Ventas[[#This Row],[Fecha_venta]],"dd")</f>
        <v>18</v>
      </c>
      <c r="I1915" t="str">
        <f>TEXT(Ventas[[#This Row],[Fecha_venta]],"m")</f>
        <v>3</v>
      </c>
      <c r="J1915" t="str">
        <f>TEXT(Ventas[[#This Row],[Fecha_venta]],"yyyy")</f>
        <v>2011</v>
      </c>
    </row>
    <row r="1916" spans="1:10" x14ac:dyDescent="0.25">
      <c r="A1916">
        <v>14</v>
      </c>
      <c r="B1916" s="1">
        <v>40627</v>
      </c>
      <c r="C1916">
        <v>0</v>
      </c>
      <c r="D1916">
        <v>41.76</v>
      </c>
      <c r="E1916">
        <v>3.625</v>
      </c>
      <c r="F1916">
        <v>184.99436789999999</v>
      </c>
      <c r="G1916">
        <v>1879451.23</v>
      </c>
      <c r="H1916" t="str">
        <f>TEXT(Ventas[[#This Row],[Fecha_venta]],"dd")</f>
        <v>25</v>
      </c>
      <c r="I1916" t="str">
        <f>TEXT(Ventas[[#This Row],[Fecha_venta]],"m")</f>
        <v>3</v>
      </c>
      <c r="J1916" t="str">
        <f>TEXT(Ventas[[#This Row],[Fecha_venta]],"yyyy")</f>
        <v>2011</v>
      </c>
    </row>
    <row r="1917" spans="1:10" x14ac:dyDescent="0.25">
      <c r="A1917">
        <v>14</v>
      </c>
      <c r="B1917" s="1">
        <v>40634</v>
      </c>
      <c r="C1917">
        <v>0</v>
      </c>
      <c r="D1917">
        <v>37.270000000000003</v>
      </c>
      <c r="E1917">
        <v>3.6379999999999999</v>
      </c>
      <c r="F1917">
        <v>185.17901670000001</v>
      </c>
      <c r="G1917">
        <v>1869110.55</v>
      </c>
      <c r="H1917" t="str">
        <f>TEXT(Ventas[[#This Row],[Fecha_venta]],"dd")</f>
        <v>01</v>
      </c>
      <c r="I1917" t="str">
        <f>TEXT(Ventas[[#This Row],[Fecha_venta]],"m")</f>
        <v>4</v>
      </c>
      <c r="J1917" t="str">
        <f>TEXT(Ventas[[#This Row],[Fecha_venta]],"yyyy")</f>
        <v>2011</v>
      </c>
    </row>
    <row r="1918" spans="1:10" x14ac:dyDescent="0.25">
      <c r="A1918">
        <v>14</v>
      </c>
      <c r="B1918" s="1">
        <v>40641</v>
      </c>
      <c r="C1918">
        <v>0</v>
      </c>
      <c r="D1918">
        <v>48.71</v>
      </c>
      <c r="E1918">
        <v>3.72</v>
      </c>
      <c r="F1918">
        <v>185.36366559999999</v>
      </c>
      <c r="G1918">
        <v>2037798.88</v>
      </c>
      <c r="H1918" t="str">
        <f>TEXT(Ventas[[#This Row],[Fecha_venta]],"dd")</f>
        <v>08</v>
      </c>
      <c r="I1918" t="str">
        <f>TEXT(Ventas[[#This Row],[Fecha_venta]],"m")</f>
        <v>4</v>
      </c>
      <c r="J1918" t="str">
        <f>TEXT(Ventas[[#This Row],[Fecha_venta]],"yyyy")</f>
        <v>2011</v>
      </c>
    </row>
    <row r="1919" spans="1:10" x14ac:dyDescent="0.25">
      <c r="A1919">
        <v>14</v>
      </c>
      <c r="B1919" s="1">
        <v>40648</v>
      </c>
      <c r="C1919">
        <v>0</v>
      </c>
      <c r="D1919">
        <v>53.69</v>
      </c>
      <c r="E1919">
        <v>3.8210000000000002</v>
      </c>
      <c r="F1919">
        <v>185.5339821</v>
      </c>
      <c r="G1919">
        <v>1974960.86</v>
      </c>
      <c r="H1919" t="str">
        <f>TEXT(Ventas[[#This Row],[Fecha_venta]],"dd")</f>
        <v>15</v>
      </c>
      <c r="I1919" t="str">
        <f>TEXT(Ventas[[#This Row],[Fecha_venta]],"m")</f>
        <v>4</v>
      </c>
      <c r="J1919" t="str">
        <f>TEXT(Ventas[[#This Row],[Fecha_venta]],"yyyy")</f>
        <v>2011</v>
      </c>
    </row>
    <row r="1920" spans="1:10" x14ac:dyDescent="0.25">
      <c r="A1920">
        <v>14</v>
      </c>
      <c r="B1920" s="1">
        <v>40655</v>
      </c>
      <c r="C1920">
        <v>0</v>
      </c>
      <c r="D1920">
        <v>53.04</v>
      </c>
      <c r="E1920">
        <v>3.8919999999999999</v>
      </c>
      <c r="F1920">
        <v>185.6684673</v>
      </c>
      <c r="G1920">
        <v>2256461.39</v>
      </c>
      <c r="H1920" t="str">
        <f>TEXT(Ventas[[#This Row],[Fecha_venta]],"dd")</f>
        <v>22</v>
      </c>
      <c r="I1920" t="str">
        <f>TEXT(Ventas[[#This Row],[Fecha_venta]],"m")</f>
        <v>4</v>
      </c>
      <c r="J1920" t="str">
        <f>TEXT(Ventas[[#This Row],[Fecha_venta]],"yyyy")</f>
        <v>2011</v>
      </c>
    </row>
    <row r="1921" spans="1:10" x14ac:dyDescent="0.25">
      <c r="A1921">
        <v>14</v>
      </c>
      <c r="B1921" s="1">
        <v>40662</v>
      </c>
      <c r="C1921">
        <v>0</v>
      </c>
      <c r="D1921">
        <v>66.180000000000007</v>
      </c>
      <c r="E1921">
        <v>3.9620000000000002</v>
      </c>
      <c r="F1921">
        <v>185.8029526</v>
      </c>
      <c r="G1921">
        <v>1930617.64</v>
      </c>
      <c r="H1921" t="str">
        <f>TEXT(Ventas[[#This Row],[Fecha_venta]],"dd")</f>
        <v>29</v>
      </c>
      <c r="I1921" t="str">
        <f>TEXT(Ventas[[#This Row],[Fecha_venta]],"m")</f>
        <v>4</v>
      </c>
      <c r="J1921" t="str">
        <f>TEXT(Ventas[[#This Row],[Fecha_venta]],"yyyy")</f>
        <v>2011</v>
      </c>
    </row>
    <row r="1922" spans="1:10" x14ac:dyDescent="0.25">
      <c r="A1922">
        <v>14</v>
      </c>
      <c r="B1922" s="1">
        <v>40669</v>
      </c>
      <c r="C1922">
        <v>0</v>
      </c>
      <c r="D1922">
        <v>58.21</v>
      </c>
      <c r="E1922">
        <v>4.0460000000000003</v>
      </c>
      <c r="F1922">
        <v>185.9374378</v>
      </c>
      <c r="G1922">
        <v>2095599.93</v>
      </c>
      <c r="H1922" t="str">
        <f>TEXT(Ventas[[#This Row],[Fecha_venta]],"dd")</f>
        <v>06</v>
      </c>
      <c r="I1922" t="str">
        <f>TEXT(Ventas[[#This Row],[Fecha_venta]],"m")</f>
        <v>5</v>
      </c>
      <c r="J1922" t="str">
        <f>TEXT(Ventas[[#This Row],[Fecha_venta]],"yyyy")</f>
        <v>2011</v>
      </c>
    </row>
    <row r="1923" spans="1:10" x14ac:dyDescent="0.25">
      <c r="A1923">
        <v>14</v>
      </c>
      <c r="B1923" s="1">
        <v>40676</v>
      </c>
      <c r="C1923">
        <v>0</v>
      </c>
      <c r="D1923">
        <v>60.38</v>
      </c>
      <c r="E1923">
        <v>4.0659999999999998</v>
      </c>
      <c r="F1923">
        <v>186.07192309999999</v>
      </c>
      <c r="G1923">
        <v>2004330.3</v>
      </c>
      <c r="H1923" t="str">
        <f>TEXT(Ventas[[#This Row],[Fecha_venta]],"dd")</f>
        <v>13</v>
      </c>
      <c r="I1923" t="str">
        <f>TEXT(Ventas[[#This Row],[Fecha_venta]],"m")</f>
        <v>5</v>
      </c>
      <c r="J1923" t="str">
        <f>TEXT(Ventas[[#This Row],[Fecha_venta]],"yyyy")</f>
        <v>2011</v>
      </c>
    </row>
    <row r="1924" spans="1:10" x14ac:dyDescent="0.25">
      <c r="A1924">
        <v>14</v>
      </c>
      <c r="B1924" s="1">
        <v>40683</v>
      </c>
      <c r="C1924">
        <v>0</v>
      </c>
      <c r="D1924">
        <v>62.28</v>
      </c>
      <c r="E1924">
        <v>4.0620000000000003</v>
      </c>
      <c r="F1924">
        <v>185.96611540000001</v>
      </c>
      <c r="G1924">
        <v>1959967.8</v>
      </c>
      <c r="H1924" t="str">
        <f>TEXT(Ventas[[#This Row],[Fecha_venta]],"dd")</f>
        <v>20</v>
      </c>
      <c r="I1924" t="str">
        <f>TEXT(Ventas[[#This Row],[Fecha_venta]],"m")</f>
        <v>5</v>
      </c>
      <c r="J1924" t="str">
        <f>TEXT(Ventas[[#This Row],[Fecha_venta]],"yyyy")</f>
        <v>2011</v>
      </c>
    </row>
    <row r="1925" spans="1:10" x14ac:dyDescent="0.25">
      <c r="A1925">
        <v>14</v>
      </c>
      <c r="B1925" s="1">
        <v>40690</v>
      </c>
      <c r="C1925">
        <v>0</v>
      </c>
      <c r="D1925">
        <v>69.7</v>
      </c>
      <c r="E1925">
        <v>3.9849999999999999</v>
      </c>
      <c r="F1925">
        <v>185.86030769999999</v>
      </c>
      <c r="G1925">
        <v>2080694.24</v>
      </c>
      <c r="H1925" t="str">
        <f>TEXT(Ventas[[#This Row],[Fecha_venta]],"dd")</f>
        <v>27</v>
      </c>
      <c r="I1925" t="str">
        <f>TEXT(Ventas[[#This Row],[Fecha_venta]],"m")</f>
        <v>5</v>
      </c>
      <c r="J1925" t="str">
        <f>TEXT(Ventas[[#This Row],[Fecha_venta]],"yyyy")</f>
        <v>2011</v>
      </c>
    </row>
    <row r="1926" spans="1:10" x14ac:dyDescent="0.25">
      <c r="A1926">
        <v>14</v>
      </c>
      <c r="B1926" s="1">
        <v>40697</v>
      </c>
      <c r="C1926">
        <v>0</v>
      </c>
      <c r="D1926">
        <v>76.38</v>
      </c>
      <c r="E1926">
        <v>3.9220000000000002</v>
      </c>
      <c r="F1926">
        <v>185.75450000000001</v>
      </c>
      <c r="G1926">
        <v>2079899.47</v>
      </c>
      <c r="H1926" t="str">
        <f>TEXT(Ventas[[#This Row],[Fecha_venta]],"dd")</f>
        <v>03</v>
      </c>
      <c r="I1926" t="str">
        <f>TEXT(Ventas[[#This Row],[Fecha_venta]],"m")</f>
        <v>6</v>
      </c>
      <c r="J1926" t="str">
        <f>TEXT(Ventas[[#This Row],[Fecha_venta]],"yyyy")</f>
        <v>2011</v>
      </c>
    </row>
    <row r="1927" spans="1:10" x14ac:dyDescent="0.25">
      <c r="A1927">
        <v>14</v>
      </c>
      <c r="B1927" s="1">
        <v>40704</v>
      </c>
      <c r="C1927">
        <v>0</v>
      </c>
      <c r="D1927">
        <v>73.88</v>
      </c>
      <c r="E1927">
        <v>3.8809999999999998</v>
      </c>
      <c r="F1927">
        <v>185.64869229999999</v>
      </c>
      <c r="G1927">
        <v>2132446</v>
      </c>
      <c r="H1927" t="str">
        <f>TEXT(Ventas[[#This Row],[Fecha_venta]],"dd")</f>
        <v>10</v>
      </c>
      <c r="I1927" t="str">
        <f>TEXT(Ventas[[#This Row],[Fecha_venta]],"m")</f>
        <v>6</v>
      </c>
      <c r="J1927" t="str">
        <f>TEXT(Ventas[[#This Row],[Fecha_venta]],"yyyy")</f>
        <v>2011</v>
      </c>
    </row>
    <row r="1928" spans="1:10" x14ac:dyDescent="0.25">
      <c r="A1928">
        <v>14</v>
      </c>
      <c r="B1928" s="1">
        <v>40711</v>
      </c>
      <c r="C1928">
        <v>0</v>
      </c>
      <c r="D1928">
        <v>69.319999999999993</v>
      </c>
      <c r="E1928">
        <v>3.8420000000000001</v>
      </c>
      <c r="F1928">
        <v>185.67193330000001</v>
      </c>
      <c r="G1928">
        <v>2082083.34</v>
      </c>
      <c r="H1928" t="str">
        <f>TEXT(Ventas[[#This Row],[Fecha_venta]],"dd")</f>
        <v>17</v>
      </c>
      <c r="I1928" t="str">
        <f>TEXT(Ventas[[#This Row],[Fecha_venta]],"m")</f>
        <v>6</v>
      </c>
      <c r="J1928" t="str">
        <f>TEXT(Ventas[[#This Row],[Fecha_venta]],"yyyy")</f>
        <v>2011</v>
      </c>
    </row>
    <row r="1929" spans="1:10" x14ac:dyDescent="0.25">
      <c r="A1929">
        <v>14</v>
      </c>
      <c r="B1929" s="1">
        <v>40718</v>
      </c>
      <c r="C1929">
        <v>0</v>
      </c>
      <c r="D1929">
        <v>74.849999999999994</v>
      </c>
      <c r="E1929">
        <v>3.8039999999999998</v>
      </c>
      <c r="F1929">
        <v>185.79196089999999</v>
      </c>
      <c r="G1929">
        <v>2069523.52</v>
      </c>
      <c r="H1929" t="str">
        <f>TEXT(Ventas[[#This Row],[Fecha_venta]],"dd")</f>
        <v>24</v>
      </c>
      <c r="I1929" t="str">
        <f>TEXT(Ventas[[#This Row],[Fecha_venta]],"m")</f>
        <v>6</v>
      </c>
      <c r="J1929" t="str">
        <f>TEXT(Ventas[[#This Row],[Fecha_venta]],"yyyy")</f>
        <v>2011</v>
      </c>
    </row>
    <row r="1930" spans="1:10" x14ac:dyDescent="0.25">
      <c r="A1930">
        <v>14</v>
      </c>
      <c r="B1930" s="1">
        <v>40725</v>
      </c>
      <c r="C1930">
        <v>0</v>
      </c>
      <c r="D1930">
        <v>74.040000000000006</v>
      </c>
      <c r="E1930">
        <v>3.7480000000000002</v>
      </c>
      <c r="F1930">
        <v>185.91198850000001</v>
      </c>
      <c r="G1930">
        <v>2074668.19</v>
      </c>
      <c r="H1930" t="str">
        <f>TEXT(Ventas[[#This Row],[Fecha_venta]],"dd")</f>
        <v>01</v>
      </c>
      <c r="I1930" t="str">
        <f>TEXT(Ventas[[#This Row],[Fecha_venta]],"m")</f>
        <v>7</v>
      </c>
      <c r="J1930" t="str">
        <f>TEXT(Ventas[[#This Row],[Fecha_venta]],"yyyy")</f>
        <v>2011</v>
      </c>
    </row>
    <row r="1931" spans="1:10" x14ac:dyDescent="0.25">
      <c r="A1931">
        <v>14</v>
      </c>
      <c r="B1931" s="1">
        <v>40732</v>
      </c>
      <c r="C1931">
        <v>0</v>
      </c>
      <c r="D1931">
        <v>77.489999999999995</v>
      </c>
      <c r="E1931">
        <v>3.7109999999999999</v>
      </c>
      <c r="F1931">
        <v>186.032016</v>
      </c>
      <c r="G1931">
        <v>2063401.06</v>
      </c>
      <c r="H1931" t="str">
        <f>TEXT(Ventas[[#This Row],[Fecha_venta]],"dd")</f>
        <v>08</v>
      </c>
      <c r="I1931" t="str">
        <f>TEXT(Ventas[[#This Row],[Fecha_venta]],"m")</f>
        <v>7</v>
      </c>
      <c r="J1931" t="str">
        <f>TEXT(Ventas[[#This Row],[Fecha_venta]],"yyyy")</f>
        <v>2011</v>
      </c>
    </row>
    <row r="1932" spans="1:10" x14ac:dyDescent="0.25">
      <c r="A1932">
        <v>14</v>
      </c>
      <c r="B1932" s="1">
        <v>40739</v>
      </c>
      <c r="C1932">
        <v>0</v>
      </c>
      <c r="D1932">
        <v>78.47</v>
      </c>
      <c r="E1932">
        <v>3.76</v>
      </c>
      <c r="F1932">
        <v>186.13998079999999</v>
      </c>
      <c r="G1932">
        <v>1953544.76</v>
      </c>
      <c r="H1932" t="str">
        <f>TEXT(Ventas[[#This Row],[Fecha_venta]],"dd")</f>
        <v>15</v>
      </c>
      <c r="I1932" t="str">
        <f>TEXT(Ventas[[#This Row],[Fecha_venta]],"m")</f>
        <v>7</v>
      </c>
      <c r="J1932" t="str">
        <f>TEXT(Ventas[[#This Row],[Fecha_venta]],"yyyy")</f>
        <v>2011</v>
      </c>
    </row>
    <row r="1933" spans="1:10" x14ac:dyDescent="0.25">
      <c r="A1933">
        <v>14</v>
      </c>
      <c r="B1933" s="1">
        <v>40746</v>
      </c>
      <c r="C1933">
        <v>0</v>
      </c>
      <c r="D1933">
        <v>82.33</v>
      </c>
      <c r="E1933">
        <v>3.8109999999999999</v>
      </c>
      <c r="F1933">
        <v>186.21778850000001</v>
      </c>
      <c r="G1933">
        <v>1882070.88</v>
      </c>
      <c r="H1933" t="str">
        <f>TEXT(Ventas[[#This Row],[Fecha_venta]],"dd")</f>
        <v>22</v>
      </c>
      <c r="I1933" t="str">
        <f>TEXT(Ventas[[#This Row],[Fecha_venta]],"m")</f>
        <v>7</v>
      </c>
      <c r="J1933" t="str">
        <f>TEXT(Ventas[[#This Row],[Fecha_venta]],"yyyy")</f>
        <v>2011</v>
      </c>
    </row>
    <row r="1934" spans="1:10" x14ac:dyDescent="0.25">
      <c r="A1934">
        <v>14</v>
      </c>
      <c r="B1934" s="1">
        <v>40753</v>
      </c>
      <c r="C1934">
        <v>0</v>
      </c>
      <c r="D1934">
        <v>81.31</v>
      </c>
      <c r="E1934">
        <v>3.8290000000000002</v>
      </c>
      <c r="F1934">
        <v>186.29559620000001</v>
      </c>
      <c r="G1934">
        <v>1871021.01</v>
      </c>
      <c r="H1934" t="str">
        <f>TEXT(Ventas[[#This Row],[Fecha_venta]],"dd")</f>
        <v>29</v>
      </c>
      <c r="I1934" t="str">
        <f>TEXT(Ventas[[#This Row],[Fecha_venta]],"m")</f>
        <v>7</v>
      </c>
      <c r="J1934" t="str">
        <f>TEXT(Ventas[[#This Row],[Fecha_venta]],"yyyy")</f>
        <v>2011</v>
      </c>
    </row>
    <row r="1935" spans="1:10" x14ac:dyDescent="0.25">
      <c r="A1935">
        <v>14</v>
      </c>
      <c r="B1935" s="1">
        <v>40760</v>
      </c>
      <c r="C1935">
        <v>0</v>
      </c>
      <c r="D1935">
        <v>78.22</v>
      </c>
      <c r="E1935">
        <v>3.8420000000000001</v>
      </c>
      <c r="F1935">
        <v>186.37340380000001</v>
      </c>
      <c r="G1935">
        <v>2066020.69</v>
      </c>
      <c r="H1935" t="str">
        <f>TEXT(Ventas[[#This Row],[Fecha_venta]],"dd")</f>
        <v>05</v>
      </c>
      <c r="I1935" t="str">
        <f>TEXT(Ventas[[#This Row],[Fecha_venta]],"m")</f>
        <v>8</v>
      </c>
      <c r="J1935" t="str">
        <f>TEXT(Ventas[[#This Row],[Fecha_venta]],"yyyy")</f>
        <v>2011</v>
      </c>
    </row>
    <row r="1936" spans="1:10" x14ac:dyDescent="0.25">
      <c r="A1936">
        <v>14</v>
      </c>
      <c r="B1936" s="1">
        <v>40767</v>
      </c>
      <c r="C1936">
        <v>0</v>
      </c>
      <c r="D1936">
        <v>77</v>
      </c>
      <c r="E1936">
        <v>3.8119999999999998</v>
      </c>
      <c r="F1936">
        <v>186.4512115</v>
      </c>
      <c r="G1936">
        <v>1928773.82</v>
      </c>
      <c r="H1936" t="str">
        <f>TEXT(Ventas[[#This Row],[Fecha_venta]],"dd")</f>
        <v>12</v>
      </c>
      <c r="I1936" t="str">
        <f>TEXT(Ventas[[#This Row],[Fecha_venta]],"m")</f>
        <v>8</v>
      </c>
      <c r="J1936" t="str">
        <f>TEXT(Ventas[[#This Row],[Fecha_venta]],"yyyy")</f>
        <v>2011</v>
      </c>
    </row>
    <row r="1937" spans="1:10" x14ac:dyDescent="0.25">
      <c r="A1937">
        <v>14</v>
      </c>
      <c r="B1937" s="1">
        <v>40774</v>
      </c>
      <c r="C1937">
        <v>0</v>
      </c>
      <c r="D1937">
        <v>72.98</v>
      </c>
      <c r="E1937">
        <v>3.7469999999999999</v>
      </c>
      <c r="F1937">
        <v>186.5093071</v>
      </c>
      <c r="G1937">
        <v>1896873.99</v>
      </c>
      <c r="H1937" t="str">
        <f>TEXT(Ventas[[#This Row],[Fecha_venta]],"dd")</f>
        <v>19</v>
      </c>
      <c r="I1937" t="str">
        <f>TEXT(Ventas[[#This Row],[Fecha_venta]],"m")</f>
        <v>8</v>
      </c>
      <c r="J1937" t="str">
        <f>TEXT(Ventas[[#This Row],[Fecha_venta]],"yyyy")</f>
        <v>2011</v>
      </c>
    </row>
    <row r="1938" spans="1:10" x14ac:dyDescent="0.25">
      <c r="A1938">
        <v>14</v>
      </c>
      <c r="B1938" s="1">
        <v>40781</v>
      </c>
      <c r="C1938">
        <v>0</v>
      </c>
      <c r="D1938">
        <v>72.55</v>
      </c>
      <c r="E1938">
        <v>3.7040000000000002</v>
      </c>
      <c r="F1938">
        <v>186.5641172</v>
      </c>
      <c r="G1938">
        <v>2273470.62</v>
      </c>
      <c r="H1938" t="str">
        <f>TEXT(Ventas[[#This Row],[Fecha_venta]],"dd")</f>
        <v>26</v>
      </c>
      <c r="I1938" t="str">
        <f>TEXT(Ventas[[#This Row],[Fecha_venta]],"m")</f>
        <v>8</v>
      </c>
      <c r="J1938" t="str">
        <f>TEXT(Ventas[[#This Row],[Fecha_venta]],"yyyy")</f>
        <v>2011</v>
      </c>
    </row>
    <row r="1939" spans="1:10" x14ac:dyDescent="0.25">
      <c r="A1939">
        <v>14</v>
      </c>
      <c r="B1939" s="1">
        <v>40788</v>
      </c>
      <c r="C1939">
        <v>0</v>
      </c>
      <c r="D1939">
        <v>70.63</v>
      </c>
      <c r="E1939">
        <v>3.7029999999999998</v>
      </c>
      <c r="F1939">
        <v>186.61892739999999</v>
      </c>
      <c r="G1939">
        <v>1750891.47</v>
      </c>
      <c r="H1939" t="str">
        <f>TEXT(Ventas[[#This Row],[Fecha_venta]],"dd")</f>
        <v>02</v>
      </c>
      <c r="I1939" t="str">
        <f>TEXT(Ventas[[#This Row],[Fecha_venta]],"m")</f>
        <v>9</v>
      </c>
      <c r="J1939" t="str">
        <f>TEXT(Ventas[[#This Row],[Fecha_venta]],"yyyy")</f>
        <v>2011</v>
      </c>
    </row>
    <row r="1940" spans="1:10" x14ac:dyDescent="0.25">
      <c r="A1940">
        <v>14</v>
      </c>
      <c r="B1940" s="1">
        <v>40795</v>
      </c>
      <c r="C1940">
        <v>1</v>
      </c>
      <c r="D1940">
        <v>71.48</v>
      </c>
      <c r="E1940">
        <v>3.738</v>
      </c>
      <c r="F1940">
        <v>186.67373760000001</v>
      </c>
      <c r="G1940">
        <v>2202742.9</v>
      </c>
      <c r="H1940" t="str">
        <f>TEXT(Ventas[[#This Row],[Fecha_venta]],"dd")</f>
        <v>09</v>
      </c>
      <c r="I1940" t="str">
        <f>TEXT(Ventas[[#This Row],[Fecha_venta]],"m")</f>
        <v>9</v>
      </c>
      <c r="J1940" t="str">
        <f>TEXT(Ventas[[#This Row],[Fecha_venta]],"yyyy")</f>
        <v>2011</v>
      </c>
    </row>
    <row r="1941" spans="1:10" x14ac:dyDescent="0.25">
      <c r="A1941">
        <v>14</v>
      </c>
      <c r="B1941" s="1">
        <v>40802</v>
      </c>
      <c r="C1941">
        <v>0</v>
      </c>
      <c r="D1941">
        <v>69.17</v>
      </c>
      <c r="E1941">
        <v>3.742</v>
      </c>
      <c r="F1941">
        <v>186.80240000000001</v>
      </c>
      <c r="G1941">
        <v>1864637.89</v>
      </c>
      <c r="H1941" t="str">
        <f>TEXT(Ventas[[#This Row],[Fecha_venta]],"dd")</f>
        <v>16</v>
      </c>
      <c r="I1941" t="str">
        <f>TEXT(Ventas[[#This Row],[Fecha_venta]],"m")</f>
        <v>9</v>
      </c>
      <c r="J1941" t="str">
        <f>TEXT(Ventas[[#This Row],[Fecha_venta]],"yyyy")</f>
        <v>2011</v>
      </c>
    </row>
    <row r="1942" spans="1:10" x14ac:dyDescent="0.25">
      <c r="A1942">
        <v>14</v>
      </c>
      <c r="B1942" s="1">
        <v>40809</v>
      </c>
      <c r="C1942">
        <v>0</v>
      </c>
      <c r="D1942">
        <v>63.75</v>
      </c>
      <c r="E1942">
        <v>3.7109999999999999</v>
      </c>
      <c r="F1942">
        <v>187.02953210000001</v>
      </c>
      <c r="G1942">
        <v>1871555.64</v>
      </c>
      <c r="H1942" t="str">
        <f>TEXT(Ventas[[#This Row],[Fecha_venta]],"dd")</f>
        <v>23</v>
      </c>
      <c r="I1942" t="str">
        <f>TEXT(Ventas[[#This Row],[Fecha_venta]],"m")</f>
        <v>9</v>
      </c>
      <c r="J1942" t="str">
        <f>TEXT(Ventas[[#This Row],[Fecha_venta]],"yyyy")</f>
        <v>2011</v>
      </c>
    </row>
    <row r="1943" spans="1:10" x14ac:dyDescent="0.25">
      <c r="A1943">
        <v>14</v>
      </c>
      <c r="B1943" s="1">
        <v>40816</v>
      </c>
      <c r="C1943">
        <v>0</v>
      </c>
      <c r="D1943">
        <v>70.66</v>
      </c>
      <c r="E1943">
        <v>3.645</v>
      </c>
      <c r="F1943">
        <v>187.25666409999999</v>
      </c>
      <c r="G1943">
        <v>1809989.29</v>
      </c>
      <c r="H1943" t="str">
        <f>TEXT(Ventas[[#This Row],[Fecha_venta]],"dd")</f>
        <v>30</v>
      </c>
      <c r="I1943" t="str">
        <f>TEXT(Ventas[[#This Row],[Fecha_venta]],"m")</f>
        <v>9</v>
      </c>
      <c r="J1943" t="str">
        <f>TEXT(Ventas[[#This Row],[Fecha_venta]],"yyyy")</f>
        <v>2011</v>
      </c>
    </row>
    <row r="1944" spans="1:10" x14ac:dyDescent="0.25">
      <c r="A1944">
        <v>14</v>
      </c>
      <c r="B1944" s="1">
        <v>40823</v>
      </c>
      <c r="C1944">
        <v>0</v>
      </c>
      <c r="D1944">
        <v>55.82</v>
      </c>
      <c r="E1944">
        <v>3.5830000000000002</v>
      </c>
      <c r="F1944">
        <v>187.4837962</v>
      </c>
      <c r="G1944">
        <v>2078796.76</v>
      </c>
      <c r="H1944" t="str">
        <f>TEXT(Ventas[[#This Row],[Fecha_venta]],"dd")</f>
        <v>07</v>
      </c>
      <c r="I1944" t="str">
        <f>TEXT(Ventas[[#This Row],[Fecha_venta]],"m")</f>
        <v>10</v>
      </c>
      <c r="J1944" t="str">
        <f>TEXT(Ventas[[#This Row],[Fecha_venta]],"yyyy")</f>
        <v>2011</v>
      </c>
    </row>
    <row r="1945" spans="1:10" x14ac:dyDescent="0.25">
      <c r="A1945">
        <v>14</v>
      </c>
      <c r="B1945" s="1">
        <v>40830</v>
      </c>
      <c r="C1945">
        <v>0</v>
      </c>
      <c r="D1945">
        <v>63.82</v>
      </c>
      <c r="E1945">
        <v>3.5409999999999999</v>
      </c>
      <c r="F1945">
        <v>187.69174810000001</v>
      </c>
      <c r="G1945">
        <v>1890870.75</v>
      </c>
      <c r="H1945" t="str">
        <f>TEXT(Ventas[[#This Row],[Fecha_venta]],"dd")</f>
        <v>14</v>
      </c>
      <c r="I1945" t="str">
        <f>TEXT(Ventas[[#This Row],[Fecha_venta]],"m")</f>
        <v>10</v>
      </c>
      <c r="J1945" t="str">
        <f>TEXT(Ventas[[#This Row],[Fecha_venta]],"yyyy")</f>
        <v>2011</v>
      </c>
    </row>
    <row r="1946" spans="1:10" x14ac:dyDescent="0.25">
      <c r="A1946">
        <v>14</v>
      </c>
      <c r="B1946" s="1">
        <v>40837</v>
      </c>
      <c r="C1946">
        <v>0</v>
      </c>
      <c r="D1946">
        <v>59.6</v>
      </c>
      <c r="E1946">
        <v>3.57</v>
      </c>
      <c r="F1946">
        <v>187.78461970000001</v>
      </c>
      <c r="G1946">
        <v>2009004.59</v>
      </c>
      <c r="H1946" t="str">
        <f>TEXT(Ventas[[#This Row],[Fecha_venta]],"dd")</f>
        <v>21</v>
      </c>
      <c r="I1946" t="str">
        <f>TEXT(Ventas[[#This Row],[Fecha_venta]],"m")</f>
        <v>10</v>
      </c>
      <c r="J1946" t="str">
        <f>TEXT(Ventas[[#This Row],[Fecha_venta]],"yyyy")</f>
        <v>2011</v>
      </c>
    </row>
    <row r="1947" spans="1:10" x14ac:dyDescent="0.25">
      <c r="A1947">
        <v>14</v>
      </c>
      <c r="B1947" s="1">
        <v>40844</v>
      </c>
      <c r="C1947">
        <v>0</v>
      </c>
      <c r="D1947">
        <v>51.78</v>
      </c>
      <c r="E1947">
        <v>3.569</v>
      </c>
      <c r="F1947">
        <v>187.8774913</v>
      </c>
      <c r="G1947">
        <v>2056846.12</v>
      </c>
      <c r="H1947" t="str">
        <f>TEXT(Ventas[[#This Row],[Fecha_venta]],"dd")</f>
        <v>28</v>
      </c>
      <c r="I1947" t="str">
        <f>TEXT(Ventas[[#This Row],[Fecha_venta]],"m")</f>
        <v>10</v>
      </c>
      <c r="J1947" t="str">
        <f>TEXT(Ventas[[#This Row],[Fecha_venta]],"yyyy")</f>
        <v>2011</v>
      </c>
    </row>
    <row r="1948" spans="1:10" x14ac:dyDescent="0.25">
      <c r="A1948">
        <v>14</v>
      </c>
      <c r="B1948" s="1">
        <v>40851</v>
      </c>
      <c r="C1948">
        <v>0</v>
      </c>
      <c r="D1948">
        <v>43.92</v>
      </c>
      <c r="E1948">
        <v>3.5510000000000002</v>
      </c>
      <c r="F1948">
        <v>187.9703629</v>
      </c>
      <c r="G1948">
        <v>2174056.71</v>
      </c>
      <c r="H1948" t="str">
        <f>TEXT(Ventas[[#This Row],[Fecha_venta]],"dd")</f>
        <v>04</v>
      </c>
      <c r="I1948" t="str">
        <f>TEXT(Ventas[[#This Row],[Fecha_venta]],"m")</f>
        <v>11</v>
      </c>
      <c r="J1948" t="str">
        <f>TEXT(Ventas[[#This Row],[Fecha_venta]],"yyyy")</f>
        <v>2011</v>
      </c>
    </row>
    <row r="1949" spans="1:10" x14ac:dyDescent="0.25">
      <c r="A1949">
        <v>14</v>
      </c>
      <c r="B1949" s="1">
        <v>40858</v>
      </c>
      <c r="C1949">
        <v>0</v>
      </c>
      <c r="D1949">
        <v>47.65</v>
      </c>
      <c r="E1949">
        <v>3.53</v>
      </c>
      <c r="F1949">
        <v>188.06323449999999</v>
      </c>
      <c r="G1949">
        <v>2081534.65</v>
      </c>
      <c r="H1949" t="str">
        <f>TEXT(Ventas[[#This Row],[Fecha_venta]],"dd")</f>
        <v>11</v>
      </c>
      <c r="I1949" t="str">
        <f>TEXT(Ventas[[#This Row],[Fecha_venta]],"m")</f>
        <v>11</v>
      </c>
      <c r="J1949" t="str">
        <f>TEXT(Ventas[[#This Row],[Fecha_venta]],"yyyy")</f>
        <v>2011</v>
      </c>
    </row>
    <row r="1950" spans="1:10" x14ac:dyDescent="0.25">
      <c r="A1950">
        <v>14</v>
      </c>
      <c r="B1950" s="1">
        <v>40865</v>
      </c>
      <c r="C1950">
        <v>0</v>
      </c>
      <c r="D1950">
        <v>51.34</v>
      </c>
      <c r="E1950">
        <v>3.53</v>
      </c>
      <c r="F1950">
        <v>188.1983654</v>
      </c>
      <c r="G1950">
        <v>1969360.72</v>
      </c>
      <c r="H1950" t="str">
        <f>TEXT(Ventas[[#This Row],[Fecha_venta]],"dd")</f>
        <v>18</v>
      </c>
      <c r="I1950" t="str">
        <f>TEXT(Ventas[[#This Row],[Fecha_venta]],"m")</f>
        <v>11</v>
      </c>
      <c r="J1950" t="str">
        <f>TEXT(Ventas[[#This Row],[Fecha_venta]],"yyyy")</f>
        <v>2011</v>
      </c>
    </row>
    <row r="1951" spans="1:10" x14ac:dyDescent="0.25">
      <c r="A1951">
        <v>14</v>
      </c>
      <c r="B1951" s="1">
        <v>40872</v>
      </c>
      <c r="C1951">
        <v>1</v>
      </c>
      <c r="D1951">
        <v>48.71</v>
      </c>
      <c r="E1951">
        <v>3.492</v>
      </c>
      <c r="F1951">
        <v>188.35040000000001</v>
      </c>
      <c r="G1951">
        <v>2685351.81</v>
      </c>
      <c r="H1951" t="str">
        <f>TEXT(Ventas[[#This Row],[Fecha_venta]],"dd")</f>
        <v>25</v>
      </c>
      <c r="I1951" t="str">
        <f>TEXT(Ventas[[#This Row],[Fecha_venta]],"m")</f>
        <v>11</v>
      </c>
      <c r="J1951" t="str">
        <f>TEXT(Ventas[[#This Row],[Fecha_venta]],"yyyy")</f>
        <v>2011</v>
      </c>
    </row>
    <row r="1952" spans="1:10" x14ac:dyDescent="0.25">
      <c r="A1952">
        <v>14</v>
      </c>
      <c r="B1952" s="1">
        <v>40879</v>
      </c>
      <c r="C1952">
        <v>0</v>
      </c>
      <c r="D1952">
        <v>50.19</v>
      </c>
      <c r="E1952">
        <v>3.452</v>
      </c>
      <c r="F1952">
        <v>188.50243459999999</v>
      </c>
      <c r="G1952">
        <v>2143080.5699999998</v>
      </c>
      <c r="H1952" t="str">
        <f>TEXT(Ventas[[#This Row],[Fecha_venta]],"dd")</f>
        <v>02</v>
      </c>
      <c r="I1952" t="str">
        <f>TEXT(Ventas[[#This Row],[Fecha_venta]],"m")</f>
        <v>12</v>
      </c>
      <c r="J1952" t="str">
        <f>TEXT(Ventas[[#This Row],[Fecha_venta]],"yyyy")</f>
        <v>2011</v>
      </c>
    </row>
    <row r="1953" spans="1:10" x14ac:dyDescent="0.25">
      <c r="A1953">
        <v>14</v>
      </c>
      <c r="B1953" s="1">
        <v>40886</v>
      </c>
      <c r="C1953">
        <v>0</v>
      </c>
      <c r="D1953">
        <v>46.57</v>
      </c>
      <c r="E1953">
        <v>3.415</v>
      </c>
      <c r="F1953">
        <v>188.65446919999999</v>
      </c>
      <c r="G1953">
        <v>2470581.29</v>
      </c>
      <c r="H1953" t="str">
        <f>TEXT(Ventas[[#This Row],[Fecha_venta]],"dd")</f>
        <v>09</v>
      </c>
      <c r="I1953" t="str">
        <f>TEXT(Ventas[[#This Row],[Fecha_venta]],"m")</f>
        <v>12</v>
      </c>
      <c r="J1953" t="str">
        <f>TEXT(Ventas[[#This Row],[Fecha_venta]],"yyyy")</f>
        <v>2011</v>
      </c>
    </row>
    <row r="1954" spans="1:10" x14ac:dyDescent="0.25">
      <c r="A1954">
        <v>14</v>
      </c>
      <c r="B1954" s="1">
        <v>40893</v>
      </c>
      <c r="C1954">
        <v>0</v>
      </c>
      <c r="D1954">
        <v>39.93</v>
      </c>
      <c r="E1954">
        <v>3.4129999999999998</v>
      </c>
      <c r="F1954">
        <v>188.7979349</v>
      </c>
      <c r="G1954">
        <v>2594363.09</v>
      </c>
      <c r="H1954" t="str">
        <f>TEXT(Ventas[[#This Row],[Fecha_venta]],"dd")</f>
        <v>16</v>
      </c>
      <c r="I1954" t="str">
        <f>TEXT(Ventas[[#This Row],[Fecha_venta]],"m")</f>
        <v>12</v>
      </c>
      <c r="J1954" t="str">
        <f>TEXT(Ventas[[#This Row],[Fecha_venta]],"yyyy")</f>
        <v>2011</v>
      </c>
    </row>
    <row r="1955" spans="1:10" x14ac:dyDescent="0.25">
      <c r="A1955">
        <v>14</v>
      </c>
      <c r="B1955" s="1">
        <v>40900</v>
      </c>
      <c r="C1955">
        <v>0</v>
      </c>
      <c r="D1955">
        <v>42.27</v>
      </c>
      <c r="E1955">
        <v>3.3889999999999998</v>
      </c>
      <c r="F1955">
        <v>188.9299752</v>
      </c>
      <c r="G1955">
        <v>3369068.99</v>
      </c>
      <c r="H1955" t="str">
        <f>TEXT(Ventas[[#This Row],[Fecha_venta]],"dd")</f>
        <v>23</v>
      </c>
      <c r="I1955" t="str">
        <f>TEXT(Ventas[[#This Row],[Fecha_venta]],"m")</f>
        <v>12</v>
      </c>
      <c r="J1955" t="str">
        <f>TEXT(Ventas[[#This Row],[Fecha_venta]],"yyyy")</f>
        <v>2011</v>
      </c>
    </row>
    <row r="1956" spans="1:10" x14ac:dyDescent="0.25">
      <c r="A1956">
        <v>14</v>
      </c>
      <c r="B1956" s="1">
        <v>40907</v>
      </c>
      <c r="C1956">
        <v>1</v>
      </c>
      <c r="D1956">
        <v>37.79</v>
      </c>
      <c r="E1956">
        <v>3.3889999999999998</v>
      </c>
      <c r="F1956">
        <v>189.0620155</v>
      </c>
      <c r="G1956">
        <v>1914148.89</v>
      </c>
      <c r="H1956" t="str">
        <f>TEXT(Ventas[[#This Row],[Fecha_venta]],"dd")</f>
        <v>30</v>
      </c>
      <c r="I1956" t="str">
        <f>TEXT(Ventas[[#This Row],[Fecha_venta]],"m")</f>
        <v>12</v>
      </c>
      <c r="J1956" t="str">
        <f>TEXT(Ventas[[#This Row],[Fecha_venta]],"yyyy")</f>
        <v>2011</v>
      </c>
    </row>
    <row r="1957" spans="1:10" x14ac:dyDescent="0.25">
      <c r="A1957">
        <v>14</v>
      </c>
      <c r="B1957" s="1">
        <v>40914</v>
      </c>
      <c r="C1957">
        <v>0</v>
      </c>
      <c r="D1957">
        <v>35.880000000000003</v>
      </c>
      <c r="E1957">
        <v>3.4220000000000002</v>
      </c>
      <c r="F1957">
        <v>189.1940558</v>
      </c>
      <c r="G1957">
        <v>1859144.96</v>
      </c>
      <c r="H1957" t="str">
        <f>TEXT(Ventas[[#This Row],[Fecha_venta]],"dd")</f>
        <v>06</v>
      </c>
      <c r="I1957" t="str">
        <f>TEXT(Ventas[[#This Row],[Fecha_venta]],"m")</f>
        <v>1</v>
      </c>
      <c r="J1957" t="str">
        <f>TEXT(Ventas[[#This Row],[Fecha_venta]],"yyyy")</f>
        <v>2012</v>
      </c>
    </row>
    <row r="1958" spans="1:10" x14ac:dyDescent="0.25">
      <c r="A1958">
        <v>14</v>
      </c>
      <c r="B1958" s="1">
        <v>40921</v>
      </c>
      <c r="C1958">
        <v>0</v>
      </c>
      <c r="D1958">
        <v>41.18</v>
      </c>
      <c r="E1958">
        <v>3.5129999999999999</v>
      </c>
      <c r="F1958">
        <v>189.32609619999999</v>
      </c>
      <c r="G1958">
        <v>1696248.27</v>
      </c>
      <c r="H1958" t="str">
        <f>TEXT(Ventas[[#This Row],[Fecha_venta]],"dd")</f>
        <v>13</v>
      </c>
      <c r="I1958" t="str">
        <f>TEXT(Ventas[[#This Row],[Fecha_venta]],"m")</f>
        <v>1</v>
      </c>
      <c r="J1958" t="str">
        <f>TEXT(Ventas[[#This Row],[Fecha_venta]],"yyyy")</f>
        <v>2012</v>
      </c>
    </row>
    <row r="1959" spans="1:10" x14ac:dyDescent="0.25">
      <c r="A1959">
        <v>14</v>
      </c>
      <c r="B1959" s="1">
        <v>40928</v>
      </c>
      <c r="C1959">
        <v>0</v>
      </c>
      <c r="D1959">
        <v>31.85</v>
      </c>
      <c r="E1959">
        <v>3.5329999999999999</v>
      </c>
      <c r="F1959">
        <v>189.4214733</v>
      </c>
      <c r="G1959">
        <v>1789113.32</v>
      </c>
      <c r="H1959" t="str">
        <f>TEXT(Ventas[[#This Row],[Fecha_venta]],"dd")</f>
        <v>20</v>
      </c>
      <c r="I1959" t="str">
        <f>TEXT(Ventas[[#This Row],[Fecha_venta]],"m")</f>
        <v>1</v>
      </c>
      <c r="J1959" t="str">
        <f>TEXT(Ventas[[#This Row],[Fecha_venta]],"yyyy")</f>
        <v>2012</v>
      </c>
    </row>
    <row r="1960" spans="1:10" x14ac:dyDescent="0.25">
      <c r="A1960">
        <v>14</v>
      </c>
      <c r="B1960" s="1">
        <v>40935</v>
      </c>
      <c r="C1960">
        <v>0</v>
      </c>
      <c r="D1960">
        <v>37.93</v>
      </c>
      <c r="E1960">
        <v>3.5670000000000002</v>
      </c>
      <c r="F1960">
        <v>189.5168505</v>
      </c>
      <c r="G1960">
        <v>1595362.27</v>
      </c>
      <c r="H1960" t="str">
        <f>TEXT(Ventas[[#This Row],[Fecha_venta]],"dd")</f>
        <v>27</v>
      </c>
      <c r="I1960" t="str">
        <f>TEXT(Ventas[[#This Row],[Fecha_venta]],"m")</f>
        <v>1</v>
      </c>
      <c r="J1960" t="str">
        <f>TEXT(Ventas[[#This Row],[Fecha_venta]],"yyyy")</f>
        <v>2012</v>
      </c>
    </row>
    <row r="1961" spans="1:10" x14ac:dyDescent="0.25">
      <c r="A1961">
        <v>14</v>
      </c>
      <c r="B1961" s="1">
        <v>40942</v>
      </c>
      <c r="C1961">
        <v>0</v>
      </c>
      <c r="D1961">
        <v>42.96</v>
      </c>
      <c r="E1961">
        <v>3.617</v>
      </c>
      <c r="F1961">
        <v>189.61222770000001</v>
      </c>
      <c r="G1961">
        <v>1877410.36</v>
      </c>
      <c r="H1961" t="str">
        <f>TEXT(Ventas[[#This Row],[Fecha_venta]],"dd")</f>
        <v>03</v>
      </c>
      <c r="I1961" t="str">
        <f>TEXT(Ventas[[#This Row],[Fecha_venta]],"m")</f>
        <v>2</v>
      </c>
      <c r="J1961" t="str">
        <f>TEXT(Ventas[[#This Row],[Fecha_venta]],"yyyy")</f>
        <v>2012</v>
      </c>
    </row>
    <row r="1962" spans="1:10" x14ac:dyDescent="0.25">
      <c r="A1962">
        <v>14</v>
      </c>
      <c r="B1962" s="1">
        <v>40949</v>
      </c>
      <c r="C1962">
        <v>1</v>
      </c>
      <c r="D1962">
        <v>37</v>
      </c>
      <c r="E1962">
        <v>3.64</v>
      </c>
      <c r="F1962">
        <v>189.70760480000001</v>
      </c>
      <c r="G1962">
        <v>2077256.24</v>
      </c>
      <c r="H1962" t="str">
        <f>TEXT(Ventas[[#This Row],[Fecha_venta]],"dd")</f>
        <v>10</v>
      </c>
      <c r="I1962" t="str">
        <f>TEXT(Ventas[[#This Row],[Fecha_venta]],"m")</f>
        <v>2</v>
      </c>
      <c r="J1962" t="str">
        <f>TEXT(Ventas[[#This Row],[Fecha_venta]],"yyyy")</f>
        <v>2012</v>
      </c>
    </row>
    <row r="1963" spans="1:10" x14ac:dyDescent="0.25">
      <c r="A1963">
        <v>14</v>
      </c>
      <c r="B1963" s="1">
        <v>40956</v>
      </c>
      <c r="C1963">
        <v>0</v>
      </c>
      <c r="D1963">
        <v>36.85</v>
      </c>
      <c r="E1963">
        <v>3.6949999999999998</v>
      </c>
      <c r="F1963">
        <v>189.84248339999999</v>
      </c>
      <c r="G1963">
        <v>2020550.99</v>
      </c>
      <c r="H1963" t="str">
        <f>TEXT(Ventas[[#This Row],[Fecha_venta]],"dd")</f>
        <v>17</v>
      </c>
      <c r="I1963" t="str">
        <f>TEXT(Ventas[[#This Row],[Fecha_venta]],"m")</f>
        <v>2</v>
      </c>
      <c r="J1963" t="str">
        <f>TEXT(Ventas[[#This Row],[Fecha_venta]],"yyyy")</f>
        <v>2012</v>
      </c>
    </row>
    <row r="1964" spans="1:10" x14ac:dyDescent="0.25">
      <c r="A1964">
        <v>14</v>
      </c>
      <c r="B1964" s="1">
        <v>40963</v>
      </c>
      <c r="C1964">
        <v>0</v>
      </c>
      <c r="D1964">
        <v>42.86</v>
      </c>
      <c r="E1964">
        <v>3.7389999999999999</v>
      </c>
      <c r="F1964">
        <v>190.0069881</v>
      </c>
      <c r="G1964">
        <v>1875040.16</v>
      </c>
      <c r="H1964" t="str">
        <f>TEXT(Ventas[[#This Row],[Fecha_venta]],"dd")</f>
        <v>24</v>
      </c>
      <c r="I1964" t="str">
        <f>TEXT(Ventas[[#This Row],[Fecha_venta]],"m")</f>
        <v>2</v>
      </c>
      <c r="J1964" t="str">
        <f>TEXT(Ventas[[#This Row],[Fecha_venta]],"yyyy")</f>
        <v>2012</v>
      </c>
    </row>
    <row r="1965" spans="1:10" x14ac:dyDescent="0.25">
      <c r="A1965">
        <v>14</v>
      </c>
      <c r="B1965" s="1">
        <v>40970</v>
      </c>
      <c r="C1965">
        <v>0</v>
      </c>
      <c r="D1965">
        <v>41.55</v>
      </c>
      <c r="E1965">
        <v>3.8159999999999998</v>
      </c>
      <c r="F1965">
        <v>190.17149269999999</v>
      </c>
      <c r="G1965">
        <v>1926004.99</v>
      </c>
      <c r="H1965" t="str">
        <f>TEXT(Ventas[[#This Row],[Fecha_venta]],"dd")</f>
        <v>02</v>
      </c>
      <c r="I1965" t="str">
        <f>TEXT(Ventas[[#This Row],[Fecha_venta]],"m")</f>
        <v>3</v>
      </c>
      <c r="J1965" t="str">
        <f>TEXT(Ventas[[#This Row],[Fecha_venta]],"yyyy")</f>
        <v>2012</v>
      </c>
    </row>
    <row r="1966" spans="1:10" x14ac:dyDescent="0.25">
      <c r="A1966">
        <v>14</v>
      </c>
      <c r="B1966" s="1">
        <v>40977</v>
      </c>
      <c r="C1966">
        <v>0</v>
      </c>
      <c r="D1966">
        <v>45.52</v>
      </c>
      <c r="E1966">
        <v>3.8479999999999999</v>
      </c>
      <c r="F1966">
        <v>190.3359973</v>
      </c>
      <c r="G1966">
        <v>2020839.31</v>
      </c>
      <c r="H1966" t="str">
        <f>TEXT(Ventas[[#This Row],[Fecha_venta]],"dd")</f>
        <v>09</v>
      </c>
      <c r="I1966" t="str">
        <f>TEXT(Ventas[[#This Row],[Fecha_venta]],"m")</f>
        <v>3</v>
      </c>
      <c r="J1966" t="str">
        <f>TEXT(Ventas[[#This Row],[Fecha_venta]],"yyyy")</f>
        <v>2012</v>
      </c>
    </row>
    <row r="1967" spans="1:10" x14ac:dyDescent="0.25">
      <c r="A1967">
        <v>14</v>
      </c>
      <c r="B1967" s="1">
        <v>40984</v>
      </c>
      <c r="C1967">
        <v>0</v>
      </c>
      <c r="D1967">
        <v>50.56</v>
      </c>
      <c r="E1967">
        <v>3.8620000000000001</v>
      </c>
      <c r="F1967">
        <v>190.4618964</v>
      </c>
      <c r="G1967">
        <v>1941040.5</v>
      </c>
      <c r="H1967" t="str">
        <f>TEXT(Ventas[[#This Row],[Fecha_venta]],"dd")</f>
        <v>16</v>
      </c>
      <c r="I1967" t="str">
        <f>TEXT(Ventas[[#This Row],[Fecha_venta]],"m")</f>
        <v>3</v>
      </c>
      <c r="J1967" t="str">
        <f>TEXT(Ventas[[#This Row],[Fecha_venta]],"yyyy")</f>
        <v>2012</v>
      </c>
    </row>
    <row r="1968" spans="1:10" x14ac:dyDescent="0.25">
      <c r="A1968">
        <v>14</v>
      </c>
      <c r="B1968" s="1">
        <v>40991</v>
      </c>
      <c r="C1968">
        <v>0</v>
      </c>
      <c r="D1968">
        <v>59.45</v>
      </c>
      <c r="E1968">
        <v>3.9</v>
      </c>
      <c r="F1968">
        <v>190.5363213</v>
      </c>
      <c r="G1968">
        <v>1893447.71</v>
      </c>
      <c r="H1968" t="str">
        <f>TEXT(Ventas[[#This Row],[Fecha_venta]],"dd")</f>
        <v>23</v>
      </c>
      <c r="I1968" t="str">
        <f>TEXT(Ventas[[#This Row],[Fecha_venta]],"m")</f>
        <v>3</v>
      </c>
      <c r="J1968" t="str">
        <f>TEXT(Ventas[[#This Row],[Fecha_venta]],"yyyy")</f>
        <v>2012</v>
      </c>
    </row>
    <row r="1969" spans="1:10" x14ac:dyDescent="0.25">
      <c r="A1969">
        <v>14</v>
      </c>
      <c r="B1969" s="1">
        <v>40998</v>
      </c>
      <c r="C1969">
        <v>0</v>
      </c>
      <c r="D1969">
        <v>50.04</v>
      </c>
      <c r="E1969">
        <v>3.9529999999999998</v>
      </c>
      <c r="F1969">
        <v>190.61074629999999</v>
      </c>
      <c r="G1969">
        <v>1905033.01</v>
      </c>
      <c r="H1969" t="str">
        <f>TEXT(Ventas[[#This Row],[Fecha_venta]],"dd")</f>
        <v>30</v>
      </c>
      <c r="I1969" t="str">
        <f>TEXT(Ventas[[#This Row],[Fecha_venta]],"m")</f>
        <v>3</v>
      </c>
      <c r="J1969" t="str">
        <f>TEXT(Ventas[[#This Row],[Fecha_venta]],"yyyy")</f>
        <v>2012</v>
      </c>
    </row>
    <row r="1970" spans="1:10" x14ac:dyDescent="0.25">
      <c r="A1970">
        <v>14</v>
      </c>
      <c r="B1970" s="1">
        <v>41005</v>
      </c>
      <c r="C1970">
        <v>0</v>
      </c>
      <c r="D1970">
        <v>49.73</v>
      </c>
      <c r="E1970">
        <v>3.996</v>
      </c>
      <c r="F1970">
        <v>190.68517120000001</v>
      </c>
      <c r="G1970">
        <v>2376022.2599999998</v>
      </c>
      <c r="H1970" t="str">
        <f>TEXT(Ventas[[#This Row],[Fecha_venta]],"dd")</f>
        <v>06</v>
      </c>
      <c r="I1970" t="str">
        <f>TEXT(Ventas[[#This Row],[Fecha_venta]],"m")</f>
        <v>4</v>
      </c>
      <c r="J1970" t="str">
        <f>TEXT(Ventas[[#This Row],[Fecha_venta]],"yyyy")</f>
        <v>2012</v>
      </c>
    </row>
    <row r="1971" spans="1:10" x14ac:dyDescent="0.25">
      <c r="A1971">
        <v>14</v>
      </c>
      <c r="B1971" s="1">
        <v>41012</v>
      </c>
      <c r="C1971">
        <v>0</v>
      </c>
      <c r="D1971">
        <v>51.83</v>
      </c>
      <c r="E1971">
        <v>4.0439999999999996</v>
      </c>
      <c r="F1971">
        <v>190.7595962</v>
      </c>
      <c r="G1971">
        <v>1912909.69</v>
      </c>
      <c r="H1971" t="str">
        <f>TEXT(Ventas[[#This Row],[Fecha_venta]],"dd")</f>
        <v>13</v>
      </c>
      <c r="I1971" t="str">
        <f>TEXT(Ventas[[#This Row],[Fecha_venta]],"m")</f>
        <v>4</v>
      </c>
      <c r="J1971" t="str">
        <f>TEXT(Ventas[[#This Row],[Fecha_venta]],"yyyy")</f>
        <v>2012</v>
      </c>
    </row>
    <row r="1972" spans="1:10" x14ac:dyDescent="0.25">
      <c r="A1972">
        <v>14</v>
      </c>
      <c r="B1972" s="1">
        <v>41019</v>
      </c>
      <c r="C1972">
        <v>0</v>
      </c>
      <c r="D1972">
        <v>63.13</v>
      </c>
      <c r="E1972">
        <v>4.0270000000000001</v>
      </c>
      <c r="F1972">
        <v>190.81380129999999</v>
      </c>
      <c r="G1972">
        <v>1875686.44</v>
      </c>
      <c r="H1972" t="str">
        <f>TEXT(Ventas[[#This Row],[Fecha_venta]],"dd")</f>
        <v>20</v>
      </c>
      <c r="I1972" t="str">
        <f>TEXT(Ventas[[#This Row],[Fecha_venta]],"m")</f>
        <v>4</v>
      </c>
      <c r="J1972" t="str">
        <f>TEXT(Ventas[[#This Row],[Fecha_venta]],"yyyy")</f>
        <v>2012</v>
      </c>
    </row>
    <row r="1973" spans="1:10" x14ac:dyDescent="0.25">
      <c r="A1973">
        <v>14</v>
      </c>
      <c r="B1973" s="1">
        <v>41026</v>
      </c>
      <c r="C1973">
        <v>0</v>
      </c>
      <c r="D1973">
        <v>53.2</v>
      </c>
      <c r="E1973">
        <v>4.0039999999999996</v>
      </c>
      <c r="F1973">
        <v>190.86800640000001</v>
      </c>
      <c r="G1973">
        <v>1784029.95</v>
      </c>
      <c r="H1973" t="str">
        <f>TEXT(Ventas[[#This Row],[Fecha_venta]],"dd")</f>
        <v>27</v>
      </c>
      <c r="I1973" t="str">
        <f>TEXT(Ventas[[#This Row],[Fecha_venta]],"m")</f>
        <v>4</v>
      </c>
      <c r="J1973" t="str">
        <f>TEXT(Ventas[[#This Row],[Fecha_venta]],"yyyy")</f>
        <v>2012</v>
      </c>
    </row>
    <row r="1974" spans="1:10" x14ac:dyDescent="0.25">
      <c r="A1974">
        <v>14</v>
      </c>
      <c r="B1974" s="1">
        <v>41033</v>
      </c>
      <c r="C1974">
        <v>0</v>
      </c>
      <c r="D1974">
        <v>55.21</v>
      </c>
      <c r="E1974">
        <v>3.9510000000000001</v>
      </c>
      <c r="F1974">
        <v>190.9222115</v>
      </c>
      <c r="G1974">
        <v>1949354.29</v>
      </c>
      <c r="H1974" t="str">
        <f>TEXT(Ventas[[#This Row],[Fecha_venta]],"dd")</f>
        <v>04</v>
      </c>
      <c r="I1974" t="str">
        <f>TEXT(Ventas[[#This Row],[Fecha_venta]],"m")</f>
        <v>5</v>
      </c>
      <c r="J1974" t="str">
        <f>TEXT(Ventas[[#This Row],[Fecha_venta]],"yyyy")</f>
        <v>2012</v>
      </c>
    </row>
    <row r="1975" spans="1:10" x14ac:dyDescent="0.25">
      <c r="A1975">
        <v>14</v>
      </c>
      <c r="B1975" s="1">
        <v>41040</v>
      </c>
      <c r="C1975">
        <v>0</v>
      </c>
      <c r="D1975">
        <v>61.24</v>
      </c>
      <c r="E1975">
        <v>3.8889999999999998</v>
      </c>
      <c r="F1975">
        <v>190.97641669999999</v>
      </c>
      <c r="G1975">
        <v>1987531.05</v>
      </c>
      <c r="H1975" t="str">
        <f>TEXT(Ventas[[#This Row],[Fecha_venta]],"dd")</f>
        <v>11</v>
      </c>
      <c r="I1975" t="str">
        <f>TEXT(Ventas[[#This Row],[Fecha_venta]],"m")</f>
        <v>5</v>
      </c>
      <c r="J1975" t="str">
        <f>TEXT(Ventas[[#This Row],[Fecha_venta]],"yyyy")</f>
        <v>2012</v>
      </c>
    </row>
    <row r="1976" spans="1:10" x14ac:dyDescent="0.25">
      <c r="A1976">
        <v>14</v>
      </c>
      <c r="B1976" s="1">
        <v>41047</v>
      </c>
      <c r="C1976">
        <v>0</v>
      </c>
      <c r="D1976">
        <v>66.3</v>
      </c>
      <c r="E1976">
        <v>3.8479999999999999</v>
      </c>
      <c r="F1976">
        <v>190.99644789999999</v>
      </c>
      <c r="G1976">
        <v>1932233.17</v>
      </c>
      <c r="H1976" t="str">
        <f>TEXT(Ventas[[#This Row],[Fecha_venta]],"dd")</f>
        <v>18</v>
      </c>
      <c r="I1976" t="str">
        <f>TEXT(Ventas[[#This Row],[Fecha_venta]],"m")</f>
        <v>5</v>
      </c>
      <c r="J1976" t="str">
        <f>TEXT(Ventas[[#This Row],[Fecha_venta]],"yyyy")</f>
        <v>2012</v>
      </c>
    </row>
    <row r="1977" spans="1:10" x14ac:dyDescent="0.25">
      <c r="A1977">
        <v>14</v>
      </c>
      <c r="B1977" s="1">
        <v>41054</v>
      </c>
      <c r="C1977">
        <v>0</v>
      </c>
      <c r="D1977">
        <v>67.209999999999994</v>
      </c>
      <c r="E1977">
        <v>3.798</v>
      </c>
      <c r="F1977">
        <v>191.00280960000001</v>
      </c>
      <c r="G1977">
        <v>2030869.61</v>
      </c>
      <c r="H1977" t="str">
        <f>TEXT(Ventas[[#This Row],[Fecha_venta]],"dd")</f>
        <v>25</v>
      </c>
      <c r="I1977" t="str">
        <f>TEXT(Ventas[[#This Row],[Fecha_venta]],"m")</f>
        <v>5</v>
      </c>
      <c r="J1977" t="str">
        <f>TEXT(Ventas[[#This Row],[Fecha_venta]],"yyyy")</f>
        <v>2012</v>
      </c>
    </row>
    <row r="1978" spans="1:10" x14ac:dyDescent="0.25">
      <c r="A1978">
        <v>14</v>
      </c>
      <c r="B1978" s="1">
        <v>41061</v>
      </c>
      <c r="C1978">
        <v>0</v>
      </c>
      <c r="D1978">
        <v>74.48</v>
      </c>
      <c r="E1978">
        <v>8.9999999999999993E-3</v>
      </c>
      <c r="F1978">
        <v>191.0091712</v>
      </c>
      <c r="G1978">
        <v>2049485.49</v>
      </c>
      <c r="H1978" t="str">
        <f>TEXT(Ventas[[#This Row],[Fecha_venta]],"dd")</f>
        <v>01</v>
      </c>
      <c r="I1978" t="str">
        <f>TEXT(Ventas[[#This Row],[Fecha_venta]],"m")</f>
        <v>6</v>
      </c>
      <c r="J1978" t="str">
        <f>TEXT(Ventas[[#This Row],[Fecha_venta]],"yyyy")</f>
        <v>2012</v>
      </c>
    </row>
    <row r="1979" spans="1:10" x14ac:dyDescent="0.25">
      <c r="A1979">
        <v>14</v>
      </c>
      <c r="B1979" s="1">
        <v>41068</v>
      </c>
      <c r="C1979">
        <v>0</v>
      </c>
      <c r="D1979">
        <v>64.3</v>
      </c>
      <c r="E1979">
        <v>3.6890000000000001</v>
      </c>
      <c r="F1979">
        <v>191.01553290000001</v>
      </c>
      <c r="G1979">
        <v>2099615.88</v>
      </c>
      <c r="H1979" t="str">
        <f>TEXT(Ventas[[#This Row],[Fecha_venta]],"dd")</f>
        <v>08</v>
      </c>
      <c r="I1979" t="str">
        <f>TEXT(Ventas[[#This Row],[Fecha_venta]],"m")</f>
        <v>6</v>
      </c>
      <c r="J1979" t="str">
        <f>TEXT(Ventas[[#This Row],[Fecha_venta]],"yyyy")</f>
        <v>2012</v>
      </c>
    </row>
    <row r="1980" spans="1:10" x14ac:dyDescent="0.25">
      <c r="A1980">
        <v>14</v>
      </c>
      <c r="B1980" s="1">
        <v>41075</v>
      </c>
      <c r="C1980">
        <v>0</v>
      </c>
      <c r="D1980">
        <v>71.930000000000007</v>
      </c>
      <c r="E1980">
        <v>3.62</v>
      </c>
      <c r="F1980">
        <v>191.02997310000001</v>
      </c>
      <c r="G1980">
        <v>1905733.68</v>
      </c>
      <c r="H1980" t="str">
        <f>TEXT(Ventas[[#This Row],[Fecha_venta]],"dd")</f>
        <v>15</v>
      </c>
      <c r="I1980" t="str">
        <f>TEXT(Ventas[[#This Row],[Fecha_venta]],"m")</f>
        <v>6</v>
      </c>
      <c r="J1980" t="str">
        <f>TEXT(Ventas[[#This Row],[Fecha_venta]],"yyyy")</f>
        <v>2012</v>
      </c>
    </row>
    <row r="1981" spans="1:10" x14ac:dyDescent="0.25">
      <c r="A1981">
        <v>14</v>
      </c>
      <c r="B1981" s="1">
        <v>41082</v>
      </c>
      <c r="C1981">
        <v>0</v>
      </c>
      <c r="D1981">
        <v>74.22</v>
      </c>
      <c r="E1981">
        <v>3.5640000000000001</v>
      </c>
      <c r="F1981">
        <v>191.06460960000001</v>
      </c>
      <c r="G1981">
        <v>1660228.88</v>
      </c>
      <c r="H1981" t="str">
        <f>TEXT(Ventas[[#This Row],[Fecha_venta]],"dd")</f>
        <v>22</v>
      </c>
      <c r="I1981" t="str">
        <f>TEXT(Ventas[[#This Row],[Fecha_venta]],"m")</f>
        <v>6</v>
      </c>
      <c r="J1981" t="str">
        <f>TEXT(Ventas[[#This Row],[Fecha_venta]],"yyyy")</f>
        <v>2012</v>
      </c>
    </row>
    <row r="1982" spans="1:10" x14ac:dyDescent="0.25">
      <c r="A1982">
        <v>14</v>
      </c>
      <c r="B1982" s="1">
        <v>41089</v>
      </c>
      <c r="C1982">
        <v>0</v>
      </c>
      <c r="D1982">
        <v>75.22</v>
      </c>
      <c r="E1982">
        <v>3.5059999999999998</v>
      </c>
      <c r="F1982">
        <v>191.09924620000001</v>
      </c>
      <c r="G1982">
        <v>1591835.02</v>
      </c>
      <c r="H1982" t="str">
        <f>TEXT(Ventas[[#This Row],[Fecha_venta]],"dd")</f>
        <v>29</v>
      </c>
      <c r="I1982" t="str">
        <f>TEXT(Ventas[[#This Row],[Fecha_venta]],"m")</f>
        <v>6</v>
      </c>
      <c r="J1982" t="str">
        <f>TEXT(Ventas[[#This Row],[Fecha_venta]],"yyyy")</f>
        <v>2012</v>
      </c>
    </row>
    <row r="1983" spans="1:10" x14ac:dyDescent="0.25">
      <c r="A1983">
        <v>14</v>
      </c>
      <c r="B1983" s="1">
        <v>41096</v>
      </c>
      <c r="C1983">
        <v>0</v>
      </c>
      <c r="D1983">
        <v>82.99</v>
      </c>
      <c r="E1983">
        <v>3.4750000000000001</v>
      </c>
      <c r="F1983">
        <v>191.13388269999999</v>
      </c>
      <c r="G1983">
        <v>1862128.95</v>
      </c>
      <c r="H1983" t="str">
        <f>TEXT(Ventas[[#This Row],[Fecha_venta]],"dd")</f>
        <v>06</v>
      </c>
      <c r="I1983" t="str">
        <f>TEXT(Ventas[[#This Row],[Fecha_venta]],"m")</f>
        <v>7</v>
      </c>
      <c r="J1983" t="str">
        <f>TEXT(Ventas[[#This Row],[Fecha_venta]],"yyyy")</f>
        <v>2012</v>
      </c>
    </row>
    <row r="1984" spans="1:10" x14ac:dyDescent="0.25">
      <c r="A1984">
        <v>14</v>
      </c>
      <c r="B1984" s="1">
        <v>41103</v>
      </c>
      <c r="C1984">
        <v>0</v>
      </c>
      <c r="D1984">
        <v>79.97</v>
      </c>
      <c r="E1984">
        <v>3.5230000000000001</v>
      </c>
      <c r="F1984">
        <v>191.16851919999999</v>
      </c>
      <c r="G1984">
        <v>1544422.35</v>
      </c>
      <c r="H1984" t="str">
        <f>TEXT(Ventas[[#This Row],[Fecha_venta]],"dd")</f>
        <v>13</v>
      </c>
      <c r="I1984" t="str">
        <f>TEXT(Ventas[[#This Row],[Fecha_venta]],"m")</f>
        <v>7</v>
      </c>
      <c r="J1984" t="str">
        <f>TEXT(Ventas[[#This Row],[Fecha_venta]],"yyyy")</f>
        <v>2012</v>
      </c>
    </row>
    <row r="1985" spans="1:10" x14ac:dyDescent="0.25">
      <c r="A1985">
        <v>14</v>
      </c>
      <c r="B1985" s="1">
        <v>41110</v>
      </c>
      <c r="C1985">
        <v>0</v>
      </c>
      <c r="D1985">
        <v>78.89</v>
      </c>
      <c r="E1985">
        <v>3.5670000000000002</v>
      </c>
      <c r="F1985">
        <v>191.16704279999999</v>
      </c>
      <c r="G1985">
        <v>1553250.16</v>
      </c>
      <c r="H1985" t="str">
        <f>TEXT(Ventas[[#This Row],[Fecha_venta]],"dd")</f>
        <v>20</v>
      </c>
      <c r="I1985" t="str">
        <f>TEXT(Ventas[[#This Row],[Fecha_venta]],"m")</f>
        <v>7</v>
      </c>
      <c r="J1985" t="str">
        <f>TEXT(Ventas[[#This Row],[Fecha_venta]],"yyyy")</f>
        <v>2012</v>
      </c>
    </row>
    <row r="1986" spans="1:10" x14ac:dyDescent="0.25">
      <c r="A1986">
        <v>14</v>
      </c>
      <c r="B1986" s="1">
        <v>41117</v>
      </c>
      <c r="C1986">
        <v>0</v>
      </c>
      <c r="D1986">
        <v>77.2</v>
      </c>
      <c r="E1986">
        <v>3.6469999999999998</v>
      </c>
      <c r="F1986">
        <v>191.16556639999999</v>
      </c>
      <c r="G1986">
        <v>1479514.66</v>
      </c>
      <c r="H1986" t="str">
        <f>TEXT(Ventas[[#This Row],[Fecha_venta]],"dd")</f>
        <v>27</v>
      </c>
      <c r="I1986" t="str">
        <f>TEXT(Ventas[[#This Row],[Fecha_venta]],"m")</f>
        <v>7</v>
      </c>
      <c r="J1986" t="str">
        <f>TEXT(Ventas[[#This Row],[Fecha_venta]],"yyyy")</f>
        <v>2012</v>
      </c>
    </row>
    <row r="1987" spans="1:10" x14ac:dyDescent="0.25">
      <c r="A1987">
        <v>14</v>
      </c>
      <c r="B1987" s="1">
        <v>41124</v>
      </c>
      <c r="C1987">
        <v>0</v>
      </c>
      <c r="D1987">
        <v>76.58</v>
      </c>
      <c r="E1987">
        <v>3.6539999999999999</v>
      </c>
      <c r="F1987">
        <v>191.16408999999999</v>
      </c>
      <c r="G1987">
        <v>1656886.46</v>
      </c>
      <c r="H1987" t="str">
        <f>TEXT(Ventas[[#This Row],[Fecha_venta]],"dd")</f>
        <v>03</v>
      </c>
      <c r="I1987" t="str">
        <f>TEXT(Ventas[[#This Row],[Fecha_venta]],"m")</f>
        <v>8</v>
      </c>
      <c r="J1987" t="str">
        <f>TEXT(Ventas[[#This Row],[Fecha_venta]],"yyyy")</f>
        <v>2012</v>
      </c>
    </row>
    <row r="1988" spans="1:10" x14ac:dyDescent="0.25">
      <c r="A1988">
        <v>14</v>
      </c>
      <c r="B1988" s="1">
        <v>41131</v>
      </c>
      <c r="C1988">
        <v>0</v>
      </c>
      <c r="D1988">
        <v>78.650000000000006</v>
      </c>
      <c r="E1988">
        <v>3.722</v>
      </c>
      <c r="F1988">
        <v>191.16261349999999</v>
      </c>
      <c r="G1988">
        <v>1648570.03</v>
      </c>
      <c r="H1988" t="str">
        <f>TEXT(Ventas[[#This Row],[Fecha_venta]],"dd")</f>
        <v>10</v>
      </c>
      <c r="I1988" t="str">
        <f>TEXT(Ventas[[#This Row],[Fecha_venta]],"m")</f>
        <v>8</v>
      </c>
      <c r="J1988" t="str">
        <f>TEXT(Ventas[[#This Row],[Fecha_venta]],"yyyy")</f>
        <v>2012</v>
      </c>
    </row>
    <row r="1989" spans="1:10" x14ac:dyDescent="0.25">
      <c r="A1989">
        <v>14</v>
      </c>
      <c r="B1989" s="1">
        <v>41138</v>
      </c>
      <c r="C1989">
        <v>0</v>
      </c>
      <c r="D1989">
        <v>75.709999999999994</v>
      </c>
      <c r="E1989">
        <v>3.8069999999999999</v>
      </c>
      <c r="F1989">
        <v>191.22849189999999</v>
      </c>
      <c r="G1989">
        <v>1660433.3</v>
      </c>
      <c r="H1989" t="str">
        <f>TEXT(Ventas[[#This Row],[Fecha_venta]],"dd")</f>
        <v>17</v>
      </c>
      <c r="I1989" t="str">
        <f>TEXT(Ventas[[#This Row],[Fecha_venta]],"m")</f>
        <v>8</v>
      </c>
      <c r="J1989" t="str">
        <f>TEXT(Ventas[[#This Row],[Fecha_venta]],"yyyy")</f>
        <v>2012</v>
      </c>
    </row>
    <row r="1990" spans="1:10" x14ac:dyDescent="0.25">
      <c r="A1990">
        <v>14</v>
      </c>
      <c r="B1990" s="1">
        <v>41145</v>
      </c>
      <c r="C1990">
        <v>0</v>
      </c>
      <c r="D1990">
        <v>72.62</v>
      </c>
      <c r="E1990">
        <v>3.8340000000000001</v>
      </c>
      <c r="F1990">
        <v>191.3448865</v>
      </c>
      <c r="G1990">
        <v>1621841.33</v>
      </c>
      <c r="H1990" t="str">
        <f>TEXT(Ventas[[#This Row],[Fecha_venta]],"dd")</f>
        <v>24</v>
      </c>
      <c r="I1990" t="str">
        <f>TEXT(Ventas[[#This Row],[Fecha_venta]],"m")</f>
        <v>8</v>
      </c>
      <c r="J1990" t="str">
        <f>TEXT(Ventas[[#This Row],[Fecha_venta]],"yyyy")</f>
        <v>2012</v>
      </c>
    </row>
    <row r="1991" spans="1:10" x14ac:dyDescent="0.25">
      <c r="A1991">
        <v>14</v>
      </c>
      <c r="B1991" s="1">
        <v>41152</v>
      </c>
      <c r="C1991">
        <v>0</v>
      </c>
      <c r="D1991">
        <v>75.09</v>
      </c>
      <c r="E1991">
        <v>3.867</v>
      </c>
      <c r="F1991">
        <v>191.46128100000001</v>
      </c>
      <c r="G1991">
        <v>1613342.19</v>
      </c>
      <c r="H1991" t="str">
        <f>TEXT(Ventas[[#This Row],[Fecha_venta]],"dd")</f>
        <v>31</v>
      </c>
      <c r="I1991" t="str">
        <f>TEXT(Ventas[[#This Row],[Fecha_venta]],"m")</f>
        <v>8</v>
      </c>
      <c r="J1991" t="str">
        <f>TEXT(Ventas[[#This Row],[Fecha_venta]],"yyyy")</f>
        <v>2012</v>
      </c>
    </row>
    <row r="1992" spans="1:10" x14ac:dyDescent="0.25">
      <c r="A1992">
        <v>14</v>
      </c>
      <c r="B1992" s="1">
        <v>41159</v>
      </c>
      <c r="C1992">
        <v>1</v>
      </c>
      <c r="D1992">
        <v>75.7</v>
      </c>
      <c r="E1992">
        <v>3.911</v>
      </c>
      <c r="F1992">
        <v>191.57767559999999</v>
      </c>
      <c r="G1992">
        <v>1904512.34</v>
      </c>
      <c r="H1992" t="str">
        <f>TEXT(Ventas[[#This Row],[Fecha_venta]],"dd")</f>
        <v>07</v>
      </c>
      <c r="I1992" t="str">
        <f>TEXT(Ventas[[#This Row],[Fecha_venta]],"m")</f>
        <v>9</v>
      </c>
      <c r="J1992" t="str">
        <f>TEXT(Ventas[[#This Row],[Fecha_venta]],"yyyy")</f>
        <v>2012</v>
      </c>
    </row>
    <row r="1993" spans="1:10" x14ac:dyDescent="0.25">
      <c r="A1993">
        <v>14</v>
      </c>
      <c r="B1993" s="1">
        <v>41166</v>
      </c>
      <c r="C1993">
        <v>0</v>
      </c>
      <c r="D1993">
        <v>67.87</v>
      </c>
      <c r="E1993">
        <v>3.948</v>
      </c>
      <c r="F1993">
        <v>191.69985</v>
      </c>
      <c r="G1993">
        <v>1554794.22</v>
      </c>
      <c r="H1993" t="str">
        <f>TEXT(Ventas[[#This Row],[Fecha_venta]],"dd")</f>
        <v>14</v>
      </c>
      <c r="I1993" t="str">
        <f>TEXT(Ventas[[#This Row],[Fecha_venta]],"m")</f>
        <v>9</v>
      </c>
      <c r="J1993" t="str">
        <f>TEXT(Ventas[[#This Row],[Fecha_venta]],"yyyy")</f>
        <v>2012</v>
      </c>
    </row>
    <row r="1994" spans="1:10" x14ac:dyDescent="0.25">
      <c r="A1994">
        <v>14</v>
      </c>
      <c r="B1994" s="1">
        <v>41173</v>
      </c>
      <c r="C1994">
        <v>0</v>
      </c>
      <c r="D1994">
        <v>65.319999999999993</v>
      </c>
      <c r="E1994">
        <v>4.0380000000000003</v>
      </c>
      <c r="F1994">
        <v>191.85670379999999</v>
      </c>
      <c r="G1994">
        <v>1565352.46</v>
      </c>
      <c r="H1994" t="str">
        <f>TEXT(Ventas[[#This Row],[Fecha_venta]],"dd")</f>
        <v>21</v>
      </c>
      <c r="I1994" t="str">
        <f>TEXT(Ventas[[#This Row],[Fecha_venta]],"m")</f>
        <v>9</v>
      </c>
      <c r="J1994" t="str">
        <f>TEXT(Ventas[[#This Row],[Fecha_venta]],"yyyy")</f>
        <v>2012</v>
      </c>
    </row>
    <row r="1995" spans="1:10" x14ac:dyDescent="0.25">
      <c r="A1995">
        <v>14</v>
      </c>
      <c r="B1995" s="1">
        <v>41180</v>
      </c>
      <c r="C1995">
        <v>0</v>
      </c>
      <c r="D1995">
        <v>64.88</v>
      </c>
      <c r="E1995">
        <v>3.9969999999999999</v>
      </c>
      <c r="F1995">
        <v>192.01355770000001</v>
      </c>
      <c r="G1995">
        <v>1522512.2</v>
      </c>
      <c r="H1995" t="str">
        <f>TEXT(Ventas[[#This Row],[Fecha_venta]],"dd")</f>
        <v>28</v>
      </c>
      <c r="I1995" t="str">
        <f>TEXT(Ventas[[#This Row],[Fecha_venta]],"m")</f>
        <v>9</v>
      </c>
      <c r="J1995" t="str">
        <f>TEXT(Ventas[[#This Row],[Fecha_venta]],"yyyy")</f>
        <v>2012</v>
      </c>
    </row>
    <row r="1996" spans="1:10" x14ac:dyDescent="0.25">
      <c r="A1996">
        <v>14</v>
      </c>
      <c r="B1996" s="1">
        <v>41187</v>
      </c>
      <c r="C1996">
        <v>0</v>
      </c>
      <c r="D1996">
        <v>64.89</v>
      </c>
      <c r="E1996">
        <v>3.9849999999999999</v>
      </c>
      <c r="F1996">
        <v>192.1704115</v>
      </c>
      <c r="G1996">
        <v>1687592.16</v>
      </c>
      <c r="H1996" t="str">
        <f>TEXT(Ventas[[#This Row],[Fecha_venta]],"dd")</f>
        <v>05</v>
      </c>
      <c r="I1996" t="str">
        <f>TEXT(Ventas[[#This Row],[Fecha_venta]],"m")</f>
        <v>10</v>
      </c>
      <c r="J1996" t="str">
        <f>TEXT(Ventas[[#This Row],[Fecha_venta]],"yyyy")</f>
        <v>2012</v>
      </c>
    </row>
    <row r="1997" spans="1:10" x14ac:dyDescent="0.25">
      <c r="A1997">
        <v>14</v>
      </c>
      <c r="B1997" s="1">
        <v>41194</v>
      </c>
      <c r="C1997">
        <v>0</v>
      </c>
      <c r="D1997">
        <v>54.47</v>
      </c>
      <c r="E1997">
        <v>4</v>
      </c>
      <c r="F1997">
        <v>192.32726539999999</v>
      </c>
      <c r="G1997">
        <v>1639585.61</v>
      </c>
      <c r="H1997" t="str">
        <f>TEXT(Ventas[[#This Row],[Fecha_venta]],"dd")</f>
        <v>12</v>
      </c>
      <c r="I1997" t="str">
        <f>TEXT(Ventas[[#This Row],[Fecha_venta]],"m")</f>
        <v>10</v>
      </c>
      <c r="J1997" t="str">
        <f>TEXT(Ventas[[#This Row],[Fecha_venta]],"yyyy")</f>
        <v>2012</v>
      </c>
    </row>
    <row r="1998" spans="1:10" x14ac:dyDescent="0.25">
      <c r="A1998">
        <v>14</v>
      </c>
      <c r="B1998" s="1">
        <v>41201</v>
      </c>
      <c r="C1998">
        <v>0</v>
      </c>
      <c r="D1998">
        <v>56.47</v>
      </c>
      <c r="E1998">
        <v>3.9689999999999999</v>
      </c>
      <c r="F1998">
        <v>192.3308542</v>
      </c>
      <c r="G1998">
        <v>1590274.72</v>
      </c>
      <c r="H1998" t="str">
        <f>TEXT(Ventas[[#This Row],[Fecha_venta]],"dd")</f>
        <v>19</v>
      </c>
      <c r="I1998" t="str">
        <f>TEXT(Ventas[[#This Row],[Fecha_venta]],"m")</f>
        <v>10</v>
      </c>
      <c r="J1998" t="str">
        <f>TEXT(Ventas[[#This Row],[Fecha_venta]],"yyyy")</f>
        <v>2012</v>
      </c>
    </row>
    <row r="1999" spans="1:10" x14ac:dyDescent="0.25">
      <c r="A1999">
        <v>14</v>
      </c>
      <c r="B1999" s="1">
        <v>41208</v>
      </c>
      <c r="C1999">
        <v>0</v>
      </c>
      <c r="D1999">
        <v>-1</v>
      </c>
      <c r="E1999">
        <v>3.8820000000000001</v>
      </c>
      <c r="F1999">
        <v>192.3088989</v>
      </c>
      <c r="G1999">
        <v>1704357.62</v>
      </c>
      <c r="H1999" t="str">
        <f>TEXT(Ventas[[#This Row],[Fecha_venta]],"dd")</f>
        <v>26</v>
      </c>
      <c r="I1999" t="str">
        <f>TEXT(Ventas[[#This Row],[Fecha_venta]],"m")</f>
        <v>10</v>
      </c>
      <c r="J1999" t="str">
        <f>TEXT(Ventas[[#This Row],[Fecha_venta]],"yyyy")</f>
        <v>2012</v>
      </c>
    </row>
    <row r="2000" spans="1:10" x14ac:dyDescent="0.25">
      <c r="A2000">
        <v>15</v>
      </c>
      <c r="B2000" s="1">
        <v>40214</v>
      </c>
      <c r="C2000">
        <v>0</v>
      </c>
      <c r="D2000">
        <v>19.829999999999998</v>
      </c>
      <c r="E2000">
        <v>2.9540000000000002</v>
      </c>
      <c r="F2000">
        <v>131.5279032</v>
      </c>
      <c r="G2000">
        <v>652122.43999999994</v>
      </c>
      <c r="H2000" t="str">
        <f>TEXT(Ventas[[#This Row],[Fecha_venta]],"dd")</f>
        <v>05</v>
      </c>
      <c r="I2000" t="str">
        <f>TEXT(Ventas[[#This Row],[Fecha_venta]],"m")</f>
        <v>2</v>
      </c>
      <c r="J2000" t="str">
        <f>TEXT(Ventas[[#This Row],[Fecha_venta]],"yyyy")</f>
        <v>2010</v>
      </c>
    </row>
    <row r="2001" spans="1:10" x14ac:dyDescent="0.25">
      <c r="A2001">
        <v>15</v>
      </c>
      <c r="B2001" s="1">
        <v>40221</v>
      </c>
      <c r="C2001">
        <v>1</v>
      </c>
      <c r="D2001">
        <v>22</v>
      </c>
      <c r="E2001">
        <v>2.94</v>
      </c>
      <c r="F2001">
        <v>131.58661290000001</v>
      </c>
      <c r="G2001">
        <v>682447.1</v>
      </c>
      <c r="H2001" t="str">
        <f>TEXT(Ventas[[#This Row],[Fecha_venta]],"dd")</f>
        <v>12</v>
      </c>
      <c r="I2001" t="str">
        <f>TEXT(Ventas[[#This Row],[Fecha_venta]],"m")</f>
        <v>2</v>
      </c>
      <c r="J2001" t="str">
        <f>TEXT(Ventas[[#This Row],[Fecha_venta]],"yyyy")</f>
        <v>2010</v>
      </c>
    </row>
    <row r="2002" spans="1:10" x14ac:dyDescent="0.25">
      <c r="A2002">
        <v>15</v>
      </c>
      <c r="B2002" s="1">
        <v>40228</v>
      </c>
      <c r="C2002">
        <v>0</v>
      </c>
      <c r="D2002">
        <v>27.54</v>
      </c>
      <c r="E2002">
        <v>2.9089999999999998</v>
      </c>
      <c r="F2002">
        <v>131.637</v>
      </c>
      <c r="G2002">
        <v>660838.75</v>
      </c>
      <c r="H2002" t="str">
        <f>TEXT(Ventas[[#This Row],[Fecha_venta]],"dd")</f>
        <v>19</v>
      </c>
      <c r="I2002" t="str">
        <f>TEXT(Ventas[[#This Row],[Fecha_venta]],"m")</f>
        <v>2</v>
      </c>
      <c r="J2002" t="str">
        <f>TEXT(Ventas[[#This Row],[Fecha_venta]],"yyyy")</f>
        <v>2010</v>
      </c>
    </row>
    <row r="2003" spans="1:10" x14ac:dyDescent="0.25">
      <c r="A2003">
        <v>15</v>
      </c>
      <c r="B2003" s="1">
        <v>40235</v>
      </c>
      <c r="C2003">
        <v>0</v>
      </c>
      <c r="D2003">
        <v>29.87</v>
      </c>
      <c r="E2003">
        <v>2.91</v>
      </c>
      <c r="F2003">
        <v>131.68600000000001</v>
      </c>
      <c r="G2003">
        <v>564883.19999999995</v>
      </c>
      <c r="H2003" t="str">
        <f>TEXT(Ventas[[#This Row],[Fecha_venta]],"dd")</f>
        <v>26</v>
      </c>
      <c r="I2003" t="str">
        <f>TEXT(Ventas[[#This Row],[Fecha_venta]],"m")</f>
        <v>2</v>
      </c>
      <c r="J2003" t="str">
        <f>TEXT(Ventas[[#This Row],[Fecha_venta]],"yyyy")</f>
        <v>2010</v>
      </c>
    </row>
    <row r="2004" spans="1:10" x14ac:dyDescent="0.25">
      <c r="A2004">
        <v>15</v>
      </c>
      <c r="B2004" s="1">
        <v>40242</v>
      </c>
      <c r="C2004">
        <v>0</v>
      </c>
      <c r="D2004">
        <v>31.79</v>
      </c>
      <c r="E2004">
        <v>2.919</v>
      </c>
      <c r="F2004">
        <v>131.73500000000001</v>
      </c>
      <c r="G2004">
        <v>605325.43000000005</v>
      </c>
      <c r="H2004" t="str">
        <f>TEXT(Ventas[[#This Row],[Fecha_venta]],"dd")</f>
        <v>05</v>
      </c>
      <c r="I2004" t="str">
        <f>TEXT(Ventas[[#This Row],[Fecha_venta]],"m")</f>
        <v>3</v>
      </c>
      <c r="J2004" t="str">
        <f>TEXT(Ventas[[#This Row],[Fecha_venta]],"yyyy")</f>
        <v>2010</v>
      </c>
    </row>
    <row r="2005" spans="1:10" x14ac:dyDescent="0.25">
      <c r="A2005">
        <v>15</v>
      </c>
      <c r="B2005" s="1">
        <v>40249</v>
      </c>
      <c r="C2005">
        <v>0</v>
      </c>
      <c r="D2005">
        <v>41.39</v>
      </c>
      <c r="E2005">
        <v>2.9380000000000002</v>
      </c>
      <c r="F2005">
        <v>131.78399999999999</v>
      </c>
      <c r="G2005">
        <v>604173.59</v>
      </c>
      <c r="H2005" t="str">
        <f>TEXT(Ventas[[#This Row],[Fecha_venta]],"dd")</f>
        <v>12</v>
      </c>
      <c r="I2005" t="str">
        <f>TEXT(Ventas[[#This Row],[Fecha_venta]],"m")</f>
        <v>3</v>
      </c>
      <c r="J2005" t="str">
        <f>TEXT(Ventas[[#This Row],[Fecha_venta]],"yyyy")</f>
        <v>2010</v>
      </c>
    </row>
    <row r="2006" spans="1:10" x14ac:dyDescent="0.25">
      <c r="A2006">
        <v>15</v>
      </c>
      <c r="B2006" s="1">
        <v>40256</v>
      </c>
      <c r="C2006">
        <v>0</v>
      </c>
      <c r="D2006">
        <v>44.69</v>
      </c>
      <c r="E2006">
        <v>2.96</v>
      </c>
      <c r="F2006">
        <v>131.8242903</v>
      </c>
      <c r="G2006">
        <v>593710.67000000004</v>
      </c>
      <c r="H2006" t="str">
        <f>TEXT(Ventas[[#This Row],[Fecha_venta]],"dd")</f>
        <v>19</v>
      </c>
      <c r="I2006" t="str">
        <f>TEXT(Ventas[[#This Row],[Fecha_venta]],"m")</f>
        <v>3</v>
      </c>
      <c r="J2006" t="str">
        <f>TEXT(Ventas[[#This Row],[Fecha_venta]],"yyyy")</f>
        <v>2010</v>
      </c>
    </row>
    <row r="2007" spans="1:10" x14ac:dyDescent="0.25">
      <c r="A2007">
        <v>15</v>
      </c>
      <c r="B2007" s="1">
        <v>40263</v>
      </c>
      <c r="C2007">
        <v>0</v>
      </c>
      <c r="D2007">
        <v>39.53</v>
      </c>
      <c r="E2007">
        <v>2.9630000000000001</v>
      </c>
      <c r="F2007">
        <v>131.86312899999999</v>
      </c>
      <c r="G2007">
        <v>592111.49</v>
      </c>
      <c r="H2007" t="str">
        <f>TEXT(Ventas[[#This Row],[Fecha_venta]],"dd")</f>
        <v>26</v>
      </c>
      <c r="I2007" t="str">
        <f>TEXT(Ventas[[#This Row],[Fecha_venta]],"m")</f>
        <v>3</v>
      </c>
      <c r="J2007" t="str">
        <f>TEXT(Ventas[[#This Row],[Fecha_venta]],"yyyy")</f>
        <v>2010</v>
      </c>
    </row>
    <row r="2008" spans="1:10" x14ac:dyDescent="0.25">
      <c r="A2008">
        <v>15</v>
      </c>
      <c r="B2008" s="1">
        <v>40270</v>
      </c>
      <c r="C2008">
        <v>0</v>
      </c>
      <c r="D2008">
        <v>45.27</v>
      </c>
      <c r="E2008">
        <v>2.9569999999999999</v>
      </c>
      <c r="F2008">
        <v>131.9019677</v>
      </c>
      <c r="G2008">
        <v>718470.71</v>
      </c>
      <c r="H2008" t="str">
        <f>TEXT(Ventas[[#This Row],[Fecha_venta]],"dd")</f>
        <v>02</v>
      </c>
      <c r="I2008" t="str">
        <f>TEXT(Ventas[[#This Row],[Fecha_venta]],"m")</f>
        <v>4</v>
      </c>
      <c r="J2008" t="str">
        <f>TEXT(Ventas[[#This Row],[Fecha_venta]],"yyyy")</f>
        <v>2010</v>
      </c>
    </row>
    <row r="2009" spans="1:10" x14ac:dyDescent="0.25">
      <c r="A2009">
        <v>15</v>
      </c>
      <c r="B2009" s="1">
        <v>40277</v>
      </c>
      <c r="C2009">
        <v>0</v>
      </c>
      <c r="D2009">
        <v>57.77</v>
      </c>
      <c r="E2009">
        <v>2.992</v>
      </c>
      <c r="F2009">
        <v>131.94080650000001</v>
      </c>
      <c r="G2009">
        <v>634605.77</v>
      </c>
      <c r="H2009" t="str">
        <f>TEXT(Ventas[[#This Row],[Fecha_venta]],"dd")</f>
        <v>09</v>
      </c>
      <c r="I2009" t="str">
        <f>TEXT(Ventas[[#This Row],[Fecha_venta]],"m")</f>
        <v>4</v>
      </c>
      <c r="J2009" t="str">
        <f>TEXT(Ventas[[#This Row],[Fecha_venta]],"yyyy")</f>
        <v>2010</v>
      </c>
    </row>
    <row r="2010" spans="1:10" x14ac:dyDescent="0.25">
      <c r="A2010">
        <v>15</v>
      </c>
      <c r="B2010" s="1">
        <v>40284</v>
      </c>
      <c r="C2010">
        <v>0</v>
      </c>
      <c r="D2010">
        <v>49.63</v>
      </c>
      <c r="E2010">
        <v>3.01</v>
      </c>
      <c r="F2010">
        <v>131.98089999999999</v>
      </c>
      <c r="G2010">
        <v>641208.65</v>
      </c>
      <c r="H2010" t="str">
        <f>TEXT(Ventas[[#This Row],[Fecha_venta]],"dd")</f>
        <v>16</v>
      </c>
      <c r="I2010" t="str">
        <f>TEXT(Ventas[[#This Row],[Fecha_venta]],"m")</f>
        <v>4</v>
      </c>
      <c r="J2010" t="str">
        <f>TEXT(Ventas[[#This Row],[Fecha_venta]],"yyyy")</f>
        <v>2010</v>
      </c>
    </row>
    <row r="2011" spans="1:10" x14ac:dyDescent="0.25">
      <c r="A2011">
        <v>15</v>
      </c>
      <c r="B2011" s="1">
        <v>40291</v>
      </c>
      <c r="C2011">
        <v>0</v>
      </c>
      <c r="D2011">
        <v>46.54</v>
      </c>
      <c r="E2011">
        <v>3.0209999999999999</v>
      </c>
      <c r="F2011">
        <v>132.0226667</v>
      </c>
      <c r="G2011">
        <v>643097.59999999998</v>
      </c>
      <c r="H2011" t="str">
        <f>TEXT(Ventas[[#This Row],[Fecha_venta]],"dd")</f>
        <v>23</v>
      </c>
      <c r="I2011" t="str">
        <f>TEXT(Ventas[[#This Row],[Fecha_venta]],"m")</f>
        <v>4</v>
      </c>
      <c r="J2011" t="str">
        <f>TEXT(Ventas[[#This Row],[Fecha_venta]],"yyyy")</f>
        <v>2010</v>
      </c>
    </row>
    <row r="2012" spans="1:10" x14ac:dyDescent="0.25">
      <c r="A2012">
        <v>15</v>
      </c>
      <c r="B2012" s="1">
        <v>40298</v>
      </c>
      <c r="C2012">
        <v>0</v>
      </c>
      <c r="D2012">
        <v>49.09</v>
      </c>
      <c r="E2012">
        <v>3.0419999999999998</v>
      </c>
      <c r="F2012">
        <v>132.06443329999999</v>
      </c>
      <c r="G2012">
        <v>570791.11</v>
      </c>
      <c r="H2012" t="str">
        <f>TEXT(Ventas[[#This Row],[Fecha_venta]],"dd")</f>
        <v>30</v>
      </c>
      <c r="I2012" t="str">
        <f>TEXT(Ventas[[#This Row],[Fecha_venta]],"m")</f>
        <v>4</v>
      </c>
      <c r="J2012" t="str">
        <f>TEXT(Ventas[[#This Row],[Fecha_venta]],"yyyy")</f>
        <v>2010</v>
      </c>
    </row>
    <row r="2013" spans="1:10" x14ac:dyDescent="0.25">
      <c r="A2013">
        <v>15</v>
      </c>
      <c r="B2013" s="1">
        <v>40305</v>
      </c>
      <c r="C2013">
        <v>0</v>
      </c>
      <c r="D2013">
        <v>63.16</v>
      </c>
      <c r="E2013">
        <v>3.0950000000000002</v>
      </c>
      <c r="F2013">
        <v>132.1062</v>
      </c>
      <c r="G2013">
        <v>661348.88</v>
      </c>
      <c r="H2013" t="str">
        <f>TEXT(Ventas[[#This Row],[Fecha_venta]],"dd")</f>
        <v>07</v>
      </c>
      <c r="I2013" t="str">
        <f>TEXT(Ventas[[#This Row],[Fecha_venta]],"m")</f>
        <v>5</v>
      </c>
      <c r="J2013" t="str">
        <f>TEXT(Ventas[[#This Row],[Fecha_venta]],"yyyy")</f>
        <v>2010</v>
      </c>
    </row>
    <row r="2014" spans="1:10" x14ac:dyDescent="0.25">
      <c r="A2014">
        <v>15</v>
      </c>
      <c r="B2014" s="1">
        <v>40312</v>
      </c>
      <c r="C2014">
        <v>0</v>
      </c>
      <c r="D2014">
        <v>47.13</v>
      </c>
      <c r="E2014">
        <v>3.1120000000000001</v>
      </c>
      <c r="F2014">
        <v>132.152129</v>
      </c>
      <c r="G2014">
        <v>594385.19999999995</v>
      </c>
      <c r="H2014" t="str">
        <f>TEXT(Ventas[[#This Row],[Fecha_venta]],"dd")</f>
        <v>14</v>
      </c>
      <c r="I2014" t="str">
        <f>TEXT(Ventas[[#This Row],[Fecha_venta]],"m")</f>
        <v>5</v>
      </c>
      <c r="J2014" t="str">
        <f>TEXT(Ventas[[#This Row],[Fecha_venta]],"yyyy")</f>
        <v>2010</v>
      </c>
    </row>
    <row r="2015" spans="1:10" x14ac:dyDescent="0.25">
      <c r="A2015">
        <v>15</v>
      </c>
      <c r="B2015" s="1">
        <v>40319</v>
      </c>
      <c r="C2015">
        <v>0</v>
      </c>
      <c r="D2015">
        <v>59.09</v>
      </c>
      <c r="E2015">
        <v>3.0960000000000001</v>
      </c>
      <c r="F2015">
        <v>132.2230323</v>
      </c>
      <c r="G2015">
        <v>616598.1</v>
      </c>
      <c r="H2015" t="str">
        <f>TEXT(Ventas[[#This Row],[Fecha_venta]],"dd")</f>
        <v>21</v>
      </c>
      <c r="I2015" t="str">
        <f>TEXT(Ventas[[#This Row],[Fecha_venta]],"m")</f>
        <v>5</v>
      </c>
      <c r="J2015" t="str">
        <f>TEXT(Ventas[[#This Row],[Fecha_venta]],"yyyy")</f>
        <v>2010</v>
      </c>
    </row>
    <row r="2016" spans="1:10" x14ac:dyDescent="0.25">
      <c r="A2016">
        <v>15</v>
      </c>
      <c r="B2016" s="1">
        <v>40326</v>
      </c>
      <c r="C2016">
        <v>0</v>
      </c>
      <c r="D2016">
        <v>70.61</v>
      </c>
      <c r="E2016">
        <v>3.0459999999999998</v>
      </c>
      <c r="F2016">
        <v>132.2939355</v>
      </c>
      <c r="G2016">
        <v>744772.88</v>
      </c>
      <c r="H2016" t="str">
        <f>TEXT(Ventas[[#This Row],[Fecha_venta]],"dd")</f>
        <v>28</v>
      </c>
      <c r="I2016" t="str">
        <f>TEXT(Ventas[[#This Row],[Fecha_venta]],"m")</f>
        <v>5</v>
      </c>
      <c r="J2016" t="str">
        <f>TEXT(Ventas[[#This Row],[Fecha_venta]],"yyyy")</f>
        <v>2010</v>
      </c>
    </row>
    <row r="2017" spans="1:10" x14ac:dyDescent="0.25">
      <c r="A2017">
        <v>15</v>
      </c>
      <c r="B2017" s="1">
        <v>40333</v>
      </c>
      <c r="C2017">
        <v>0</v>
      </c>
      <c r="D2017">
        <v>69.989999999999995</v>
      </c>
      <c r="E2017">
        <v>3.0059999999999998</v>
      </c>
      <c r="F2017">
        <v>132.36483870000001</v>
      </c>
      <c r="G2017">
        <v>693192.5</v>
      </c>
      <c r="H2017" t="str">
        <f>TEXT(Ventas[[#This Row],[Fecha_venta]],"dd")</f>
        <v>04</v>
      </c>
      <c r="I2017" t="str">
        <f>TEXT(Ventas[[#This Row],[Fecha_venta]],"m")</f>
        <v>6</v>
      </c>
      <c r="J2017" t="str">
        <f>TEXT(Ventas[[#This Row],[Fecha_venta]],"yyyy")</f>
        <v>2010</v>
      </c>
    </row>
    <row r="2018" spans="1:10" x14ac:dyDescent="0.25">
      <c r="A2018">
        <v>15</v>
      </c>
      <c r="B2018" s="1">
        <v>40340</v>
      </c>
      <c r="C2018">
        <v>0</v>
      </c>
      <c r="D2018">
        <v>61.04</v>
      </c>
      <c r="E2018">
        <v>2.972</v>
      </c>
      <c r="F2018">
        <v>132.43574190000001</v>
      </c>
      <c r="G2018">
        <v>619337.29</v>
      </c>
      <c r="H2018" t="str">
        <f>TEXT(Ventas[[#This Row],[Fecha_venta]],"dd")</f>
        <v>11</v>
      </c>
      <c r="I2018" t="str">
        <f>TEXT(Ventas[[#This Row],[Fecha_venta]],"m")</f>
        <v>6</v>
      </c>
      <c r="J2018" t="str">
        <f>TEXT(Ventas[[#This Row],[Fecha_venta]],"yyyy")</f>
        <v>2010</v>
      </c>
    </row>
    <row r="2019" spans="1:10" x14ac:dyDescent="0.25">
      <c r="A2019">
        <v>15</v>
      </c>
      <c r="B2019" s="1">
        <v>40347</v>
      </c>
      <c r="C2019">
        <v>0</v>
      </c>
      <c r="D2019">
        <v>65.83</v>
      </c>
      <c r="E2019">
        <v>2.9420000000000002</v>
      </c>
      <c r="F2019">
        <v>132.47333330000001</v>
      </c>
      <c r="G2019">
        <v>652329.53</v>
      </c>
      <c r="H2019" t="str">
        <f>TEXT(Ventas[[#This Row],[Fecha_venta]],"dd")</f>
        <v>18</v>
      </c>
      <c r="I2019" t="str">
        <f>TEXT(Ventas[[#This Row],[Fecha_venta]],"m")</f>
        <v>6</v>
      </c>
      <c r="J2019" t="str">
        <f>TEXT(Ventas[[#This Row],[Fecha_venta]],"yyyy")</f>
        <v>2010</v>
      </c>
    </row>
    <row r="2020" spans="1:10" x14ac:dyDescent="0.25">
      <c r="A2020">
        <v>15</v>
      </c>
      <c r="B2020" s="1">
        <v>40354</v>
      </c>
      <c r="C2020">
        <v>0</v>
      </c>
      <c r="D2020">
        <v>72.790000000000006</v>
      </c>
      <c r="E2020">
        <v>2.9580000000000002</v>
      </c>
      <c r="F2020">
        <v>132.49760000000001</v>
      </c>
      <c r="G2020">
        <v>672194.03</v>
      </c>
      <c r="H2020" t="str">
        <f>TEXT(Ventas[[#This Row],[Fecha_venta]],"dd")</f>
        <v>25</v>
      </c>
      <c r="I2020" t="str">
        <f>TEXT(Ventas[[#This Row],[Fecha_venta]],"m")</f>
        <v>6</v>
      </c>
      <c r="J2020" t="str">
        <f>TEXT(Ventas[[#This Row],[Fecha_venta]],"yyyy")</f>
        <v>2010</v>
      </c>
    </row>
    <row r="2021" spans="1:10" x14ac:dyDescent="0.25">
      <c r="A2021">
        <v>15</v>
      </c>
      <c r="B2021" s="1">
        <v>40361</v>
      </c>
      <c r="C2021">
        <v>0</v>
      </c>
      <c r="D2021">
        <v>66.13</v>
      </c>
      <c r="E2021">
        <v>2.9580000000000002</v>
      </c>
      <c r="F2021">
        <v>132.5218667</v>
      </c>
      <c r="G2021">
        <v>709337.11</v>
      </c>
      <c r="H2021" t="str">
        <f>TEXT(Ventas[[#This Row],[Fecha_venta]],"dd")</f>
        <v>02</v>
      </c>
      <c r="I2021" t="str">
        <f>TEXT(Ventas[[#This Row],[Fecha_venta]],"m")</f>
        <v>7</v>
      </c>
      <c r="J2021" t="str">
        <f>TEXT(Ventas[[#This Row],[Fecha_venta]],"yyyy")</f>
        <v>2010</v>
      </c>
    </row>
    <row r="2022" spans="1:10" x14ac:dyDescent="0.25">
      <c r="A2022">
        <v>15</v>
      </c>
      <c r="B2022" s="1">
        <v>40368</v>
      </c>
      <c r="C2022">
        <v>0</v>
      </c>
      <c r="D2022">
        <v>77.33</v>
      </c>
      <c r="E2022">
        <v>2.94</v>
      </c>
      <c r="F2022">
        <v>132.54613330000001</v>
      </c>
      <c r="G2022">
        <v>691497.62</v>
      </c>
      <c r="H2022" t="str">
        <f>TEXT(Ventas[[#This Row],[Fecha_venta]],"dd")</f>
        <v>09</v>
      </c>
      <c r="I2022" t="str">
        <f>TEXT(Ventas[[#This Row],[Fecha_venta]],"m")</f>
        <v>7</v>
      </c>
      <c r="J2022" t="str">
        <f>TEXT(Ventas[[#This Row],[Fecha_venta]],"yyyy")</f>
        <v>2010</v>
      </c>
    </row>
    <row r="2023" spans="1:10" x14ac:dyDescent="0.25">
      <c r="A2023">
        <v>15</v>
      </c>
      <c r="B2023" s="1">
        <v>40375</v>
      </c>
      <c r="C2023">
        <v>0</v>
      </c>
      <c r="D2023">
        <v>72.83</v>
      </c>
      <c r="E2023">
        <v>2.9329999999999998</v>
      </c>
      <c r="F2023">
        <v>132.5667742</v>
      </c>
      <c r="G2023">
        <v>633203.68999999994</v>
      </c>
      <c r="H2023" t="str">
        <f>TEXT(Ventas[[#This Row],[Fecha_venta]],"dd")</f>
        <v>16</v>
      </c>
      <c r="I2023" t="str">
        <f>TEXT(Ventas[[#This Row],[Fecha_venta]],"m")</f>
        <v>7</v>
      </c>
      <c r="J2023" t="str">
        <f>TEXT(Ventas[[#This Row],[Fecha_venta]],"yyyy")</f>
        <v>2010</v>
      </c>
    </row>
    <row r="2024" spans="1:10" x14ac:dyDescent="0.25">
      <c r="A2024">
        <v>15</v>
      </c>
      <c r="B2024" s="1">
        <v>40382</v>
      </c>
      <c r="C2024">
        <v>0</v>
      </c>
      <c r="D2024">
        <v>73.2</v>
      </c>
      <c r="E2024">
        <v>2.9239999999999999</v>
      </c>
      <c r="F2024">
        <v>132.5825806</v>
      </c>
      <c r="G2024">
        <v>598553.43000000005</v>
      </c>
      <c r="H2024" t="str">
        <f>TEXT(Ventas[[#This Row],[Fecha_venta]],"dd")</f>
        <v>23</v>
      </c>
      <c r="I2024" t="str">
        <f>TEXT(Ventas[[#This Row],[Fecha_venta]],"m")</f>
        <v>7</v>
      </c>
      <c r="J2024" t="str">
        <f>TEXT(Ventas[[#This Row],[Fecha_venta]],"yyyy")</f>
        <v>2010</v>
      </c>
    </row>
    <row r="2025" spans="1:10" x14ac:dyDescent="0.25">
      <c r="A2025">
        <v>15</v>
      </c>
      <c r="B2025" s="1">
        <v>40389</v>
      </c>
      <c r="C2025">
        <v>0</v>
      </c>
      <c r="D2025">
        <v>72.040000000000006</v>
      </c>
      <c r="E2025">
        <v>2.9319999999999999</v>
      </c>
      <c r="F2025">
        <v>132.5983871</v>
      </c>
      <c r="G2025">
        <v>619224.06000000006</v>
      </c>
      <c r="H2025" t="str">
        <f>TEXT(Ventas[[#This Row],[Fecha_venta]],"dd")</f>
        <v>30</v>
      </c>
      <c r="I2025" t="str">
        <f>TEXT(Ventas[[#This Row],[Fecha_venta]],"m")</f>
        <v>7</v>
      </c>
      <c r="J2025" t="str">
        <f>TEXT(Ventas[[#This Row],[Fecha_venta]],"yyyy")</f>
        <v>2010</v>
      </c>
    </row>
    <row r="2026" spans="1:10" x14ac:dyDescent="0.25">
      <c r="A2026">
        <v>15</v>
      </c>
      <c r="B2026" s="1">
        <v>40396</v>
      </c>
      <c r="C2026">
        <v>0</v>
      </c>
      <c r="D2026">
        <v>72.7</v>
      </c>
      <c r="E2026">
        <v>2.9420000000000002</v>
      </c>
      <c r="F2026">
        <v>132.6141935</v>
      </c>
      <c r="G2026">
        <v>639651.24</v>
      </c>
      <c r="H2026" t="str">
        <f>TEXT(Ventas[[#This Row],[Fecha_venta]],"dd")</f>
        <v>06</v>
      </c>
      <c r="I2026" t="str">
        <f>TEXT(Ventas[[#This Row],[Fecha_venta]],"m")</f>
        <v>8</v>
      </c>
      <c r="J2026" t="str">
        <f>TEXT(Ventas[[#This Row],[Fecha_venta]],"yyyy")</f>
        <v>2010</v>
      </c>
    </row>
    <row r="2027" spans="1:10" x14ac:dyDescent="0.25">
      <c r="A2027">
        <v>15</v>
      </c>
      <c r="B2027" s="1">
        <v>40403</v>
      </c>
      <c r="C2027">
        <v>0</v>
      </c>
      <c r="D2027">
        <v>72.17</v>
      </c>
      <c r="E2027">
        <v>2.923</v>
      </c>
      <c r="F2027">
        <v>132.63</v>
      </c>
      <c r="G2027">
        <v>622437.07999999996</v>
      </c>
      <c r="H2027" t="str">
        <f>TEXT(Ventas[[#This Row],[Fecha_venta]],"dd")</f>
        <v>13</v>
      </c>
      <c r="I2027" t="str">
        <f>TEXT(Ventas[[#This Row],[Fecha_venta]],"m")</f>
        <v>8</v>
      </c>
      <c r="J2027" t="str">
        <f>TEXT(Ventas[[#This Row],[Fecha_venta]],"yyyy")</f>
        <v>2010</v>
      </c>
    </row>
    <row r="2028" spans="1:10" x14ac:dyDescent="0.25">
      <c r="A2028">
        <v>15</v>
      </c>
      <c r="B2028" s="1">
        <v>40410</v>
      </c>
      <c r="C2028">
        <v>0</v>
      </c>
      <c r="D2028">
        <v>71.099999999999994</v>
      </c>
      <c r="E2028">
        <v>2.9129999999999998</v>
      </c>
      <c r="F2028">
        <v>132.66161289999999</v>
      </c>
      <c r="G2028">
        <v>637090.43999999994</v>
      </c>
      <c r="H2028" t="str">
        <f>TEXT(Ventas[[#This Row],[Fecha_venta]],"dd")</f>
        <v>20</v>
      </c>
      <c r="I2028" t="str">
        <f>TEXT(Ventas[[#This Row],[Fecha_venta]],"m")</f>
        <v>8</v>
      </c>
      <c r="J2028" t="str">
        <f>TEXT(Ventas[[#This Row],[Fecha_venta]],"yyyy")</f>
        <v>2010</v>
      </c>
    </row>
    <row r="2029" spans="1:10" x14ac:dyDescent="0.25">
      <c r="A2029">
        <v>15</v>
      </c>
      <c r="B2029" s="1">
        <v>40417</v>
      </c>
      <c r="C2029">
        <v>0</v>
      </c>
      <c r="D2029">
        <v>65.069999999999993</v>
      </c>
      <c r="E2029">
        <v>2.8849999999999998</v>
      </c>
      <c r="F2029">
        <v>132.69322579999999</v>
      </c>
      <c r="G2029">
        <v>649791.15</v>
      </c>
      <c r="H2029" t="str">
        <f>TEXT(Ventas[[#This Row],[Fecha_venta]],"dd")</f>
        <v>27</v>
      </c>
      <c r="I2029" t="str">
        <f>TEXT(Ventas[[#This Row],[Fecha_venta]],"m")</f>
        <v>8</v>
      </c>
      <c r="J2029" t="str">
        <f>TEXT(Ventas[[#This Row],[Fecha_venta]],"yyyy")</f>
        <v>2010</v>
      </c>
    </row>
    <row r="2030" spans="1:10" x14ac:dyDescent="0.25">
      <c r="A2030">
        <v>15</v>
      </c>
      <c r="B2030" s="1">
        <v>40424</v>
      </c>
      <c r="C2030">
        <v>0</v>
      </c>
      <c r="D2030">
        <v>73.17</v>
      </c>
      <c r="E2030">
        <v>2.86</v>
      </c>
      <c r="F2030">
        <v>132.72483869999999</v>
      </c>
      <c r="G2030">
        <v>638647.21</v>
      </c>
      <c r="H2030" t="str">
        <f>TEXT(Ventas[[#This Row],[Fecha_venta]],"dd")</f>
        <v>03</v>
      </c>
      <c r="I2030" t="str">
        <f>TEXT(Ventas[[#This Row],[Fecha_venta]],"m")</f>
        <v>9</v>
      </c>
      <c r="J2030" t="str">
        <f>TEXT(Ventas[[#This Row],[Fecha_venta]],"yyyy")</f>
        <v>2010</v>
      </c>
    </row>
    <row r="2031" spans="1:10" x14ac:dyDescent="0.25">
      <c r="A2031">
        <v>15</v>
      </c>
      <c r="B2031" s="1">
        <v>40431</v>
      </c>
      <c r="C2031">
        <v>1</v>
      </c>
      <c r="D2031">
        <v>62.36</v>
      </c>
      <c r="E2031">
        <v>2.8370000000000002</v>
      </c>
      <c r="F2031">
        <v>132.75645159999999</v>
      </c>
      <c r="G2031">
        <v>641965.19999999995</v>
      </c>
      <c r="H2031" t="str">
        <f>TEXT(Ventas[[#This Row],[Fecha_venta]],"dd")</f>
        <v>10</v>
      </c>
      <c r="I2031" t="str">
        <f>TEXT(Ventas[[#This Row],[Fecha_venta]],"m")</f>
        <v>9</v>
      </c>
      <c r="J2031" t="str">
        <f>TEXT(Ventas[[#This Row],[Fecha_venta]],"yyyy")</f>
        <v>2010</v>
      </c>
    </row>
    <row r="2032" spans="1:10" x14ac:dyDescent="0.25">
      <c r="A2032">
        <v>15</v>
      </c>
      <c r="B2032" s="1">
        <v>40438</v>
      </c>
      <c r="C2032">
        <v>0</v>
      </c>
      <c r="D2032">
        <v>57.94</v>
      </c>
      <c r="E2032">
        <v>2.8460000000000001</v>
      </c>
      <c r="F2032">
        <v>132.76706669999999</v>
      </c>
      <c r="G2032">
        <v>583210.87</v>
      </c>
      <c r="H2032" t="str">
        <f>TEXT(Ventas[[#This Row],[Fecha_venta]],"dd")</f>
        <v>17</v>
      </c>
      <c r="I2032" t="str">
        <f>TEXT(Ventas[[#This Row],[Fecha_venta]],"m")</f>
        <v>9</v>
      </c>
      <c r="J2032" t="str">
        <f>TEXT(Ventas[[#This Row],[Fecha_venta]],"yyyy")</f>
        <v>2010</v>
      </c>
    </row>
    <row r="2033" spans="1:10" x14ac:dyDescent="0.25">
      <c r="A2033">
        <v>15</v>
      </c>
      <c r="B2033" s="1">
        <v>40445</v>
      </c>
      <c r="C2033">
        <v>0</v>
      </c>
      <c r="D2033">
        <v>62.53</v>
      </c>
      <c r="E2033">
        <v>2.8370000000000002</v>
      </c>
      <c r="F2033">
        <v>132.76193330000001</v>
      </c>
      <c r="G2033">
        <v>548542.47</v>
      </c>
      <c r="H2033" t="str">
        <f>TEXT(Ventas[[#This Row],[Fecha_venta]],"dd")</f>
        <v>24</v>
      </c>
      <c r="I2033" t="str">
        <f>TEXT(Ventas[[#This Row],[Fecha_venta]],"m")</f>
        <v>9</v>
      </c>
      <c r="J2033" t="str">
        <f>TEXT(Ventas[[#This Row],[Fecha_venta]],"yyyy")</f>
        <v>2010</v>
      </c>
    </row>
    <row r="2034" spans="1:10" x14ac:dyDescent="0.25">
      <c r="A2034">
        <v>15</v>
      </c>
      <c r="B2034" s="1">
        <v>40452</v>
      </c>
      <c r="C2034">
        <v>0</v>
      </c>
      <c r="D2034">
        <v>59.69</v>
      </c>
      <c r="E2034">
        <v>2.84</v>
      </c>
      <c r="F2034">
        <v>132.7568</v>
      </c>
      <c r="G2034">
        <v>566945.94999999995</v>
      </c>
      <c r="H2034" t="str">
        <f>TEXT(Ventas[[#This Row],[Fecha_venta]],"dd")</f>
        <v>01</v>
      </c>
      <c r="I2034" t="str">
        <f>TEXT(Ventas[[#This Row],[Fecha_venta]],"m")</f>
        <v>10</v>
      </c>
      <c r="J2034" t="str">
        <f>TEXT(Ventas[[#This Row],[Fecha_venta]],"yyyy")</f>
        <v>2010</v>
      </c>
    </row>
    <row r="2035" spans="1:10" x14ac:dyDescent="0.25">
      <c r="A2035">
        <v>15</v>
      </c>
      <c r="B2035" s="1">
        <v>40459</v>
      </c>
      <c r="C2035">
        <v>0</v>
      </c>
      <c r="D2035">
        <v>52.19</v>
      </c>
      <c r="E2035">
        <v>2.903</v>
      </c>
      <c r="F2035">
        <v>132.75166669999999</v>
      </c>
      <c r="G2035">
        <v>591603.79</v>
      </c>
      <c r="H2035" t="str">
        <f>TEXT(Ventas[[#This Row],[Fecha_venta]],"dd")</f>
        <v>08</v>
      </c>
      <c r="I2035" t="str">
        <f>TEXT(Ventas[[#This Row],[Fecha_venta]],"m")</f>
        <v>10</v>
      </c>
      <c r="J2035" t="str">
        <f>TEXT(Ventas[[#This Row],[Fecha_venta]],"yyyy")</f>
        <v>2010</v>
      </c>
    </row>
    <row r="2036" spans="1:10" x14ac:dyDescent="0.25">
      <c r="A2036">
        <v>15</v>
      </c>
      <c r="B2036" s="1">
        <v>40466</v>
      </c>
      <c r="C2036">
        <v>0</v>
      </c>
      <c r="D2036">
        <v>49.96</v>
      </c>
      <c r="E2036">
        <v>2.9990000000000001</v>
      </c>
      <c r="F2036">
        <v>132.7633548</v>
      </c>
      <c r="G2036">
        <v>577011.26</v>
      </c>
      <c r="H2036" t="str">
        <f>TEXT(Ventas[[#This Row],[Fecha_venta]],"dd")</f>
        <v>15</v>
      </c>
      <c r="I2036" t="str">
        <f>TEXT(Ventas[[#This Row],[Fecha_venta]],"m")</f>
        <v>10</v>
      </c>
      <c r="J2036" t="str">
        <f>TEXT(Ventas[[#This Row],[Fecha_venta]],"yyyy")</f>
        <v>2010</v>
      </c>
    </row>
    <row r="2037" spans="1:10" x14ac:dyDescent="0.25">
      <c r="A2037">
        <v>15</v>
      </c>
      <c r="B2037" s="1">
        <v>40473</v>
      </c>
      <c r="C2037">
        <v>0</v>
      </c>
      <c r="D2037">
        <v>47.1</v>
      </c>
      <c r="E2037">
        <v>3.0489999999999999</v>
      </c>
      <c r="F2037">
        <v>132.8170968</v>
      </c>
      <c r="G2037">
        <v>600395.73</v>
      </c>
      <c r="H2037" t="str">
        <f>TEXT(Ventas[[#This Row],[Fecha_venta]],"dd")</f>
        <v>22</v>
      </c>
      <c r="I2037" t="str">
        <f>TEXT(Ventas[[#This Row],[Fecha_venta]],"m")</f>
        <v>10</v>
      </c>
      <c r="J2037" t="str">
        <f>TEXT(Ventas[[#This Row],[Fecha_venta]],"yyyy")</f>
        <v>2010</v>
      </c>
    </row>
    <row r="2038" spans="1:10" x14ac:dyDescent="0.25">
      <c r="A2038">
        <v>15</v>
      </c>
      <c r="B2038" s="1">
        <v>40480</v>
      </c>
      <c r="C2038">
        <v>0</v>
      </c>
      <c r="D2038">
        <v>55.09</v>
      </c>
      <c r="E2038">
        <v>3.0550000000000002</v>
      </c>
      <c r="F2038">
        <v>132.87083870000001</v>
      </c>
      <c r="G2038">
        <v>598301.5</v>
      </c>
      <c r="H2038" t="str">
        <f>TEXT(Ventas[[#This Row],[Fecha_venta]],"dd")</f>
        <v>29</v>
      </c>
      <c r="I2038" t="str">
        <f>TEXT(Ventas[[#This Row],[Fecha_venta]],"m")</f>
        <v>10</v>
      </c>
      <c r="J2038" t="str">
        <f>TEXT(Ventas[[#This Row],[Fecha_venta]],"yyyy")</f>
        <v>2010</v>
      </c>
    </row>
    <row r="2039" spans="1:10" x14ac:dyDescent="0.25">
      <c r="A2039">
        <v>15</v>
      </c>
      <c r="B2039" s="1">
        <v>40487</v>
      </c>
      <c r="C2039">
        <v>0</v>
      </c>
      <c r="D2039">
        <v>40.29</v>
      </c>
      <c r="E2039">
        <v>3.0489999999999999</v>
      </c>
      <c r="F2039">
        <v>132.92458060000001</v>
      </c>
      <c r="G2039">
        <v>612987.64</v>
      </c>
      <c r="H2039" t="str">
        <f>TEXT(Ventas[[#This Row],[Fecha_venta]],"dd")</f>
        <v>05</v>
      </c>
      <c r="I2039" t="str">
        <f>TEXT(Ventas[[#This Row],[Fecha_venta]],"m")</f>
        <v>11</v>
      </c>
      <c r="J2039" t="str">
        <f>TEXT(Ventas[[#This Row],[Fecha_venta]],"yyyy")</f>
        <v>2010</v>
      </c>
    </row>
    <row r="2040" spans="1:10" x14ac:dyDescent="0.25">
      <c r="A2040">
        <v>15</v>
      </c>
      <c r="B2040" s="1">
        <v>40494</v>
      </c>
      <c r="C2040">
        <v>0</v>
      </c>
      <c r="D2040">
        <v>39.630000000000003</v>
      </c>
      <c r="E2040">
        <v>3.0649999999999999</v>
      </c>
      <c r="F2040">
        <v>132.97832260000001</v>
      </c>
      <c r="G2040">
        <v>619639.74</v>
      </c>
      <c r="H2040" t="str">
        <f>TEXT(Ventas[[#This Row],[Fecha_venta]],"dd")</f>
        <v>12</v>
      </c>
      <c r="I2040" t="str">
        <f>TEXT(Ventas[[#This Row],[Fecha_venta]],"m")</f>
        <v>11</v>
      </c>
      <c r="J2040" t="str">
        <f>TEXT(Ventas[[#This Row],[Fecha_venta]],"yyyy")</f>
        <v>2010</v>
      </c>
    </row>
    <row r="2041" spans="1:10" x14ac:dyDescent="0.25">
      <c r="A2041">
        <v>15</v>
      </c>
      <c r="B2041" s="1">
        <v>40501</v>
      </c>
      <c r="C2041">
        <v>0</v>
      </c>
      <c r="D2041">
        <v>44.1</v>
      </c>
      <c r="E2041">
        <v>3.1379999999999999</v>
      </c>
      <c r="F2041">
        <v>132.91720000000001</v>
      </c>
      <c r="G2041">
        <v>608200.81000000006</v>
      </c>
      <c r="H2041" t="str">
        <f>TEXT(Ventas[[#This Row],[Fecha_venta]],"dd")</f>
        <v>19</v>
      </c>
      <c r="I2041" t="str">
        <f>TEXT(Ventas[[#This Row],[Fecha_venta]],"m")</f>
        <v>11</v>
      </c>
      <c r="J2041" t="str">
        <f>TEXT(Ventas[[#This Row],[Fecha_venta]],"yyyy")</f>
        <v>2010</v>
      </c>
    </row>
    <row r="2042" spans="1:10" x14ac:dyDescent="0.25">
      <c r="A2042">
        <v>15</v>
      </c>
      <c r="B2042" s="1">
        <v>40508</v>
      </c>
      <c r="C2042">
        <v>1</v>
      </c>
      <c r="D2042">
        <v>40.71</v>
      </c>
      <c r="E2042">
        <v>3.1859999999999999</v>
      </c>
      <c r="F2042">
        <v>132.8369333</v>
      </c>
      <c r="G2042">
        <v>1120018.92</v>
      </c>
      <c r="H2042" t="str">
        <f>TEXT(Ventas[[#This Row],[Fecha_venta]],"dd")</f>
        <v>26</v>
      </c>
      <c r="I2042" t="str">
        <f>TEXT(Ventas[[#This Row],[Fecha_venta]],"m")</f>
        <v>11</v>
      </c>
      <c r="J2042" t="str">
        <f>TEXT(Ventas[[#This Row],[Fecha_venta]],"yyyy")</f>
        <v>2010</v>
      </c>
    </row>
    <row r="2043" spans="1:10" x14ac:dyDescent="0.25">
      <c r="A2043">
        <v>15</v>
      </c>
      <c r="B2043" s="1">
        <v>40515</v>
      </c>
      <c r="C2043">
        <v>0</v>
      </c>
      <c r="D2043">
        <v>36</v>
      </c>
      <c r="E2043">
        <v>3.2</v>
      </c>
      <c r="F2043">
        <v>132.75666670000001</v>
      </c>
      <c r="G2043">
        <v>754134.95</v>
      </c>
      <c r="H2043" t="str">
        <f>TEXT(Ventas[[#This Row],[Fecha_venta]],"dd")</f>
        <v>03</v>
      </c>
      <c r="I2043" t="str">
        <f>TEXT(Ventas[[#This Row],[Fecha_venta]],"m")</f>
        <v>12</v>
      </c>
      <c r="J2043" t="str">
        <f>TEXT(Ventas[[#This Row],[Fecha_venta]],"yyyy")</f>
        <v>2010</v>
      </c>
    </row>
    <row r="2044" spans="1:10" x14ac:dyDescent="0.25">
      <c r="A2044">
        <v>15</v>
      </c>
      <c r="B2044" s="1">
        <v>40522</v>
      </c>
      <c r="C2044">
        <v>0</v>
      </c>
      <c r="D2044">
        <v>23.97</v>
      </c>
      <c r="E2044">
        <v>3.2549999999999999</v>
      </c>
      <c r="F2044">
        <v>132.6764</v>
      </c>
      <c r="G2044">
        <v>847294.04</v>
      </c>
      <c r="H2044" t="str">
        <f>TEXT(Ventas[[#This Row],[Fecha_venta]],"dd")</f>
        <v>10</v>
      </c>
      <c r="I2044" t="str">
        <f>TEXT(Ventas[[#This Row],[Fecha_venta]],"m")</f>
        <v>12</v>
      </c>
      <c r="J2044" t="str">
        <f>TEXT(Ventas[[#This Row],[Fecha_venta]],"yyyy")</f>
        <v>2010</v>
      </c>
    </row>
    <row r="2045" spans="1:10" x14ac:dyDescent="0.25">
      <c r="A2045">
        <v>15</v>
      </c>
      <c r="B2045" s="1">
        <v>40529</v>
      </c>
      <c r="C2045">
        <v>0</v>
      </c>
      <c r="D2045">
        <v>25.3</v>
      </c>
      <c r="E2045">
        <v>3.3010000000000002</v>
      </c>
      <c r="F2045">
        <v>132.6804516</v>
      </c>
      <c r="G2045">
        <v>983825.15</v>
      </c>
      <c r="H2045" t="str">
        <f>TEXT(Ventas[[#This Row],[Fecha_venta]],"dd")</f>
        <v>17</v>
      </c>
      <c r="I2045" t="str">
        <f>TEXT(Ventas[[#This Row],[Fecha_venta]],"m")</f>
        <v>12</v>
      </c>
      <c r="J2045" t="str">
        <f>TEXT(Ventas[[#This Row],[Fecha_venta]],"yyyy")</f>
        <v>2010</v>
      </c>
    </row>
    <row r="2046" spans="1:10" x14ac:dyDescent="0.25">
      <c r="A2046">
        <v>15</v>
      </c>
      <c r="B2046" s="1">
        <v>40536</v>
      </c>
      <c r="C2046">
        <v>0</v>
      </c>
      <c r="D2046">
        <v>25.07</v>
      </c>
      <c r="E2046">
        <v>3.3090000000000002</v>
      </c>
      <c r="F2046">
        <v>132.74774189999999</v>
      </c>
      <c r="G2046">
        <v>1368318.17</v>
      </c>
      <c r="H2046" t="str">
        <f>TEXT(Ventas[[#This Row],[Fecha_venta]],"dd")</f>
        <v>24</v>
      </c>
      <c r="I2046" t="str">
        <f>TEXT(Ventas[[#This Row],[Fecha_venta]],"m")</f>
        <v>12</v>
      </c>
      <c r="J2046" t="str">
        <f>TEXT(Ventas[[#This Row],[Fecha_venta]],"yyyy")</f>
        <v>2010</v>
      </c>
    </row>
    <row r="2047" spans="1:10" x14ac:dyDescent="0.25">
      <c r="A2047">
        <v>15</v>
      </c>
      <c r="B2047" s="1">
        <v>40543</v>
      </c>
      <c r="C2047">
        <v>1</v>
      </c>
      <c r="D2047">
        <v>26.54</v>
      </c>
      <c r="E2047">
        <v>3.3359999999999999</v>
      </c>
      <c r="F2047">
        <v>132.81503230000001</v>
      </c>
      <c r="G2047">
        <v>543754.17000000004</v>
      </c>
      <c r="H2047" t="str">
        <f>TEXT(Ventas[[#This Row],[Fecha_venta]],"dd")</f>
        <v>31</v>
      </c>
      <c r="I2047" t="str">
        <f>TEXT(Ventas[[#This Row],[Fecha_venta]],"m")</f>
        <v>12</v>
      </c>
      <c r="J2047" t="str">
        <f>TEXT(Ventas[[#This Row],[Fecha_venta]],"yyyy")</f>
        <v>2010</v>
      </c>
    </row>
    <row r="2048" spans="1:10" x14ac:dyDescent="0.25">
      <c r="A2048">
        <v>15</v>
      </c>
      <c r="B2048" s="1">
        <v>40550</v>
      </c>
      <c r="C2048">
        <v>0</v>
      </c>
      <c r="D2048">
        <v>30.53</v>
      </c>
      <c r="E2048">
        <v>3.351</v>
      </c>
      <c r="F2048">
        <v>132.88232260000001</v>
      </c>
      <c r="G2048">
        <v>509640.77</v>
      </c>
      <c r="H2048" t="str">
        <f>TEXT(Ventas[[#This Row],[Fecha_venta]],"dd")</f>
        <v>07</v>
      </c>
      <c r="I2048" t="str">
        <f>TEXT(Ventas[[#This Row],[Fecha_venta]],"m")</f>
        <v>1</v>
      </c>
      <c r="J2048" t="str">
        <f>TEXT(Ventas[[#This Row],[Fecha_venta]],"yyyy")</f>
        <v>2011</v>
      </c>
    </row>
    <row r="2049" spans="1:10" x14ac:dyDescent="0.25">
      <c r="A2049">
        <v>15</v>
      </c>
      <c r="B2049" s="1">
        <v>40557</v>
      </c>
      <c r="C2049">
        <v>0</v>
      </c>
      <c r="D2049">
        <v>19.53</v>
      </c>
      <c r="E2049">
        <v>3.367</v>
      </c>
      <c r="F2049">
        <v>132.9510645</v>
      </c>
      <c r="G2049">
        <v>479424.2</v>
      </c>
      <c r="H2049" t="str">
        <f>TEXT(Ventas[[#This Row],[Fecha_venta]],"dd")</f>
        <v>14</v>
      </c>
      <c r="I2049" t="str">
        <f>TEXT(Ventas[[#This Row],[Fecha_venta]],"m")</f>
        <v>1</v>
      </c>
      <c r="J2049" t="str">
        <f>TEXT(Ventas[[#This Row],[Fecha_venta]],"yyyy")</f>
        <v>2011</v>
      </c>
    </row>
    <row r="2050" spans="1:10" x14ac:dyDescent="0.25">
      <c r="A2050">
        <v>15</v>
      </c>
      <c r="B2050" s="1">
        <v>40564</v>
      </c>
      <c r="C2050">
        <v>0</v>
      </c>
      <c r="D2050">
        <v>21.84</v>
      </c>
      <c r="E2050">
        <v>9.9000000000000005E-2</v>
      </c>
      <c r="F2050">
        <v>133.02851609999999</v>
      </c>
      <c r="G2050">
        <v>487311.03</v>
      </c>
      <c r="H2050" t="str">
        <f>TEXT(Ventas[[#This Row],[Fecha_venta]],"dd")</f>
        <v>21</v>
      </c>
      <c r="I2050" t="str">
        <f>TEXT(Ventas[[#This Row],[Fecha_venta]],"m")</f>
        <v>1</v>
      </c>
      <c r="J2050" t="str">
        <f>TEXT(Ventas[[#This Row],[Fecha_venta]],"yyyy")</f>
        <v>2011</v>
      </c>
    </row>
    <row r="2051" spans="1:10" x14ac:dyDescent="0.25">
      <c r="A2051">
        <v>15</v>
      </c>
      <c r="B2051" s="1">
        <v>40571</v>
      </c>
      <c r="C2051">
        <v>0</v>
      </c>
      <c r="D2051">
        <v>19.61</v>
      </c>
      <c r="E2051">
        <v>3.4020000000000001</v>
      </c>
      <c r="F2051">
        <v>133.10596770000001</v>
      </c>
      <c r="G2051">
        <v>481119.6</v>
      </c>
      <c r="H2051" t="str">
        <f>TEXT(Ventas[[#This Row],[Fecha_venta]],"dd")</f>
        <v>28</v>
      </c>
      <c r="I2051" t="str">
        <f>TEXT(Ventas[[#This Row],[Fecha_venta]],"m")</f>
        <v>1</v>
      </c>
      <c r="J2051" t="str">
        <f>TEXT(Ventas[[#This Row],[Fecha_venta]],"yyyy")</f>
        <v>2011</v>
      </c>
    </row>
    <row r="2052" spans="1:10" x14ac:dyDescent="0.25">
      <c r="A2052">
        <v>15</v>
      </c>
      <c r="B2052" s="1">
        <v>40578</v>
      </c>
      <c r="C2052">
        <v>0</v>
      </c>
      <c r="D2052">
        <v>20.69</v>
      </c>
      <c r="E2052">
        <v>3.4</v>
      </c>
      <c r="F2052">
        <v>133.18341939999999</v>
      </c>
      <c r="G2052">
        <v>556550.85</v>
      </c>
      <c r="H2052" t="str">
        <f>TEXT(Ventas[[#This Row],[Fecha_venta]],"dd")</f>
        <v>04</v>
      </c>
      <c r="I2052" t="str">
        <f>TEXT(Ventas[[#This Row],[Fecha_venta]],"m")</f>
        <v>2</v>
      </c>
      <c r="J2052" t="str">
        <f>TEXT(Ventas[[#This Row],[Fecha_venta]],"yyyy")</f>
        <v>2011</v>
      </c>
    </row>
    <row r="2053" spans="1:10" x14ac:dyDescent="0.25">
      <c r="A2053">
        <v>15</v>
      </c>
      <c r="B2053" s="1">
        <v>40585</v>
      </c>
      <c r="C2053">
        <v>1</v>
      </c>
      <c r="D2053">
        <v>21.64</v>
      </c>
      <c r="E2053">
        <v>3.4159999999999999</v>
      </c>
      <c r="F2053">
        <v>133.26087100000001</v>
      </c>
      <c r="G2053">
        <v>582864.35</v>
      </c>
      <c r="H2053" t="str">
        <f>TEXT(Ventas[[#This Row],[Fecha_venta]],"dd")</f>
        <v>11</v>
      </c>
      <c r="I2053" t="str">
        <f>TEXT(Ventas[[#This Row],[Fecha_venta]],"m")</f>
        <v>2</v>
      </c>
      <c r="J2053" t="str">
        <f>TEXT(Ventas[[#This Row],[Fecha_venta]],"yyyy")</f>
        <v>2011</v>
      </c>
    </row>
    <row r="2054" spans="1:10" x14ac:dyDescent="0.25">
      <c r="A2054">
        <v>15</v>
      </c>
      <c r="B2054" s="1">
        <v>40592</v>
      </c>
      <c r="C2054">
        <v>0</v>
      </c>
      <c r="D2054">
        <v>33.06</v>
      </c>
      <c r="E2054">
        <v>3.42</v>
      </c>
      <c r="F2054">
        <v>133.37014289999999</v>
      </c>
      <c r="G2054">
        <v>649993.5</v>
      </c>
      <c r="H2054" t="str">
        <f>TEXT(Ventas[[#This Row],[Fecha_venta]],"dd")</f>
        <v>18</v>
      </c>
      <c r="I2054" t="str">
        <f>TEXT(Ventas[[#This Row],[Fecha_venta]],"m")</f>
        <v>2</v>
      </c>
      <c r="J2054" t="str">
        <f>TEXT(Ventas[[#This Row],[Fecha_venta]],"yyyy")</f>
        <v>2011</v>
      </c>
    </row>
    <row r="2055" spans="1:10" x14ac:dyDescent="0.25">
      <c r="A2055">
        <v>15</v>
      </c>
      <c r="B2055" s="1">
        <v>40599</v>
      </c>
      <c r="C2055">
        <v>0</v>
      </c>
      <c r="D2055">
        <v>20.87</v>
      </c>
      <c r="E2055">
        <v>3.452</v>
      </c>
      <c r="F2055">
        <v>133.4921429</v>
      </c>
      <c r="G2055">
        <v>547564.09</v>
      </c>
      <c r="H2055" t="str">
        <f>TEXT(Ventas[[#This Row],[Fecha_venta]],"dd")</f>
        <v>25</v>
      </c>
      <c r="I2055" t="str">
        <f>TEXT(Ventas[[#This Row],[Fecha_venta]],"m")</f>
        <v>2</v>
      </c>
      <c r="J2055" t="str">
        <f>TEXT(Ventas[[#This Row],[Fecha_venta]],"yyyy")</f>
        <v>2011</v>
      </c>
    </row>
    <row r="2056" spans="1:10" x14ac:dyDescent="0.25">
      <c r="A2056">
        <v>15</v>
      </c>
      <c r="B2056" s="1">
        <v>40606</v>
      </c>
      <c r="C2056">
        <v>0</v>
      </c>
      <c r="D2056">
        <v>28.16</v>
      </c>
      <c r="E2056">
        <v>3.605</v>
      </c>
      <c r="F2056">
        <v>133.61414289999999</v>
      </c>
      <c r="G2056">
        <v>573374.49</v>
      </c>
      <c r="H2056" t="str">
        <f>TEXT(Ventas[[#This Row],[Fecha_venta]],"dd")</f>
        <v>04</v>
      </c>
      <c r="I2056" t="str">
        <f>TEXT(Ventas[[#This Row],[Fecha_venta]],"m")</f>
        <v>3</v>
      </c>
      <c r="J2056" t="str">
        <f>TEXT(Ventas[[#This Row],[Fecha_venta]],"yyyy")</f>
        <v>2011</v>
      </c>
    </row>
    <row r="2057" spans="1:10" x14ac:dyDescent="0.25">
      <c r="A2057">
        <v>15</v>
      </c>
      <c r="B2057" s="1">
        <v>40613</v>
      </c>
      <c r="C2057">
        <v>0</v>
      </c>
      <c r="D2057">
        <v>34.270000000000003</v>
      </c>
      <c r="E2057">
        <v>3.7519999999999998</v>
      </c>
      <c r="F2057">
        <v>133.7361429</v>
      </c>
      <c r="G2057">
        <v>537035.28</v>
      </c>
      <c r="H2057" t="str">
        <f>TEXT(Ventas[[#This Row],[Fecha_venta]],"dd")</f>
        <v>11</v>
      </c>
      <c r="I2057" t="str">
        <f>TEXT(Ventas[[#This Row],[Fecha_venta]],"m")</f>
        <v>3</v>
      </c>
      <c r="J2057" t="str">
        <f>TEXT(Ventas[[#This Row],[Fecha_venta]],"yyyy")</f>
        <v>2011</v>
      </c>
    </row>
    <row r="2058" spans="1:10" x14ac:dyDescent="0.25">
      <c r="A2058">
        <v>15</v>
      </c>
      <c r="B2058" s="1">
        <v>40620</v>
      </c>
      <c r="C2058">
        <v>0</v>
      </c>
      <c r="D2058">
        <v>40.229999999999997</v>
      </c>
      <c r="E2058">
        <v>3.7959999999999998</v>
      </c>
      <c r="F2058">
        <v>133.8492258</v>
      </c>
      <c r="G2058">
        <v>551553.99</v>
      </c>
      <c r="H2058" t="str">
        <f>TEXT(Ventas[[#This Row],[Fecha_venta]],"dd")</f>
        <v>18</v>
      </c>
      <c r="I2058" t="str">
        <f>TEXT(Ventas[[#This Row],[Fecha_venta]],"m")</f>
        <v>3</v>
      </c>
      <c r="J2058" t="str">
        <f>TEXT(Ventas[[#This Row],[Fecha_venta]],"yyyy")</f>
        <v>2011</v>
      </c>
    </row>
    <row r="2059" spans="1:10" x14ac:dyDescent="0.25">
      <c r="A2059">
        <v>15</v>
      </c>
      <c r="B2059" s="1">
        <v>40627</v>
      </c>
      <c r="C2059">
        <v>0</v>
      </c>
      <c r="D2059">
        <v>32.630000000000003</v>
      </c>
      <c r="E2059">
        <v>3.7890000000000001</v>
      </c>
      <c r="F2059">
        <v>133.95874190000001</v>
      </c>
      <c r="G2059">
        <v>527389.28</v>
      </c>
      <c r="H2059" t="str">
        <f>TEXT(Ventas[[#This Row],[Fecha_venta]],"dd")</f>
        <v>25</v>
      </c>
      <c r="I2059" t="str">
        <f>TEXT(Ventas[[#This Row],[Fecha_venta]],"m")</f>
        <v>3</v>
      </c>
      <c r="J2059" t="str">
        <f>TEXT(Ventas[[#This Row],[Fecha_venta]],"yyyy")</f>
        <v>2011</v>
      </c>
    </row>
    <row r="2060" spans="1:10" x14ac:dyDescent="0.25">
      <c r="A2060">
        <v>15</v>
      </c>
      <c r="B2060" s="1">
        <v>40634</v>
      </c>
      <c r="C2060">
        <v>0</v>
      </c>
      <c r="D2060">
        <v>30.34</v>
      </c>
      <c r="E2060">
        <v>3.8109999999999999</v>
      </c>
      <c r="F2060">
        <v>134.06825810000001</v>
      </c>
      <c r="G2060">
        <v>542556.05000000005</v>
      </c>
      <c r="H2060" t="str">
        <f>TEXT(Ventas[[#This Row],[Fecha_venta]],"dd")</f>
        <v>01</v>
      </c>
      <c r="I2060" t="str">
        <f>TEXT(Ventas[[#This Row],[Fecha_venta]],"m")</f>
        <v>4</v>
      </c>
      <c r="J2060" t="str">
        <f>TEXT(Ventas[[#This Row],[Fecha_venta]],"yyyy")</f>
        <v>2011</v>
      </c>
    </row>
    <row r="2061" spans="1:10" x14ac:dyDescent="0.25">
      <c r="A2061">
        <v>15</v>
      </c>
      <c r="B2061" s="1">
        <v>40641</v>
      </c>
      <c r="C2061">
        <v>0</v>
      </c>
      <c r="D2061">
        <v>40.94</v>
      </c>
      <c r="E2061">
        <v>3.895</v>
      </c>
      <c r="F2061">
        <v>134.17777419999999</v>
      </c>
      <c r="G2061">
        <v>587370.81000000006</v>
      </c>
      <c r="H2061" t="str">
        <f>TEXT(Ventas[[#This Row],[Fecha_venta]],"dd")</f>
        <v>08</v>
      </c>
      <c r="I2061" t="str">
        <f>TEXT(Ventas[[#This Row],[Fecha_venta]],"m")</f>
        <v>4</v>
      </c>
      <c r="J2061" t="str">
        <f>TEXT(Ventas[[#This Row],[Fecha_venta]],"yyyy")</f>
        <v>2011</v>
      </c>
    </row>
    <row r="2062" spans="1:10" x14ac:dyDescent="0.25">
      <c r="A2062">
        <v>15</v>
      </c>
      <c r="B2062" s="1">
        <v>40648</v>
      </c>
      <c r="C2062">
        <v>0</v>
      </c>
      <c r="D2062">
        <v>48.63</v>
      </c>
      <c r="E2062">
        <v>3.9809999999999999</v>
      </c>
      <c r="F2062">
        <v>134.2784667</v>
      </c>
      <c r="G2062">
        <v>607691.36</v>
      </c>
      <c r="H2062" t="str">
        <f>TEXT(Ventas[[#This Row],[Fecha_venta]],"dd")</f>
        <v>15</v>
      </c>
      <c r="I2062" t="str">
        <f>TEXT(Ventas[[#This Row],[Fecha_venta]],"m")</f>
        <v>4</v>
      </c>
      <c r="J2062" t="str">
        <f>TEXT(Ventas[[#This Row],[Fecha_venta]],"yyyy")</f>
        <v>2011</v>
      </c>
    </row>
    <row r="2063" spans="1:10" x14ac:dyDescent="0.25">
      <c r="A2063">
        <v>15</v>
      </c>
      <c r="B2063" s="1">
        <v>40655</v>
      </c>
      <c r="C2063">
        <v>0</v>
      </c>
      <c r="D2063">
        <v>41.37</v>
      </c>
      <c r="E2063">
        <v>4.0609999999999999</v>
      </c>
      <c r="F2063">
        <v>134.3571</v>
      </c>
      <c r="G2063">
        <v>655318.26</v>
      </c>
      <c r="H2063" t="str">
        <f>TEXT(Ventas[[#This Row],[Fecha_venta]],"dd")</f>
        <v>22</v>
      </c>
      <c r="I2063" t="str">
        <f>TEXT(Ventas[[#This Row],[Fecha_venta]],"m")</f>
        <v>4</v>
      </c>
      <c r="J2063" t="str">
        <f>TEXT(Ventas[[#This Row],[Fecha_venta]],"yyyy")</f>
        <v>2011</v>
      </c>
    </row>
    <row r="2064" spans="1:10" x14ac:dyDescent="0.25">
      <c r="A2064">
        <v>15</v>
      </c>
      <c r="B2064" s="1">
        <v>40662</v>
      </c>
      <c r="C2064">
        <v>0</v>
      </c>
      <c r="D2064">
        <v>55.46</v>
      </c>
      <c r="E2064">
        <v>4.117</v>
      </c>
      <c r="F2064">
        <v>134.43573330000001</v>
      </c>
      <c r="G2064">
        <v>560764.41</v>
      </c>
      <c r="H2064" t="str">
        <f>TEXT(Ventas[[#This Row],[Fecha_venta]],"dd")</f>
        <v>29</v>
      </c>
      <c r="I2064" t="str">
        <f>TEXT(Ventas[[#This Row],[Fecha_venta]],"m")</f>
        <v>4</v>
      </c>
      <c r="J2064" t="str">
        <f>TEXT(Ventas[[#This Row],[Fecha_venta]],"yyyy")</f>
        <v>2011</v>
      </c>
    </row>
    <row r="2065" spans="1:10" x14ac:dyDescent="0.25">
      <c r="A2065">
        <v>15</v>
      </c>
      <c r="B2065" s="1">
        <v>40669</v>
      </c>
      <c r="C2065">
        <v>0</v>
      </c>
      <c r="D2065">
        <v>49.87</v>
      </c>
      <c r="E2065">
        <v>4.1920000000000002</v>
      </c>
      <c r="F2065">
        <v>134.51436670000001</v>
      </c>
      <c r="G2065">
        <v>630522.67000000004</v>
      </c>
      <c r="H2065" t="str">
        <f>TEXT(Ventas[[#This Row],[Fecha_venta]],"dd")</f>
        <v>06</v>
      </c>
      <c r="I2065" t="str">
        <f>TEXT(Ventas[[#This Row],[Fecha_venta]],"m")</f>
        <v>5</v>
      </c>
      <c r="J2065" t="str">
        <f>TEXT(Ventas[[#This Row],[Fecha_venta]],"yyyy")</f>
        <v>2011</v>
      </c>
    </row>
    <row r="2066" spans="1:10" x14ac:dyDescent="0.25">
      <c r="A2066">
        <v>15</v>
      </c>
      <c r="B2066" s="1">
        <v>40676</v>
      </c>
      <c r="C2066">
        <v>0</v>
      </c>
      <c r="D2066">
        <v>57.07</v>
      </c>
      <c r="E2066">
        <v>4.2110000000000003</v>
      </c>
      <c r="F2066">
        <v>134.59299999999999</v>
      </c>
      <c r="G2066">
        <v>630482.91</v>
      </c>
      <c r="H2066" t="str">
        <f>TEXT(Ventas[[#This Row],[Fecha_venta]],"dd")</f>
        <v>13</v>
      </c>
      <c r="I2066" t="str">
        <f>TEXT(Ventas[[#This Row],[Fecha_venta]],"m")</f>
        <v>5</v>
      </c>
      <c r="J2066" t="str">
        <f>TEXT(Ventas[[#This Row],[Fecha_venta]],"yyyy")</f>
        <v>2011</v>
      </c>
    </row>
    <row r="2067" spans="1:10" x14ac:dyDescent="0.25">
      <c r="A2067">
        <v>15</v>
      </c>
      <c r="B2067" s="1">
        <v>40683</v>
      </c>
      <c r="C2067">
        <v>0</v>
      </c>
      <c r="D2067">
        <v>57.19</v>
      </c>
      <c r="E2067">
        <v>4.202</v>
      </c>
      <c r="F2067">
        <v>134.68038709999999</v>
      </c>
      <c r="G2067">
        <v>593941.9</v>
      </c>
      <c r="H2067" t="str">
        <f>TEXT(Ventas[[#This Row],[Fecha_venta]],"dd")</f>
        <v>20</v>
      </c>
      <c r="I2067" t="str">
        <f>TEXT(Ventas[[#This Row],[Fecha_venta]],"m")</f>
        <v>5</v>
      </c>
      <c r="J2067" t="str">
        <f>TEXT(Ventas[[#This Row],[Fecha_venta]],"yyyy")</f>
        <v>2011</v>
      </c>
    </row>
    <row r="2068" spans="1:10" x14ac:dyDescent="0.25">
      <c r="A2068">
        <v>15</v>
      </c>
      <c r="B2068" s="1">
        <v>40690</v>
      </c>
      <c r="C2068">
        <v>0</v>
      </c>
      <c r="D2068">
        <v>65.87</v>
      </c>
      <c r="E2068">
        <v>4.1340000000000003</v>
      </c>
      <c r="F2068">
        <v>134.76777419999999</v>
      </c>
      <c r="G2068">
        <v>636193.24</v>
      </c>
      <c r="H2068" t="str">
        <f>TEXT(Ventas[[#This Row],[Fecha_venta]],"dd")</f>
        <v>27</v>
      </c>
      <c r="I2068" t="str">
        <f>TEXT(Ventas[[#This Row],[Fecha_venta]],"m")</f>
        <v>5</v>
      </c>
      <c r="J2068" t="str">
        <f>TEXT(Ventas[[#This Row],[Fecha_venta]],"yyyy")</f>
        <v>2011</v>
      </c>
    </row>
    <row r="2069" spans="1:10" x14ac:dyDescent="0.25">
      <c r="A2069">
        <v>15</v>
      </c>
      <c r="B2069" s="1">
        <v>40697</v>
      </c>
      <c r="C2069">
        <v>0</v>
      </c>
      <c r="D2069">
        <v>69.8</v>
      </c>
      <c r="E2069">
        <v>4.069</v>
      </c>
      <c r="F2069">
        <v>134.85516129999999</v>
      </c>
      <c r="G2069">
        <v>695396.19</v>
      </c>
      <c r="H2069" t="str">
        <f>TEXT(Ventas[[#This Row],[Fecha_venta]],"dd")</f>
        <v>03</v>
      </c>
      <c r="I2069" t="str">
        <f>TEXT(Ventas[[#This Row],[Fecha_venta]],"m")</f>
        <v>6</v>
      </c>
      <c r="J2069" t="str">
        <f>TEXT(Ventas[[#This Row],[Fecha_venta]],"yyyy")</f>
        <v>2011</v>
      </c>
    </row>
    <row r="2070" spans="1:10" x14ac:dyDescent="0.25">
      <c r="A2070">
        <v>15</v>
      </c>
      <c r="B2070" s="1">
        <v>40704</v>
      </c>
      <c r="C2070">
        <v>0</v>
      </c>
      <c r="D2070">
        <v>69.86</v>
      </c>
      <c r="E2070">
        <v>4.0250000000000004</v>
      </c>
      <c r="F2070">
        <v>134.94254839999999</v>
      </c>
      <c r="G2070">
        <v>642679.81000000006</v>
      </c>
      <c r="H2070" t="str">
        <f>TEXT(Ventas[[#This Row],[Fecha_venta]],"dd")</f>
        <v>10</v>
      </c>
      <c r="I2070" t="str">
        <f>TEXT(Ventas[[#This Row],[Fecha_venta]],"m")</f>
        <v>6</v>
      </c>
      <c r="J2070" t="str">
        <f>TEXT(Ventas[[#This Row],[Fecha_venta]],"yyyy")</f>
        <v>2011</v>
      </c>
    </row>
    <row r="2071" spans="1:10" x14ac:dyDescent="0.25">
      <c r="A2071">
        <v>15</v>
      </c>
      <c r="B2071" s="1">
        <v>40711</v>
      </c>
      <c r="C2071">
        <v>0</v>
      </c>
      <c r="D2071">
        <v>63.9</v>
      </c>
      <c r="E2071">
        <v>3.9889999999999999</v>
      </c>
      <c r="F2071">
        <v>135.08373330000001</v>
      </c>
      <c r="G2071">
        <v>639928.85</v>
      </c>
      <c r="H2071" t="str">
        <f>TEXT(Ventas[[#This Row],[Fecha_venta]],"dd")</f>
        <v>17</v>
      </c>
      <c r="I2071" t="str">
        <f>TEXT(Ventas[[#This Row],[Fecha_venta]],"m")</f>
        <v>6</v>
      </c>
      <c r="J2071" t="str">
        <f>TEXT(Ventas[[#This Row],[Fecha_venta]],"yyyy")</f>
        <v>2011</v>
      </c>
    </row>
    <row r="2072" spans="1:10" x14ac:dyDescent="0.25">
      <c r="A2072">
        <v>15</v>
      </c>
      <c r="B2072" s="1">
        <v>40718</v>
      </c>
      <c r="C2072">
        <v>0</v>
      </c>
      <c r="D2072">
        <v>69.959999999999994</v>
      </c>
      <c r="E2072">
        <v>3.964</v>
      </c>
      <c r="F2072">
        <v>135.26526670000001</v>
      </c>
      <c r="G2072">
        <v>656594.94999999995</v>
      </c>
      <c r="H2072" t="str">
        <f>TEXT(Ventas[[#This Row],[Fecha_venta]],"dd")</f>
        <v>24</v>
      </c>
      <c r="I2072" t="str">
        <f>TEXT(Ventas[[#This Row],[Fecha_venta]],"m")</f>
        <v>6</v>
      </c>
      <c r="J2072" t="str">
        <f>TEXT(Ventas[[#This Row],[Fecha_venta]],"yyyy")</f>
        <v>2011</v>
      </c>
    </row>
    <row r="2073" spans="1:10" x14ac:dyDescent="0.25">
      <c r="A2073">
        <v>15</v>
      </c>
      <c r="B2073" s="1">
        <v>40725</v>
      </c>
      <c r="C2073">
        <v>0</v>
      </c>
      <c r="D2073">
        <v>67.430000000000007</v>
      </c>
      <c r="E2073">
        <v>3.9159999999999999</v>
      </c>
      <c r="F2073">
        <v>135.4468</v>
      </c>
      <c r="G2073">
        <v>674669.16</v>
      </c>
      <c r="H2073" t="str">
        <f>TEXT(Ventas[[#This Row],[Fecha_venta]],"dd")</f>
        <v>01</v>
      </c>
      <c r="I2073" t="str">
        <f>TEXT(Ventas[[#This Row],[Fecha_venta]],"m")</f>
        <v>7</v>
      </c>
      <c r="J2073" t="str">
        <f>TEXT(Ventas[[#This Row],[Fecha_venta]],"yyyy")</f>
        <v>2011</v>
      </c>
    </row>
    <row r="2074" spans="1:10" x14ac:dyDescent="0.25">
      <c r="A2074">
        <v>15</v>
      </c>
      <c r="B2074" s="1">
        <v>40732</v>
      </c>
      <c r="C2074">
        <v>0</v>
      </c>
      <c r="D2074">
        <v>73.47</v>
      </c>
      <c r="E2074">
        <v>3.8860000000000001</v>
      </c>
      <c r="F2074">
        <v>135.62833330000001</v>
      </c>
      <c r="G2074">
        <v>635118.48</v>
      </c>
      <c r="H2074" t="str">
        <f>TEXT(Ventas[[#This Row],[Fecha_venta]],"dd")</f>
        <v>08</v>
      </c>
      <c r="I2074" t="str">
        <f>TEXT(Ventas[[#This Row],[Fecha_venta]],"m")</f>
        <v>7</v>
      </c>
      <c r="J2074" t="str">
        <f>TEXT(Ventas[[#This Row],[Fecha_venta]],"yyyy")</f>
        <v>2011</v>
      </c>
    </row>
    <row r="2075" spans="1:10" x14ac:dyDescent="0.25">
      <c r="A2075">
        <v>15</v>
      </c>
      <c r="B2075" s="1">
        <v>40739</v>
      </c>
      <c r="C2075">
        <v>0</v>
      </c>
      <c r="D2075">
        <v>73.34</v>
      </c>
      <c r="E2075">
        <v>3.915</v>
      </c>
      <c r="F2075">
        <v>135.7837419</v>
      </c>
      <c r="G2075">
        <v>624114.56000000006</v>
      </c>
      <c r="H2075" t="str">
        <f>TEXT(Ventas[[#This Row],[Fecha_venta]],"dd")</f>
        <v>15</v>
      </c>
      <c r="I2075" t="str">
        <f>TEXT(Ventas[[#This Row],[Fecha_venta]],"m")</f>
        <v>7</v>
      </c>
      <c r="J2075" t="str">
        <f>TEXT(Ventas[[#This Row],[Fecha_venta]],"yyyy")</f>
        <v>2011</v>
      </c>
    </row>
    <row r="2076" spans="1:10" x14ac:dyDescent="0.25">
      <c r="A2076">
        <v>15</v>
      </c>
      <c r="B2076" s="1">
        <v>40746</v>
      </c>
      <c r="C2076">
        <v>0</v>
      </c>
      <c r="D2076">
        <v>79.97</v>
      </c>
      <c r="E2076">
        <v>3.972</v>
      </c>
      <c r="F2076">
        <v>135.87383869999999</v>
      </c>
      <c r="G2076">
        <v>607475.43999999994</v>
      </c>
      <c r="H2076" t="str">
        <f>TEXT(Ventas[[#This Row],[Fecha_venta]],"dd")</f>
        <v>22</v>
      </c>
      <c r="I2076" t="str">
        <f>TEXT(Ventas[[#This Row],[Fecha_venta]],"m")</f>
        <v>7</v>
      </c>
      <c r="J2076" t="str">
        <f>TEXT(Ventas[[#This Row],[Fecha_venta]],"yyyy")</f>
        <v>2011</v>
      </c>
    </row>
    <row r="2077" spans="1:10" x14ac:dyDescent="0.25">
      <c r="A2077">
        <v>15</v>
      </c>
      <c r="B2077" s="1">
        <v>40753</v>
      </c>
      <c r="C2077">
        <v>0</v>
      </c>
      <c r="D2077">
        <v>74.67</v>
      </c>
      <c r="E2077">
        <v>4.0039999999999996</v>
      </c>
      <c r="F2077">
        <v>135.96393549999999</v>
      </c>
      <c r="G2077">
        <v>577511.02</v>
      </c>
      <c r="H2077" t="str">
        <f>TEXT(Ventas[[#This Row],[Fecha_venta]],"dd")</f>
        <v>29</v>
      </c>
      <c r="I2077" t="str">
        <f>TEXT(Ventas[[#This Row],[Fecha_venta]],"m")</f>
        <v>7</v>
      </c>
      <c r="J2077" t="str">
        <f>TEXT(Ventas[[#This Row],[Fecha_venta]],"yyyy")</f>
        <v>2011</v>
      </c>
    </row>
    <row r="2078" spans="1:10" x14ac:dyDescent="0.25">
      <c r="A2078">
        <v>15</v>
      </c>
      <c r="B2078" s="1">
        <v>40760</v>
      </c>
      <c r="C2078">
        <v>0</v>
      </c>
      <c r="D2078">
        <v>73.63</v>
      </c>
      <c r="E2078">
        <v>4.0199999999999996</v>
      </c>
      <c r="F2078">
        <v>136.05403229999999</v>
      </c>
      <c r="G2078">
        <v>607961.21</v>
      </c>
      <c r="H2078" t="str">
        <f>TEXT(Ventas[[#This Row],[Fecha_venta]],"dd")</f>
        <v>05</v>
      </c>
      <c r="I2078" t="str">
        <f>TEXT(Ventas[[#This Row],[Fecha_venta]],"m")</f>
        <v>8</v>
      </c>
      <c r="J2078" t="str">
        <f>TEXT(Ventas[[#This Row],[Fecha_venta]],"yyyy")</f>
        <v>2011</v>
      </c>
    </row>
    <row r="2079" spans="1:10" x14ac:dyDescent="0.25">
      <c r="A2079">
        <v>15</v>
      </c>
      <c r="B2079" s="1">
        <v>40767</v>
      </c>
      <c r="C2079">
        <v>0</v>
      </c>
      <c r="D2079">
        <v>70.63</v>
      </c>
      <c r="E2079">
        <v>3.9950000000000001</v>
      </c>
      <c r="F2079">
        <v>136.14412899999999</v>
      </c>
      <c r="G2079">
        <v>590836.37</v>
      </c>
      <c r="H2079" t="str">
        <f>TEXT(Ventas[[#This Row],[Fecha_venta]],"dd")</f>
        <v>12</v>
      </c>
      <c r="I2079" t="str">
        <f>TEXT(Ventas[[#This Row],[Fecha_venta]],"m")</f>
        <v>8</v>
      </c>
      <c r="J2079" t="str">
        <f>TEXT(Ventas[[#This Row],[Fecha_venta]],"yyyy")</f>
        <v>2011</v>
      </c>
    </row>
    <row r="2080" spans="1:10" x14ac:dyDescent="0.25">
      <c r="A2080">
        <v>15</v>
      </c>
      <c r="B2080" s="1">
        <v>40774</v>
      </c>
      <c r="C2080">
        <v>0</v>
      </c>
      <c r="D2080">
        <v>70.41</v>
      </c>
      <c r="E2080">
        <v>3.9420000000000002</v>
      </c>
      <c r="F2080">
        <v>136.18312900000001</v>
      </c>
      <c r="G2080">
        <v>599488.98</v>
      </c>
      <c r="H2080" t="str">
        <f>TEXT(Ventas[[#This Row],[Fecha_venta]],"dd")</f>
        <v>19</v>
      </c>
      <c r="I2080" t="str">
        <f>TEXT(Ventas[[#This Row],[Fecha_venta]],"m")</f>
        <v>8</v>
      </c>
      <c r="J2080" t="str">
        <f>TEXT(Ventas[[#This Row],[Fecha_venta]],"yyyy")</f>
        <v>2011</v>
      </c>
    </row>
    <row r="2081" spans="1:10" x14ac:dyDescent="0.25">
      <c r="A2081">
        <v>15</v>
      </c>
      <c r="B2081" s="1">
        <v>40781</v>
      </c>
      <c r="C2081">
        <v>0</v>
      </c>
      <c r="D2081">
        <v>69.19</v>
      </c>
      <c r="E2081">
        <v>3.9060000000000001</v>
      </c>
      <c r="F2081">
        <v>136.21361289999999</v>
      </c>
      <c r="G2081">
        <v>605413.17000000004</v>
      </c>
      <c r="H2081" t="str">
        <f>TEXT(Ventas[[#This Row],[Fecha_venta]],"dd")</f>
        <v>26</v>
      </c>
      <c r="I2081" t="str">
        <f>TEXT(Ventas[[#This Row],[Fecha_venta]],"m")</f>
        <v>8</v>
      </c>
      <c r="J2081" t="str">
        <f>TEXT(Ventas[[#This Row],[Fecha_venta]],"yyyy")</f>
        <v>2011</v>
      </c>
    </row>
    <row r="2082" spans="1:10" x14ac:dyDescent="0.25">
      <c r="A2082">
        <v>15</v>
      </c>
      <c r="B2082" s="1">
        <v>40788</v>
      </c>
      <c r="C2082">
        <v>0</v>
      </c>
      <c r="D2082">
        <v>67.63</v>
      </c>
      <c r="E2082">
        <v>3.879</v>
      </c>
      <c r="F2082">
        <v>136.24409679999999</v>
      </c>
      <c r="G2082">
        <v>649159.68000000005</v>
      </c>
      <c r="H2082" t="str">
        <f>TEXT(Ventas[[#This Row],[Fecha_venta]],"dd")</f>
        <v>02</v>
      </c>
      <c r="I2082" t="str">
        <f>TEXT(Ventas[[#This Row],[Fecha_venta]],"m")</f>
        <v>9</v>
      </c>
      <c r="J2082" t="str">
        <f>TEXT(Ventas[[#This Row],[Fecha_venta]],"yyyy")</f>
        <v>2011</v>
      </c>
    </row>
    <row r="2083" spans="1:10" x14ac:dyDescent="0.25">
      <c r="A2083">
        <v>15</v>
      </c>
      <c r="B2083" s="1">
        <v>40795</v>
      </c>
      <c r="C2083">
        <v>1</v>
      </c>
      <c r="D2083">
        <v>67.59</v>
      </c>
      <c r="E2083">
        <v>3.93</v>
      </c>
      <c r="F2083">
        <v>136.27458060000001</v>
      </c>
      <c r="G2083">
        <v>607593.51</v>
      </c>
      <c r="H2083" t="str">
        <f>TEXT(Ventas[[#This Row],[Fecha_venta]],"dd")</f>
        <v>09</v>
      </c>
      <c r="I2083" t="str">
        <f>TEXT(Ventas[[#This Row],[Fecha_venta]],"m")</f>
        <v>9</v>
      </c>
      <c r="J2083" t="str">
        <f>TEXT(Ventas[[#This Row],[Fecha_venta]],"yyyy")</f>
        <v>2011</v>
      </c>
    </row>
    <row r="2084" spans="1:10" x14ac:dyDescent="0.25">
      <c r="A2084">
        <v>15</v>
      </c>
      <c r="B2084" s="1">
        <v>40802</v>
      </c>
      <c r="C2084">
        <v>0</v>
      </c>
      <c r="D2084">
        <v>62.1</v>
      </c>
      <c r="E2084">
        <v>3.9369999999999998</v>
      </c>
      <c r="F2084">
        <v>136.31450000000001</v>
      </c>
      <c r="G2084">
        <v>545052.34</v>
      </c>
      <c r="H2084" t="str">
        <f>TEXT(Ventas[[#This Row],[Fecha_venta]],"dd")</f>
        <v>16</v>
      </c>
      <c r="I2084" t="str">
        <f>TEXT(Ventas[[#This Row],[Fecha_venta]],"m")</f>
        <v>9</v>
      </c>
      <c r="J2084" t="str">
        <f>TEXT(Ventas[[#This Row],[Fecha_venta]],"yyyy")</f>
        <v>2011</v>
      </c>
    </row>
    <row r="2085" spans="1:10" x14ac:dyDescent="0.25">
      <c r="A2085">
        <v>15</v>
      </c>
      <c r="B2085" s="1">
        <v>40809</v>
      </c>
      <c r="C2085">
        <v>0</v>
      </c>
      <c r="D2085">
        <v>59</v>
      </c>
      <c r="E2085">
        <v>3.899</v>
      </c>
      <c r="F2085">
        <v>136.36699999999999</v>
      </c>
      <c r="G2085">
        <v>545570.86</v>
      </c>
      <c r="H2085" t="str">
        <f>TEXT(Ventas[[#This Row],[Fecha_venta]],"dd")</f>
        <v>23</v>
      </c>
      <c r="I2085" t="str">
        <f>TEXT(Ventas[[#This Row],[Fecha_venta]],"m")</f>
        <v>9</v>
      </c>
      <c r="J2085" t="str">
        <f>TEXT(Ventas[[#This Row],[Fecha_venta]],"yyyy")</f>
        <v>2011</v>
      </c>
    </row>
    <row r="2086" spans="1:10" x14ac:dyDescent="0.25">
      <c r="A2086">
        <v>15</v>
      </c>
      <c r="B2086" s="1">
        <v>40816</v>
      </c>
      <c r="C2086">
        <v>0</v>
      </c>
      <c r="D2086">
        <v>64.87</v>
      </c>
      <c r="E2086">
        <v>3.8580000000000001</v>
      </c>
      <c r="F2086">
        <v>136.4195</v>
      </c>
      <c r="G2086">
        <v>521297.31</v>
      </c>
      <c r="H2086" t="str">
        <f>TEXT(Ventas[[#This Row],[Fecha_venta]],"dd")</f>
        <v>30</v>
      </c>
      <c r="I2086" t="str">
        <f>TEXT(Ventas[[#This Row],[Fecha_venta]],"m")</f>
        <v>9</v>
      </c>
      <c r="J2086" t="str">
        <f>TEXT(Ventas[[#This Row],[Fecha_venta]],"yyyy")</f>
        <v>2011</v>
      </c>
    </row>
    <row r="2087" spans="1:10" x14ac:dyDescent="0.25">
      <c r="A2087">
        <v>15</v>
      </c>
      <c r="B2087" s="1">
        <v>40823</v>
      </c>
      <c r="C2087">
        <v>0</v>
      </c>
      <c r="D2087">
        <v>51.24</v>
      </c>
      <c r="E2087">
        <v>3.7749999999999999</v>
      </c>
      <c r="F2087">
        <v>136.47200000000001</v>
      </c>
      <c r="G2087">
        <v>579068.88</v>
      </c>
      <c r="H2087" t="str">
        <f>TEXT(Ventas[[#This Row],[Fecha_venta]],"dd")</f>
        <v>07</v>
      </c>
      <c r="I2087" t="str">
        <f>TEXT(Ventas[[#This Row],[Fecha_venta]],"m")</f>
        <v>10</v>
      </c>
      <c r="J2087" t="str">
        <f>TEXT(Ventas[[#This Row],[Fecha_venta]],"yyyy")</f>
        <v>2011</v>
      </c>
    </row>
    <row r="2088" spans="1:10" x14ac:dyDescent="0.25">
      <c r="A2088">
        <v>15</v>
      </c>
      <c r="B2088" s="1">
        <v>40830</v>
      </c>
      <c r="C2088">
        <v>0</v>
      </c>
      <c r="D2088">
        <v>61.3</v>
      </c>
      <c r="E2088">
        <v>3.7440000000000002</v>
      </c>
      <c r="F2088">
        <v>136.51509680000001</v>
      </c>
      <c r="G2088">
        <v>537300.93999999994</v>
      </c>
      <c r="H2088" t="str">
        <f>TEXT(Ventas[[#This Row],[Fecha_venta]],"dd")</f>
        <v>14</v>
      </c>
      <c r="I2088" t="str">
        <f>TEXT(Ventas[[#This Row],[Fecha_venta]],"m")</f>
        <v>10</v>
      </c>
      <c r="J2088" t="str">
        <f>TEXT(Ventas[[#This Row],[Fecha_venta]],"yyyy")</f>
        <v>2011</v>
      </c>
    </row>
    <row r="2089" spans="1:10" x14ac:dyDescent="0.25">
      <c r="A2089">
        <v>15</v>
      </c>
      <c r="B2089" s="1">
        <v>40837</v>
      </c>
      <c r="C2089">
        <v>0</v>
      </c>
      <c r="D2089">
        <v>51.67</v>
      </c>
      <c r="E2089">
        <v>3.7570000000000001</v>
      </c>
      <c r="F2089">
        <v>136.5017742</v>
      </c>
      <c r="G2089">
        <v>603318.89</v>
      </c>
      <c r="H2089" t="str">
        <f>TEXT(Ventas[[#This Row],[Fecha_venta]],"dd")</f>
        <v>21</v>
      </c>
      <c r="I2089" t="str">
        <f>TEXT(Ventas[[#This Row],[Fecha_venta]],"m")</f>
        <v>10</v>
      </c>
      <c r="J2089" t="str">
        <f>TEXT(Ventas[[#This Row],[Fecha_venta]],"yyyy")</f>
        <v>2011</v>
      </c>
    </row>
    <row r="2090" spans="1:10" x14ac:dyDescent="0.25">
      <c r="A2090">
        <v>15</v>
      </c>
      <c r="B2090" s="1">
        <v>40844</v>
      </c>
      <c r="C2090">
        <v>0</v>
      </c>
      <c r="D2090">
        <v>45.54</v>
      </c>
      <c r="E2090">
        <v>3.7570000000000001</v>
      </c>
      <c r="F2090">
        <v>136.48845159999999</v>
      </c>
      <c r="G2090">
        <v>589842.68999999994</v>
      </c>
      <c r="H2090" t="str">
        <f>TEXT(Ventas[[#This Row],[Fecha_venta]],"dd")</f>
        <v>28</v>
      </c>
      <c r="I2090" t="str">
        <f>TEXT(Ventas[[#This Row],[Fecha_venta]],"m")</f>
        <v>10</v>
      </c>
      <c r="J2090" t="str">
        <f>TEXT(Ventas[[#This Row],[Fecha_venta]],"yyyy")</f>
        <v>2011</v>
      </c>
    </row>
    <row r="2091" spans="1:10" x14ac:dyDescent="0.25">
      <c r="A2091">
        <v>15</v>
      </c>
      <c r="B2091" s="1">
        <v>40851</v>
      </c>
      <c r="C2091">
        <v>0</v>
      </c>
      <c r="D2091">
        <v>43.39</v>
      </c>
      <c r="E2091">
        <v>3.738</v>
      </c>
      <c r="F2091">
        <v>136.47512900000001</v>
      </c>
      <c r="G2091">
        <v>615121.78</v>
      </c>
      <c r="H2091" t="str">
        <f>TEXT(Ventas[[#This Row],[Fecha_venta]],"dd")</f>
        <v>04</v>
      </c>
      <c r="I2091" t="str">
        <f>TEXT(Ventas[[#This Row],[Fecha_venta]],"m")</f>
        <v>11</v>
      </c>
      <c r="J2091" t="str">
        <f>TEXT(Ventas[[#This Row],[Fecha_venta]],"yyyy")</f>
        <v>2011</v>
      </c>
    </row>
    <row r="2092" spans="1:10" x14ac:dyDescent="0.25">
      <c r="A2092">
        <v>15</v>
      </c>
      <c r="B2092" s="1">
        <v>40858</v>
      </c>
      <c r="C2092">
        <v>0</v>
      </c>
      <c r="D2092">
        <v>47.13</v>
      </c>
      <c r="E2092">
        <v>3.7189999999999999</v>
      </c>
      <c r="F2092">
        <v>136.46180649999999</v>
      </c>
      <c r="G2092">
        <v>618949.81999999995</v>
      </c>
      <c r="H2092" t="str">
        <f>TEXT(Ventas[[#This Row],[Fecha_venta]],"dd")</f>
        <v>11</v>
      </c>
      <c r="I2092" t="str">
        <f>TEXT(Ventas[[#This Row],[Fecha_venta]],"m")</f>
        <v>11</v>
      </c>
      <c r="J2092" t="str">
        <f>TEXT(Ventas[[#This Row],[Fecha_venta]],"yyyy")</f>
        <v>2011</v>
      </c>
    </row>
    <row r="2093" spans="1:10" x14ac:dyDescent="0.25">
      <c r="A2093">
        <v>15</v>
      </c>
      <c r="B2093" s="1">
        <v>40865</v>
      </c>
      <c r="C2093">
        <v>0</v>
      </c>
      <c r="D2093">
        <v>46.53</v>
      </c>
      <c r="E2093">
        <v>3.7170000000000001</v>
      </c>
      <c r="F2093">
        <v>136.46666669999999</v>
      </c>
      <c r="G2093">
        <v>597856.51</v>
      </c>
      <c r="H2093" t="str">
        <f>TEXT(Ventas[[#This Row],[Fecha_venta]],"dd")</f>
        <v>18</v>
      </c>
      <c r="I2093" t="str">
        <f>TEXT(Ventas[[#This Row],[Fecha_venta]],"m")</f>
        <v>11</v>
      </c>
      <c r="J2093" t="str">
        <f>TEXT(Ventas[[#This Row],[Fecha_venta]],"yyyy")</f>
        <v>2011</v>
      </c>
    </row>
    <row r="2094" spans="1:10" x14ac:dyDescent="0.25">
      <c r="A2094">
        <v>15</v>
      </c>
      <c r="B2094" s="1">
        <v>40872</v>
      </c>
      <c r="C2094">
        <v>1</v>
      </c>
      <c r="D2094">
        <v>41.1</v>
      </c>
      <c r="E2094">
        <v>3.6890000000000001</v>
      </c>
      <c r="F2094">
        <v>136.47880000000001</v>
      </c>
      <c r="G2094">
        <v>1066478.1000000001</v>
      </c>
      <c r="H2094" t="str">
        <f>TEXT(Ventas[[#This Row],[Fecha_venta]],"dd")</f>
        <v>25</v>
      </c>
      <c r="I2094" t="str">
        <f>TEXT(Ventas[[#This Row],[Fecha_venta]],"m")</f>
        <v>11</v>
      </c>
      <c r="J2094" t="str">
        <f>TEXT(Ventas[[#This Row],[Fecha_venta]],"yyyy")</f>
        <v>2011</v>
      </c>
    </row>
    <row r="2095" spans="1:10" x14ac:dyDescent="0.25">
      <c r="A2095">
        <v>15</v>
      </c>
      <c r="B2095" s="1">
        <v>40879</v>
      </c>
      <c r="C2095">
        <v>0</v>
      </c>
      <c r="D2095">
        <v>45.67</v>
      </c>
      <c r="E2095">
        <v>3.6659999999999999</v>
      </c>
      <c r="F2095">
        <v>136.49093329999999</v>
      </c>
      <c r="G2095">
        <v>699028.66</v>
      </c>
      <c r="H2095" t="str">
        <f>TEXT(Ventas[[#This Row],[Fecha_venta]],"dd")</f>
        <v>02</v>
      </c>
      <c r="I2095" t="str">
        <f>TEXT(Ventas[[#This Row],[Fecha_venta]],"m")</f>
        <v>12</v>
      </c>
      <c r="J2095" t="str">
        <f>TEXT(Ventas[[#This Row],[Fecha_venta]],"yyyy")</f>
        <v>2011</v>
      </c>
    </row>
    <row r="2096" spans="1:10" x14ac:dyDescent="0.25">
      <c r="A2096">
        <v>15</v>
      </c>
      <c r="B2096" s="1">
        <v>40886</v>
      </c>
      <c r="C2096">
        <v>0</v>
      </c>
      <c r="D2096">
        <v>38.53</v>
      </c>
      <c r="E2096">
        <v>3.6269999999999998</v>
      </c>
      <c r="F2096">
        <v>136.50306670000001</v>
      </c>
      <c r="G2096">
        <v>764565.55</v>
      </c>
      <c r="H2096" t="str">
        <f>TEXT(Ventas[[#This Row],[Fecha_venta]],"dd")</f>
        <v>09</v>
      </c>
      <c r="I2096" t="str">
        <f>TEXT(Ventas[[#This Row],[Fecha_venta]],"m")</f>
        <v>12</v>
      </c>
      <c r="J2096" t="str">
        <f>TEXT(Ventas[[#This Row],[Fecha_venta]],"yyyy")</f>
        <v>2011</v>
      </c>
    </row>
    <row r="2097" spans="1:10" x14ac:dyDescent="0.25">
      <c r="A2097">
        <v>15</v>
      </c>
      <c r="B2097" s="1">
        <v>40893</v>
      </c>
      <c r="C2097">
        <v>0</v>
      </c>
      <c r="D2097">
        <v>35.49</v>
      </c>
      <c r="E2097">
        <v>3.6110000000000002</v>
      </c>
      <c r="F2097">
        <v>136.53351610000001</v>
      </c>
      <c r="G2097">
        <v>870415.49</v>
      </c>
      <c r="H2097" t="str">
        <f>TEXT(Ventas[[#This Row],[Fecha_venta]],"dd")</f>
        <v>16</v>
      </c>
      <c r="I2097" t="str">
        <f>TEXT(Ventas[[#This Row],[Fecha_venta]],"m")</f>
        <v>12</v>
      </c>
      <c r="J2097" t="str">
        <f>TEXT(Ventas[[#This Row],[Fecha_venta]],"yyyy")</f>
        <v>2011</v>
      </c>
    </row>
    <row r="2098" spans="1:10" x14ac:dyDescent="0.25">
      <c r="A2098">
        <v>15</v>
      </c>
      <c r="B2098" s="1">
        <v>40900</v>
      </c>
      <c r="C2098">
        <v>0</v>
      </c>
      <c r="D2098">
        <v>34.93</v>
      </c>
      <c r="E2098">
        <v>3.5870000000000002</v>
      </c>
      <c r="F2098">
        <v>136.58838710000001</v>
      </c>
      <c r="G2098">
        <v>1182691.8700000001</v>
      </c>
      <c r="H2098" t="str">
        <f>TEXT(Ventas[[#This Row],[Fecha_venta]],"dd")</f>
        <v>23</v>
      </c>
      <c r="I2098" t="str">
        <f>TEXT(Ventas[[#This Row],[Fecha_venta]],"m")</f>
        <v>12</v>
      </c>
      <c r="J2098" t="str">
        <f>TEXT(Ventas[[#This Row],[Fecha_venta]],"yyyy")</f>
        <v>2011</v>
      </c>
    </row>
    <row r="2099" spans="1:10" x14ac:dyDescent="0.25">
      <c r="A2099">
        <v>15</v>
      </c>
      <c r="B2099" s="1">
        <v>40907</v>
      </c>
      <c r="C2099">
        <v>1</v>
      </c>
      <c r="D2099">
        <v>31.44</v>
      </c>
      <c r="E2099">
        <v>3.5659999999999998</v>
      </c>
      <c r="F2099">
        <v>136.6432581</v>
      </c>
      <c r="G2099">
        <v>603460.79</v>
      </c>
      <c r="H2099" t="str">
        <f>TEXT(Ventas[[#This Row],[Fecha_venta]],"dd")</f>
        <v>30</v>
      </c>
      <c r="I2099" t="str">
        <f>TEXT(Ventas[[#This Row],[Fecha_venta]],"m")</f>
        <v>12</v>
      </c>
      <c r="J2099" t="str">
        <f>TEXT(Ventas[[#This Row],[Fecha_venta]],"yyyy")</f>
        <v>2011</v>
      </c>
    </row>
    <row r="2100" spans="1:10" x14ac:dyDescent="0.25">
      <c r="A2100">
        <v>15</v>
      </c>
      <c r="B2100" s="1">
        <v>40914</v>
      </c>
      <c r="C2100">
        <v>0</v>
      </c>
      <c r="D2100">
        <v>30.24</v>
      </c>
      <c r="E2100">
        <v>3.585</v>
      </c>
      <c r="F2100">
        <v>136.69812899999999</v>
      </c>
      <c r="G2100">
        <v>516087.65</v>
      </c>
      <c r="H2100" t="str">
        <f>TEXT(Ventas[[#This Row],[Fecha_venta]],"dd")</f>
        <v>06</v>
      </c>
      <c r="I2100" t="str">
        <f>TEXT(Ventas[[#This Row],[Fecha_venta]],"m")</f>
        <v>1</v>
      </c>
      <c r="J2100" t="str">
        <f>TEXT(Ventas[[#This Row],[Fecha_venta]],"yyyy")</f>
        <v>2012</v>
      </c>
    </row>
    <row r="2101" spans="1:10" x14ac:dyDescent="0.25">
      <c r="A2101">
        <v>15</v>
      </c>
      <c r="B2101" s="1">
        <v>40921</v>
      </c>
      <c r="C2101">
        <v>0</v>
      </c>
      <c r="D2101">
        <v>36.26</v>
      </c>
      <c r="E2101">
        <v>3.6659999999999999</v>
      </c>
      <c r="F2101">
        <v>136.75299999999999</v>
      </c>
      <c r="G2101">
        <v>454183.42</v>
      </c>
      <c r="H2101" t="str">
        <f>TEXT(Ventas[[#This Row],[Fecha_venta]],"dd")</f>
        <v>13</v>
      </c>
      <c r="I2101" t="str">
        <f>TEXT(Ventas[[#This Row],[Fecha_venta]],"m")</f>
        <v>1</v>
      </c>
      <c r="J2101" t="str">
        <f>TEXT(Ventas[[#This Row],[Fecha_venta]],"yyyy")</f>
        <v>2012</v>
      </c>
    </row>
    <row r="2102" spans="1:10" x14ac:dyDescent="0.25">
      <c r="A2102">
        <v>15</v>
      </c>
      <c r="B2102" s="1">
        <v>40928</v>
      </c>
      <c r="C2102">
        <v>0</v>
      </c>
      <c r="D2102">
        <v>21.39</v>
      </c>
      <c r="E2102">
        <v>3.7050000000000001</v>
      </c>
      <c r="F2102">
        <v>136.85641939999999</v>
      </c>
      <c r="G2102">
        <v>492721.85</v>
      </c>
      <c r="H2102" t="str">
        <f>TEXT(Ventas[[#This Row],[Fecha_venta]],"dd")</f>
        <v>20</v>
      </c>
      <c r="I2102" t="str">
        <f>TEXT(Ventas[[#This Row],[Fecha_venta]],"m")</f>
        <v>1</v>
      </c>
      <c r="J2102" t="str">
        <f>TEXT(Ventas[[#This Row],[Fecha_venta]],"yyyy")</f>
        <v>2012</v>
      </c>
    </row>
    <row r="2103" spans="1:10" x14ac:dyDescent="0.25">
      <c r="A2103">
        <v>15</v>
      </c>
      <c r="B2103" s="1">
        <v>40935</v>
      </c>
      <c r="C2103">
        <v>0</v>
      </c>
      <c r="D2103">
        <v>30.87</v>
      </c>
      <c r="E2103">
        <v>3.7370000000000001</v>
      </c>
      <c r="F2103">
        <v>136.95983870000001</v>
      </c>
      <c r="G2103">
        <v>466045.63</v>
      </c>
      <c r="H2103" t="str">
        <f>TEXT(Ventas[[#This Row],[Fecha_venta]],"dd")</f>
        <v>27</v>
      </c>
      <c r="I2103" t="str">
        <f>TEXT(Ventas[[#This Row],[Fecha_venta]],"m")</f>
        <v>1</v>
      </c>
      <c r="J2103" t="str">
        <f>TEXT(Ventas[[#This Row],[Fecha_venta]],"yyyy")</f>
        <v>2012</v>
      </c>
    </row>
    <row r="2104" spans="1:10" x14ac:dyDescent="0.25">
      <c r="A2104">
        <v>15</v>
      </c>
      <c r="B2104" s="1">
        <v>40942</v>
      </c>
      <c r="C2104">
        <v>0</v>
      </c>
      <c r="D2104">
        <v>35.299999999999997</v>
      </c>
      <c r="E2104">
        <v>3.7959999999999998</v>
      </c>
      <c r="F2104">
        <v>137.06325810000001</v>
      </c>
      <c r="G2104">
        <v>523831.64</v>
      </c>
      <c r="H2104" t="str">
        <f>TEXT(Ventas[[#This Row],[Fecha_venta]],"dd")</f>
        <v>03</v>
      </c>
      <c r="I2104" t="str">
        <f>TEXT(Ventas[[#This Row],[Fecha_venta]],"m")</f>
        <v>2</v>
      </c>
      <c r="J2104" t="str">
        <f>TEXT(Ventas[[#This Row],[Fecha_venta]],"yyyy")</f>
        <v>2012</v>
      </c>
    </row>
    <row r="2105" spans="1:10" x14ac:dyDescent="0.25">
      <c r="A2105">
        <v>15</v>
      </c>
      <c r="B2105" s="1">
        <v>40949</v>
      </c>
      <c r="C2105">
        <v>1</v>
      </c>
      <c r="D2105">
        <v>31.91</v>
      </c>
      <c r="E2105">
        <v>3.8260000000000001</v>
      </c>
      <c r="F2105">
        <v>137.1666774</v>
      </c>
      <c r="G2105">
        <v>628218.22</v>
      </c>
      <c r="H2105" t="str">
        <f>TEXT(Ventas[[#This Row],[Fecha_venta]],"dd")</f>
        <v>10</v>
      </c>
      <c r="I2105" t="str">
        <f>TEXT(Ventas[[#This Row],[Fecha_venta]],"m")</f>
        <v>2</v>
      </c>
      <c r="J2105" t="str">
        <f>TEXT(Ventas[[#This Row],[Fecha_venta]],"yyyy")</f>
        <v>2012</v>
      </c>
    </row>
    <row r="2106" spans="1:10" x14ac:dyDescent="0.25">
      <c r="A2106">
        <v>15</v>
      </c>
      <c r="B2106" s="1">
        <v>40956</v>
      </c>
      <c r="C2106">
        <v>0</v>
      </c>
      <c r="D2106">
        <v>30.26</v>
      </c>
      <c r="E2106">
        <v>3.8740000000000001</v>
      </c>
      <c r="F2106">
        <v>137.25831030000001</v>
      </c>
      <c r="G2106">
        <v>598502.82999999996</v>
      </c>
      <c r="H2106" t="str">
        <f>TEXT(Ventas[[#This Row],[Fecha_venta]],"dd")</f>
        <v>17</v>
      </c>
      <c r="I2106" t="str">
        <f>TEXT(Ventas[[#This Row],[Fecha_venta]],"m")</f>
        <v>2</v>
      </c>
      <c r="J2106" t="str">
        <f>TEXT(Ventas[[#This Row],[Fecha_venta]],"yyyy")</f>
        <v>2012</v>
      </c>
    </row>
    <row r="2107" spans="1:10" x14ac:dyDescent="0.25">
      <c r="A2107">
        <v>15</v>
      </c>
      <c r="B2107" s="1">
        <v>40963</v>
      </c>
      <c r="C2107">
        <v>0</v>
      </c>
      <c r="D2107">
        <v>33.18</v>
      </c>
      <c r="E2107">
        <v>3.9169999999999998</v>
      </c>
      <c r="F2107">
        <v>137.34110340000001</v>
      </c>
      <c r="G2107">
        <v>561137.06000000006</v>
      </c>
      <c r="H2107" t="str">
        <f>TEXT(Ventas[[#This Row],[Fecha_venta]],"dd")</f>
        <v>24</v>
      </c>
      <c r="I2107" t="str">
        <f>TEXT(Ventas[[#This Row],[Fecha_venta]],"m")</f>
        <v>2</v>
      </c>
      <c r="J2107" t="str">
        <f>TEXT(Ventas[[#This Row],[Fecha_venta]],"yyyy")</f>
        <v>2012</v>
      </c>
    </row>
    <row r="2108" spans="1:10" x14ac:dyDescent="0.25">
      <c r="A2108">
        <v>15</v>
      </c>
      <c r="B2108" s="1">
        <v>40970</v>
      </c>
      <c r="C2108">
        <v>0</v>
      </c>
      <c r="D2108">
        <v>33.24</v>
      </c>
      <c r="E2108">
        <v>3.9830000000000001</v>
      </c>
      <c r="F2108">
        <v>137.42389660000001</v>
      </c>
      <c r="G2108">
        <v>541292.64</v>
      </c>
      <c r="H2108" t="str">
        <f>TEXT(Ventas[[#This Row],[Fecha_venta]],"dd")</f>
        <v>02</v>
      </c>
      <c r="I2108" t="str">
        <f>TEXT(Ventas[[#This Row],[Fecha_venta]],"m")</f>
        <v>3</v>
      </c>
      <c r="J2108" t="str">
        <f>TEXT(Ventas[[#This Row],[Fecha_venta]],"yyyy")</f>
        <v>2012</v>
      </c>
    </row>
    <row r="2109" spans="1:10" x14ac:dyDescent="0.25">
      <c r="A2109">
        <v>15</v>
      </c>
      <c r="B2109" s="1">
        <v>40977</v>
      </c>
      <c r="C2109">
        <v>0</v>
      </c>
      <c r="D2109">
        <v>36.97</v>
      </c>
      <c r="E2109">
        <v>4.0209999999999999</v>
      </c>
      <c r="F2109">
        <v>137.50668970000001</v>
      </c>
      <c r="G2109">
        <v>545120.67000000004</v>
      </c>
      <c r="H2109" t="str">
        <f>TEXT(Ventas[[#This Row],[Fecha_venta]],"dd")</f>
        <v>09</v>
      </c>
      <c r="I2109" t="str">
        <f>TEXT(Ventas[[#This Row],[Fecha_venta]],"m")</f>
        <v>3</v>
      </c>
      <c r="J2109" t="str">
        <f>TEXT(Ventas[[#This Row],[Fecha_venta]],"yyyy")</f>
        <v>2012</v>
      </c>
    </row>
    <row r="2110" spans="1:10" x14ac:dyDescent="0.25">
      <c r="A2110">
        <v>15</v>
      </c>
      <c r="B2110" s="1">
        <v>40984</v>
      </c>
      <c r="C2110">
        <v>0</v>
      </c>
      <c r="D2110">
        <v>47.42</v>
      </c>
      <c r="E2110">
        <v>4.0209999999999999</v>
      </c>
      <c r="F2110">
        <v>137.58438709999999</v>
      </c>
      <c r="G2110">
        <v>570611.23</v>
      </c>
      <c r="H2110" t="str">
        <f>TEXT(Ventas[[#This Row],[Fecha_venta]],"dd")</f>
        <v>16</v>
      </c>
      <c r="I2110" t="str">
        <f>TEXT(Ventas[[#This Row],[Fecha_venta]],"m")</f>
        <v>3</v>
      </c>
      <c r="J2110" t="str">
        <f>TEXT(Ventas[[#This Row],[Fecha_venta]],"yyyy")</f>
        <v>2012</v>
      </c>
    </row>
    <row r="2111" spans="1:10" x14ac:dyDescent="0.25">
      <c r="A2111">
        <v>15</v>
      </c>
      <c r="B2111" s="1">
        <v>40991</v>
      </c>
      <c r="C2111">
        <v>0</v>
      </c>
      <c r="D2111">
        <v>58.92</v>
      </c>
      <c r="E2111">
        <v>4.0540000000000003</v>
      </c>
      <c r="F2111">
        <v>137.65529029999999</v>
      </c>
      <c r="G2111">
        <v>565481.88</v>
      </c>
      <c r="H2111" t="str">
        <f>TEXT(Ventas[[#This Row],[Fecha_venta]],"dd")</f>
        <v>23</v>
      </c>
      <c r="I2111" t="str">
        <f>TEXT(Ventas[[#This Row],[Fecha_venta]],"m")</f>
        <v>3</v>
      </c>
      <c r="J2111" t="str">
        <f>TEXT(Ventas[[#This Row],[Fecha_venta]],"yyyy")</f>
        <v>2012</v>
      </c>
    </row>
    <row r="2112" spans="1:10" x14ac:dyDescent="0.25">
      <c r="A2112">
        <v>15</v>
      </c>
      <c r="B2112" s="1">
        <v>40998</v>
      </c>
      <c r="C2112">
        <v>0</v>
      </c>
      <c r="D2112">
        <v>42.65</v>
      </c>
      <c r="E2112">
        <v>4.0979999999999999</v>
      </c>
      <c r="F2112">
        <v>137.72619349999999</v>
      </c>
      <c r="G2112">
        <v>557547.25</v>
      </c>
      <c r="H2112" t="str">
        <f>TEXT(Ventas[[#This Row],[Fecha_venta]],"dd")</f>
        <v>30</v>
      </c>
      <c r="I2112" t="str">
        <f>TEXT(Ventas[[#This Row],[Fecha_venta]],"m")</f>
        <v>3</v>
      </c>
      <c r="J2112" t="str">
        <f>TEXT(Ventas[[#This Row],[Fecha_venta]],"yyyy")</f>
        <v>2012</v>
      </c>
    </row>
    <row r="2113" spans="1:10" x14ac:dyDescent="0.25">
      <c r="A2113">
        <v>15</v>
      </c>
      <c r="B2113" s="1">
        <v>41005</v>
      </c>
      <c r="C2113">
        <v>0</v>
      </c>
      <c r="D2113">
        <v>40.01</v>
      </c>
      <c r="E2113">
        <v>4.1429999999999998</v>
      </c>
      <c r="F2113">
        <v>137.79709679999999</v>
      </c>
      <c r="G2113">
        <v>659950.36</v>
      </c>
      <c r="H2113" t="str">
        <f>TEXT(Ventas[[#This Row],[Fecha_venta]],"dd")</f>
        <v>06</v>
      </c>
      <c r="I2113" t="str">
        <f>TEXT(Ventas[[#This Row],[Fecha_venta]],"m")</f>
        <v>4</v>
      </c>
      <c r="J2113" t="str">
        <f>TEXT(Ventas[[#This Row],[Fecha_venta]],"yyyy")</f>
        <v>2012</v>
      </c>
    </row>
    <row r="2114" spans="1:10" x14ac:dyDescent="0.25">
      <c r="A2114">
        <v>15</v>
      </c>
      <c r="B2114" s="1">
        <v>41012</v>
      </c>
      <c r="C2114">
        <v>0</v>
      </c>
      <c r="D2114">
        <v>43.52</v>
      </c>
      <c r="E2114">
        <v>4.1870000000000003</v>
      </c>
      <c r="F2114">
        <v>137.86799999999999</v>
      </c>
      <c r="G2114">
        <v>558585.13</v>
      </c>
      <c r="H2114" t="str">
        <f>TEXT(Ventas[[#This Row],[Fecha_venta]],"dd")</f>
        <v>13</v>
      </c>
      <c r="I2114" t="str">
        <f>TEXT(Ventas[[#This Row],[Fecha_venta]],"m")</f>
        <v>4</v>
      </c>
      <c r="J2114" t="str">
        <f>TEXT(Ventas[[#This Row],[Fecha_venta]],"yyyy")</f>
        <v>2012</v>
      </c>
    </row>
    <row r="2115" spans="1:10" x14ac:dyDescent="0.25">
      <c r="A2115">
        <v>15</v>
      </c>
      <c r="B2115" s="1">
        <v>41019</v>
      </c>
      <c r="C2115">
        <v>0</v>
      </c>
      <c r="D2115">
        <v>54.47</v>
      </c>
      <c r="E2115">
        <v>4.17</v>
      </c>
      <c r="F2115">
        <v>137.92306669999999</v>
      </c>
      <c r="G2115">
        <v>534780.56999999995</v>
      </c>
      <c r="H2115" t="str">
        <f>TEXT(Ventas[[#This Row],[Fecha_venta]],"dd")</f>
        <v>20</v>
      </c>
      <c r="I2115" t="str">
        <f>TEXT(Ventas[[#This Row],[Fecha_venta]],"m")</f>
        <v>4</v>
      </c>
      <c r="J2115" t="str">
        <f>TEXT(Ventas[[#This Row],[Fecha_venta]],"yyyy")</f>
        <v>2012</v>
      </c>
    </row>
    <row r="2116" spans="1:10" x14ac:dyDescent="0.25">
      <c r="A2116">
        <v>15</v>
      </c>
      <c r="B2116" s="1">
        <v>41026</v>
      </c>
      <c r="C2116">
        <v>0</v>
      </c>
      <c r="D2116">
        <v>41.57</v>
      </c>
      <c r="E2116">
        <v>4.1630000000000003</v>
      </c>
      <c r="F2116">
        <v>137.9781333</v>
      </c>
      <c r="G2116">
        <v>527402.62</v>
      </c>
      <c r="H2116" t="str">
        <f>TEXT(Ventas[[#This Row],[Fecha_venta]],"dd")</f>
        <v>27</v>
      </c>
      <c r="I2116" t="str">
        <f>TEXT(Ventas[[#This Row],[Fecha_venta]],"m")</f>
        <v>4</v>
      </c>
      <c r="J2116" t="str">
        <f>TEXT(Ventas[[#This Row],[Fecha_venta]],"yyyy")</f>
        <v>2012</v>
      </c>
    </row>
    <row r="2117" spans="1:10" x14ac:dyDescent="0.25">
      <c r="A2117">
        <v>15</v>
      </c>
      <c r="B2117" s="1">
        <v>41033</v>
      </c>
      <c r="C2117">
        <v>0</v>
      </c>
      <c r="D2117">
        <v>51.04</v>
      </c>
      <c r="E2117">
        <v>4.1239999999999997</v>
      </c>
      <c r="F2117">
        <v>138.03319999999999</v>
      </c>
      <c r="G2117">
        <v>577868.38</v>
      </c>
      <c r="H2117" t="str">
        <f>TEXT(Ventas[[#This Row],[Fecha_venta]],"dd")</f>
        <v>04</v>
      </c>
      <c r="I2117" t="str">
        <f>TEXT(Ventas[[#This Row],[Fecha_venta]],"m")</f>
        <v>5</v>
      </c>
      <c r="J2117" t="str">
        <f>TEXT(Ventas[[#This Row],[Fecha_venta]],"yyyy")</f>
        <v>2012</v>
      </c>
    </row>
    <row r="2118" spans="1:10" x14ac:dyDescent="0.25">
      <c r="A2118">
        <v>15</v>
      </c>
      <c r="B2118" s="1">
        <v>41040</v>
      </c>
      <c r="C2118">
        <v>0</v>
      </c>
      <c r="D2118">
        <v>54.23</v>
      </c>
      <c r="E2118">
        <v>4.0549999999999997</v>
      </c>
      <c r="F2118">
        <v>138.08826669999999</v>
      </c>
      <c r="G2118">
        <v>579539.94999999995</v>
      </c>
      <c r="H2118" t="str">
        <f>TEXT(Ventas[[#This Row],[Fecha_venta]],"dd")</f>
        <v>11</v>
      </c>
      <c r="I2118" t="str">
        <f>TEXT(Ventas[[#This Row],[Fecha_venta]],"m")</f>
        <v>5</v>
      </c>
      <c r="J2118" t="str">
        <f>TEXT(Ventas[[#This Row],[Fecha_venta]],"yyyy")</f>
        <v>2012</v>
      </c>
    </row>
    <row r="2119" spans="1:10" x14ac:dyDescent="0.25">
      <c r="A2119">
        <v>15</v>
      </c>
      <c r="B2119" s="1">
        <v>41047</v>
      </c>
      <c r="C2119">
        <v>0</v>
      </c>
      <c r="D2119">
        <v>58.84</v>
      </c>
      <c r="E2119">
        <v>4.0289999999999999</v>
      </c>
      <c r="F2119">
        <v>138.1065806</v>
      </c>
      <c r="G2119">
        <v>600050.98</v>
      </c>
      <c r="H2119" t="str">
        <f>TEXT(Ventas[[#This Row],[Fecha_venta]],"dd")</f>
        <v>18</v>
      </c>
      <c r="I2119" t="str">
        <f>TEXT(Ventas[[#This Row],[Fecha_venta]],"m")</f>
        <v>5</v>
      </c>
      <c r="J2119" t="str">
        <f>TEXT(Ventas[[#This Row],[Fecha_venta]],"yyyy")</f>
        <v>2012</v>
      </c>
    </row>
    <row r="2120" spans="1:10" x14ac:dyDescent="0.25">
      <c r="A2120">
        <v>15</v>
      </c>
      <c r="B2120" s="1">
        <v>41054</v>
      </c>
      <c r="C2120">
        <v>0</v>
      </c>
      <c r="D2120">
        <v>67.97</v>
      </c>
      <c r="E2120">
        <v>3.9790000000000001</v>
      </c>
      <c r="F2120">
        <v>138.11019350000001</v>
      </c>
      <c r="G2120">
        <v>693780.42</v>
      </c>
      <c r="H2120" t="str">
        <f>TEXT(Ventas[[#This Row],[Fecha_venta]],"dd")</f>
        <v>25</v>
      </c>
      <c r="I2120" t="str">
        <f>TEXT(Ventas[[#This Row],[Fecha_venta]],"m")</f>
        <v>5</v>
      </c>
      <c r="J2120" t="str">
        <f>TEXT(Ventas[[#This Row],[Fecha_venta]],"yyyy")</f>
        <v>2012</v>
      </c>
    </row>
    <row r="2121" spans="1:10" x14ac:dyDescent="0.25">
      <c r="A2121">
        <v>15</v>
      </c>
      <c r="B2121" s="1">
        <v>41061</v>
      </c>
      <c r="C2121">
        <v>0</v>
      </c>
      <c r="D2121">
        <v>67.61</v>
      </c>
      <c r="E2121">
        <v>3.915</v>
      </c>
      <c r="F2121">
        <v>138.11380650000001</v>
      </c>
      <c r="G2121">
        <v>663971.26</v>
      </c>
      <c r="H2121" t="str">
        <f>TEXT(Ventas[[#This Row],[Fecha_venta]],"dd")</f>
        <v>01</v>
      </c>
      <c r="I2121" t="str">
        <f>TEXT(Ventas[[#This Row],[Fecha_venta]],"m")</f>
        <v>6</v>
      </c>
      <c r="J2121" t="str">
        <f>TEXT(Ventas[[#This Row],[Fecha_venta]],"yyyy")</f>
        <v>2012</v>
      </c>
    </row>
    <row r="2122" spans="1:10" x14ac:dyDescent="0.25">
      <c r="A2122">
        <v>15</v>
      </c>
      <c r="B2122" s="1">
        <v>41068</v>
      </c>
      <c r="C2122">
        <v>0</v>
      </c>
      <c r="D2122">
        <v>59.35</v>
      </c>
      <c r="E2122">
        <v>3.871</v>
      </c>
      <c r="F2122">
        <v>138.11741939999999</v>
      </c>
      <c r="G2122">
        <v>611390.67000000004</v>
      </c>
      <c r="H2122" t="str">
        <f>TEXT(Ventas[[#This Row],[Fecha_venta]],"dd")</f>
        <v>08</v>
      </c>
      <c r="I2122" t="str">
        <f>TEXT(Ventas[[#This Row],[Fecha_venta]],"m")</f>
        <v>6</v>
      </c>
      <c r="J2122" t="str">
        <f>TEXT(Ventas[[#This Row],[Fecha_venta]],"yyyy")</f>
        <v>2012</v>
      </c>
    </row>
    <row r="2123" spans="1:10" x14ac:dyDescent="0.25">
      <c r="A2123">
        <v>15</v>
      </c>
      <c r="B2123" s="1">
        <v>41075</v>
      </c>
      <c r="C2123">
        <v>0</v>
      </c>
      <c r="D2123">
        <v>67.7</v>
      </c>
      <c r="E2123">
        <v>3.786</v>
      </c>
      <c r="F2123">
        <v>138.12953329999999</v>
      </c>
      <c r="G2123">
        <v>636737.65</v>
      </c>
      <c r="H2123" t="str">
        <f>TEXT(Ventas[[#This Row],[Fecha_venta]],"dd")</f>
        <v>15</v>
      </c>
      <c r="I2123" t="str">
        <f>TEXT(Ventas[[#This Row],[Fecha_venta]],"m")</f>
        <v>6</v>
      </c>
      <c r="J2123" t="str">
        <f>TEXT(Ventas[[#This Row],[Fecha_venta]],"yyyy")</f>
        <v>2012</v>
      </c>
    </row>
    <row r="2124" spans="1:10" x14ac:dyDescent="0.25">
      <c r="A2124">
        <v>15</v>
      </c>
      <c r="B2124" s="1">
        <v>41082</v>
      </c>
      <c r="C2124">
        <v>0</v>
      </c>
      <c r="D2124">
        <v>74.28</v>
      </c>
      <c r="E2124">
        <v>3.722</v>
      </c>
      <c r="F2124">
        <v>138.16290000000001</v>
      </c>
      <c r="G2124">
        <v>687085.6</v>
      </c>
      <c r="H2124" t="str">
        <f>TEXT(Ventas[[#This Row],[Fecha_venta]],"dd")</f>
        <v>22</v>
      </c>
      <c r="I2124" t="str">
        <f>TEXT(Ventas[[#This Row],[Fecha_venta]],"m")</f>
        <v>6</v>
      </c>
      <c r="J2124" t="str">
        <f>TEXT(Ventas[[#This Row],[Fecha_venta]],"yyyy")</f>
        <v>2012</v>
      </c>
    </row>
    <row r="2125" spans="1:10" x14ac:dyDescent="0.25">
      <c r="A2125">
        <v>15</v>
      </c>
      <c r="B2125" s="1">
        <v>41089</v>
      </c>
      <c r="C2125">
        <v>0</v>
      </c>
      <c r="D2125">
        <v>68.91</v>
      </c>
      <c r="E2125">
        <v>3.6669999999999998</v>
      </c>
      <c r="F2125">
        <v>138.1962667</v>
      </c>
      <c r="G2125">
        <v>624099.48</v>
      </c>
      <c r="H2125" t="str">
        <f>TEXT(Ventas[[#This Row],[Fecha_venta]],"dd")</f>
        <v>29</v>
      </c>
      <c r="I2125" t="str">
        <f>TEXT(Ventas[[#This Row],[Fecha_venta]],"m")</f>
        <v>6</v>
      </c>
      <c r="J2125" t="str">
        <f>TEXT(Ventas[[#This Row],[Fecha_venta]],"yyyy")</f>
        <v>2012</v>
      </c>
    </row>
    <row r="2126" spans="1:10" x14ac:dyDescent="0.25">
      <c r="A2126">
        <v>15</v>
      </c>
      <c r="B2126" s="1">
        <v>41096</v>
      </c>
      <c r="C2126">
        <v>0</v>
      </c>
      <c r="D2126">
        <v>74.64</v>
      </c>
      <c r="E2126">
        <v>3.6459999999999999</v>
      </c>
      <c r="F2126">
        <v>138.22963329999999</v>
      </c>
      <c r="G2126">
        <v>678024.75</v>
      </c>
      <c r="H2126" t="str">
        <f>TEXT(Ventas[[#This Row],[Fecha_venta]],"dd")</f>
        <v>06</v>
      </c>
      <c r="I2126" t="str">
        <f>TEXT(Ventas[[#This Row],[Fecha_venta]],"m")</f>
        <v>7</v>
      </c>
      <c r="J2126" t="str">
        <f>TEXT(Ventas[[#This Row],[Fecha_venta]],"yyyy")</f>
        <v>2012</v>
      </c>
    </row>
    <row r="2127" spans="1:10" x14ac:dyDescent="0.25">
      <c r="A2127">
        <v>15</v>
      </c>
      <c r="B2127" s="1">
        <v>41103</v>
      </c>
      <c r="C2127">
        <v>0</v>
      </c>
      <c r="D2127">
        <v>72.62</v>
      </c>
      <c r="E2127">
        <v>3.6890000000000001</v>
      </c>
      <c r="F2127">
        <v>138.26300000000001</v>
      </c>
      <c r="G2127">
        <v>591335.5</v>
      </c>
      <c r="H2127" t="str">
        <f>TEXT(Ventas[[#This Row],[Fecha_venta]],"dd")</f>
        <v>13</v>
      </c>
      <c r="I2127" t="str">
        <f>TEXT(Ventas[[#This Row],[Fecha_venta]],"m")</f>
        <v>7</v>
      </c>
      <c r="J2127" t="str">
        <f>TEXT(Ventas[[#This Row],[Fecha_venta]],"yyyy")</f>
        <v>2012</v>
      </c>
    </row>
    <row r="2128" spans="1:10" x14ac:dyDescent="0.25">
      <c r="A2128">
        <v>15</v>
      </c>
      <c r="B2128" s="1">
        <v>41110</v>
      </c>
      <c r="C2128">
        <v>0</v>
      </c>
      <c r="D2128">
        <v>75.31</v>
      </c>
      <c r="E2128">
        <v>3.7320000000000002</v>
      </c>
      <c r="F2128">
        <v>138.2331935</v>
      </c>
      <c r="G2128">
        <v>592369.22</v>
      </c>
      <c r="H2128" t="str">
        <f>TEXT(Ventas[[#This Row],[Fecha_venta]],"dd")</f>
        <v>20</v>
      </c>
      <c r="I2128" t="str">
        <f>TEXT(Ventas[[#This Row],[Fecha_venta]],"m")</f>
        <v>7</v>
      </c>
      <c r="J2128" t="str">
        <f>TEXT(Ventas[[#This Row],[Fecha_venta]],"yyyy")</f>
        <v>2012</v>
      </c>
    </row>
    <row r="2129" spans="1:10" x14ac:dyDescent="0.25">
      <c r="A2129">
        <v>15</v>
      </c>
      <c r="B2129" s="1">
        <v>41117</v>
      </c>
      <c r="C2129">
        <v>0</v>
      </c>
      <c r="D2129">
        <v>73.900000000000006</v>
      </c>
      <c r="E2129">
        <v>3.82</v>
      </c>
      <c r="F2129">
        <v>138.20338709999999</v>
      </c>
      <c r="G2129">
        <v>571190.82999999996</v>
      </c>
      <c r="H2129" t="str">
        <f>TEXT(Ventas[[#This Row],[Fecha_venta]],"dd")</f>
        <v>27</v>
      </c>
      <c r="I2129" t="str">
        <f>TEXT(Ventas[[#This Row],[Fecha_venta]],"m")</f>
        <v>7</v>
      </c>
      <c r="J2129" t="str">
        <f>TEXT(Ventas[[#This Row],[Fecha_venta]],"yyyy")</f>
        <v>2012</v>
      </c>
    </row>
    <row r="2130" spans="1:10" x14ac:dyDescent="0.25">
      <c r="A2130">
        <v>15</v>
      </c>
      <c r="B2130" s="1">
        <v>41124</v>
      </c>
      <c r="C2130">
        <v>0</v>
      </c>
      <c r="D2130">
        <v>73.13</v>
      </c>
      <c r="E2130">
        <v>3.819</v>
      </c>
      <c r="F2130">
        <v>138.17358060000001</v>
      </c>
      <c r="G2130">
        <v>590739.62</v>
      </c>
      <c r="H2130" t="str">
        <f>TEXT(Ventas[[#This Row],[Fecha_venta]],"dd")</f>
        <v>03</v>
      </c>
      <c r="I2130" t="str">
        <f>TEXT(Ventas[[#This Row],[Fecha_venta]],"m")</f>
        <v>8</v>
      </c>
      <c r="J2130" t="str">
        <f>TEXT(Ventas[[#This Row],[Fecha_venta]],"yyyy")</f>
        <v>2012</v>
      </c>
    </row>
    <row r="2131" spans="1:10" x14ac:dyDescent="0.25">
      <c r="A2131">
        <v>15</v>
      </c>
      <c r="B2131" s="1">
        <v>41131</v>
      </c>
      <c r="C2131">
        <v>0</v>
      </c>
      <c r="D2131">
        <v>73.989999999999995</v>
      </c>
      <c r="E2131">
        <v>3.863</v>
      </c>
      <c r="F2131">
        <v>138.1437742</v>
      </c>
      <c r="G2131">
        <v>590453.63</v>
      </c>
      <c r="H2131" t="str">
        <f>TEXT(Ventas[[#This Row],[Fecha_venta]],"dd")</f>
        <v>10</v>
      </c>
      <c r="I2131" t="str">
        <f>TEXT(Ventas[[#This Row],[Fecha_venta]],"m")</f>
        <v>8</v>
      </c>
      <c r="J2131" t="str">
        <f>TEXT(Ventas[[#This Row],[Fecha_venta]],"yyyy")</f>
        <v>2012</v>
      </c>
    </row>
    <row r="2132" spans="1:10" x14ac:dyDescent="0.25">
      <c r="A2132">
        <v>15</v>
      </c>
      <c r="B2132" s="1">
        <v>41138</v>
      </c>
      <c r="C2132">
        <v>0</v>
      </c>
      <c r="D2132">
        <v>70.290000000000006</v>
      </c>
      <c r="E2132">
        <v>3.9630000000000001</v>
      </c>
      <c r="F2132">
        <v>138.18570969999999</v>
      </c>
      <c r="G2132">
        <v>579738.19999999995</v>
      </c>
      <c r="H2132" t="str">
        <f>TEXT(Ventas[[#This Row],[Fecha_venta]],"dd")</f>
        <v>17</v>
      </c>
      <c r="I2132" t="str">
        <f>TEXT(Ventas[[#This Row],[Fecha_venta]],"m")</f>
        <v>8</v>
      </c>
      <c r="J2132" t="str">
        <f>TEXT(Ventas[[#This Row],[Fecha_venta]],"yyyy")</f>
        <v>2012</v>
      </c>
    </row>
    <row r="2133" spans="1:10" x14ac:dyDescent="0.25">
      <c r="A2133">
        <v>15</v>
      </c>
      <c r="B2133" s="1">
        <v>41145</v>
      </c>
      <c r="C2133">
        <v>0</v>
      </c>
      <c r="D2133">
        <v>66.98</v>
      </c>
      <c r="E2133">
        <v>3.9969999999999999</v>
      </c>
      <c r="F2133">
        <v>138.2814516</v>
      </c>
      <c r="G2133">
        <v>606210.77</v>
      </c>
      <c r="H2133" t="str">
        <f>TEXT(Ventas[[#This Row],[Fecha_venta]],"dd")</f>
        <v>24</v>
      </c>
      <c r="I2133" t="str">
        <f>TEXT(Ventas[[#This Row],[Fecha_venta]],"m")</f>
        <v>8</v>
      </c>
      <c r="J2133" t="str">
        <f>TEXT(Ventas[[#This Row],[Fecha_venta]],"yyyy")</f>
        <v>2012</v>
      </c>
    </row>
    <row r="2134" spans="1:10" x14ac:dyDescent="0.25">
      <c r="A2134">
        <v>15</v>
      </c>
      <c r="B2134" s="1">
        <v>41152</v>
      </c>
      <c r="C2134">
        <v>0</v>
      </c>
      <c r="D2134">
        <v>71.42</v>
      </c>
      <c r="E2134">
        <v>4.0259999999999998</v>
      </c>
      <c r="F2134">
        <v>138.3771935</v>
      </c>
      <c r="G2134">
        <v>610185.31999999995</v>
      </c>
      <c r="H2134" t="str">
        <f>TEXT(Ventas[[#This Row],[Fecha_venta]],"dd")</f>
        <v>31</v>
      </c>
      <c r="I2134" t="str">
        <f>TEXT(Ventas[[#This Row],[Fecha_venta]],"m")</f>
        <v>8</v>
      </c>
      <c r="J2134" t="str">
        <f>TEXT(Ventas[[#This Row],[Fecha_venta]],"yyyy")</f>
        <v>2012</v>
      </c>
    </row>
    <row r="2135" spans="1:10" x14ac:dyDescent="0.25">
      <c r="A2135">
        <v>15</v>
      </c>
      <c r="B2135" s="1">
        <v>41159</v>
      </c>
      <c r="C2135">
        <v>1</v>
      </c>
      <c r="D2135">
        <v>71.61</v>
      </c>
      <c r="E2135">
        <v>4.0759999999999996</v>
      </c>
      <c r="F2135">
        <v>138.47293550000001</v>
      </c>
      <c r="G2135">
        <v>587259.81999999995</v>
      </c>
      <c r="H2135" t="str">
        <f>TEXT(Ventas[[#This Row],[Fecha_venta]],"dd")</f>
        <v>07</v>
      </c>
      <c r="I2135" t="str">
        <f>TEXT(Ventas[[#This Row],[Fecha_venta]],"m")</f>
        <v>9</v>
      </c>
      <c r="J2135" t="str">
        <f>TEXT(Ventas[[#This Row],[Fecha_venta]],"yyyy")</f>
        <v>2012</v>
      </c>
    </row>
    <row r="2136" spans="1:10" x14ac:dyDescent="0.25">
      <c r="A2136">
        <v>15</v>
      </c>
      <c r="B2136" s="1">
        <v>41166</v>
      </c>
      <c r="C2136">
        <v>0</v>
      </c>
      <c r="D2136">
        <v>65.44</v>
      </c>
      <c r="E2136">
        <v>4.0880000000000001</v>
      </c>
      <c r="F2136">
        <v>138.56729999999999</v>
      </c>
      <c r="G2136">
        <v>527509.76000000001</v>
      </c>
      <c r="H2136" t="str">
        <f>TEXT(Ventas[[#This Row],[Fecha_venta]],"dd")</f>
        <v>14</v>
      </c>
      <c r="I2136" t="str">
        <f>TEXT(Ventas[[#This Row],[Fecha_venta]],"m")</f>
        <v>9</v>
      </c>
      <c r="J2136" t="str">
        <f>TEXT(Ventas[[#This Row],[Fecha_venta]],"yyyy")</f>
        <v>2012</v>
      </c>
    </row>
    <row r="2137" spans="1:10" x14ac:dyDescent="0.25">
      <c r="A2137">
        <v>15</v>
      </c>
      <c r="B2137" s="1">
        <v>41173</v>
      </c>
      <c r="C2137">
        <v>0</v>
      </c>
      <c r="D2137">
        <v>60.34</v>
      </c>
      <c r="E2137">
        <v>4.2030000000000003</v>
      </c>
      <c r="F2137">
        <v>138.6534</v>
      </c>
      <c r="G2137">
        <v>533161.64</v>
      </c>
      <c r="H2137" t="str">
        <f>TEXT(Ventas[[#This Row],[Fecha_venta]],"dd")</f>
        <v>21</v>
      </c>
      <c r="I2137" t="str">
        <f>TEXT(Ventas[[#This Row],[Fecha_venta]],"m")</f>
        <v>9</v>
      </c>
      <c r="J2137" t="str">
        <f>TEXT(Ventas[[#This Row],[Fecha_venta]],"yyyy")</f>
        <v>2012</v>
      </c>
    </row>
    <row r="2138" spans="1:10" x14ac:dyDescent="0.25">
      <c r="A2138">
        <v>15</v>
      </c>
      <c r="B2138" s="1">
        <v>41180</v>
      </c>
      <c r="C2138">
        <v>0</v>
      </c>
      <c r="D2138">
        <v>57.13</v>
      </c>
      <c r="E2138">
        <v>4.1580000000000004</v>
      </c>
      <c r="F2138">
        <v>138.73949999999999</v>
      </c>
      <c r="G2138">
        <v>553901.97</v>
      </c>
      <c r="H2138" t="str">
        <f>TEXT(Ventas[[#This Row],[Fecha_venta]],"dd")</f>
        <v>28</v>
      </c>
      <c r="I2138" t="str">
        <f>TEXT(Ventas[[#This Row],[Fecha_venta]],"m")</f>
        <v>9</v>
      </c>
      <c r="J2138" t="str">
        <f>TEXT(Ventas[[#This Row],[Fecha_venta]],"yyyy")</f>
        <v>2012</v>
      </c>
    </row>
    <row r="2139" spans="1:10" x14ac:dyDescent="0.25">
      <c r="A2139">
        <v>15</v>
      </c>
      <c r="B2139" s="1">
        <v>41187</v>
      </c>
      <c r="C2139">
        <v>0</v>
      </c>
      <c r="D2139">
        <v>59.57</v>
      </c>
      <c r="E2139">
        <v>4.1509999999999998</v>
      </c>
      <c r="F2139">
        <v>138.82560000000001</v>
      </c>
      <c r="G2139">
        <v>573498.64</v>
      </c>
      <c r="H2139" t="str">
        <f>TEXT(Ventas[[#This Row],[Fecha_venta]],"dd")</f>
        <v>05</v>
      </c>
      <c r="I2139" t="str">
        <f>TEXT(Ventas[[#This Row],[Fecha_venta]],"m")</f>
        <v>10</v>
      </c>
      <c r="J2139" t="str">
        <f>TEXT(Ventas[[#This Row],[Fecha_venta]],"yyyy")</f>
        <v>2012</v>
      </c>
    </row>
    <row r="2140" spans="1:10" x14ac:dyDescent="0.25">
      <c r="A2140">
        <v>15</v>
      </c>
      <c r="B2140" s="1">
        <v>41194</v>
      </c>
      <c r="C2140">
        <v>0</v>
      </c>
      <c r="D2140">
        <v>49.12</v>
      </c>
      <c r="E2140">
        <v>4.1859999999999999</v>
      </c>
      <c r="F2140">
        <v>138.9117</v>
      </c>
      <c r="G2140">
        <v>551799.63</v>
      </c>
      <c r="H2140" t="str">
        <f>TEXT(Ventas[[#This Row],[Fecha_venta]],"dd")</f>
        <v>12</v>
      </c>
      <c r="I2140" t="str">
        <f>TEXT(Ventas[[#This Row],[Fecha_venta]],"m")</f>
        <v>10</v>
      </c>
      <c r="J2140" t="str">
        <f>TEXT(Ventas[[#This Row],[Fecha_venta]],"yyyy")</f>
        <v>2012</v>
      </c>
    </row>
    <row r="2141" spans="1:10" x14ac:dyDescent="0.25">
      <c r="A2141">
        <v>15</v>
      </c>
      <c r="B2141" s="1">
        <v>41201</v>
      </c>
      <c r="C2141">
        <v>0</v>
      </c>
      <c r="D2141">
        <v>52.89</v>
      </c>
      <c r="E2141">
        <v>4.1529999999999996</v>
      </c>
      <c r="F2141">
        <v>138.83361289999999</v>
      </c>
      <c r="G2141">
        <v>555652.77</v>
      </c>
      <c r="H2141" t="str">
        <f>TEXT(Ventas[[#This Row],[Fecha_venta]],"dd")</f>
        <v>19</v>
      </c>
      <c r="I2141" t="str">
        <f>TEXT(Ventas[[#This Row],[Fecha_venta]],"m")</f>
        <v>10</v>
      </c>
      <c r="J2141" t="str">
        <f>TEXT(Ventas[[#This Row],[Fecha_venta]],"yyyy")</f>
        <v>2012</v>
      </c>
    </row>
    <row r="2142" spans="1:10" x14ac:dyDescent="0.25">
      <c r="A2142">
        <v>15</v>
      </c>
      <c r="B2142" s="1">
        <v>41208</v>
      </c>
      <c r="C2142">
        <v>0</v>
      </c>
      <c r="D2142">
        <v>55.75</v>
      </c>
      <c r="E2142">
        <v>4.0709999999999997</v>
      </c>
      <c r="F2142">
        <v>138.72816130000001</v>
      </c>
      <c r="G2142">
        <v>558473.6</v>
      </c>
      <c r="H2142" t="str">
        <f>TEXT(Ventas[[#This Row],[Fecha_venta]],"dd")</f>
        <v>26</v>
      </c>
      <c r="I2142" t="str">
        <f>TEXT(Ventas[[#This Row],[Fecha_venta]],"m")</f>
        <v>10</v>
      </c>
      <c r="J2142" t="str">
        <f>TEXT(Ventas[[#This Row],[Fecha_venta]],"yyyy")</f>
        <v>2012</v>
      </c>
    </row>
    <row r="2143" spans="1:10" x14ac:dyDescent="0.25">
      <c r="A2143">
        <v>16</v>
      </c>
      <c r="B2143" s="1">
        <v>40214</v>
      </c>
      <c r="C2143">
        <v>0</v>
      </c>
      <c r="D2143">
        <v>19.79</v>
      </c>
      <c r="E2143">
        <v>2.58</v>
      </c>
      <c r="F2143">
        <v>189.38169740000001</v>
      </c>
      <c r="G2143">
        <v>477409.3</v>
      </c>
      <c r="H2143" t="str">
        <f>TEXT(Ventas[[#This Row],[Fecha_venta]],"dd")</f>
        <v>05</v>
      </c>
      <c r="I2143" t="str">
        <f>TEXT(Ventas[[#This Row],[Fecha_venta]],"m")</f>
        <v>2</v>
      </c>
      <c r="J2143" t="str">
        <f>TEXT(Ventas[[#This Row],[Fecha_venta]],"yyyy")</f>
        <v>2010</v>
      </c>
    </row>
    <row r="2144" spans="1:10" x14ac:dyDescent="0.25">
      <c r="A2144">
        <v>16</v>
      </c>
      <c r="B2144" s="1">
        <v>40221</v>
      </c>
      <c r="C2144">
        <v>1</v>
      </c>
      <c r="D2144">
        <v>20.87</v>
      </c>
      <c r="E2144">
        <v>2.5720000000000001</v>
      </c>
      <c r="F2144">
        <v>189.46427249999999</v>
      </c>
      <c r="G2144">
        <v>472044.28</v>
      </c>
      <c r="H2144" t="str">
        <f>TEXT(Ventas[[#This Row],[Fecha_venta]],"dd")</f>
        <v>12</v>
      </c>
      <c r="I2144" t="str">
        <f>TEXT(Ventas[[#This Row],[Fecha_venta]],"m")</f>
        <v>2</v>
      </c>
      <c r="J2144" t="str">
        <f>TEXT(Ventas[[#This Row],[Fecha_venta]],"yyyy")</f>
        <v>2010</v>
      </c>
    </row>
    <row r="2145" spans="1:10" x14ac:dyDescent="0.25">
      <c r="A2145">
        <v>16</v>
      </c>
      <c r="B2145" s="1">
        <v>40228</v>
      </c>
      <c r="C2145">
        <v>0</v>
      </c>
      <c r="D2145">
        <v>21.13</v>
      </c>
      <c r="E2145">
        <v>2.5499999999999998</v>
      </c>
      <c r="F2145">
        <v>189.53409980000001</v>
      </c>
      <c r="G2145">
        <v>469868.7</v>
      </c>
      <c r="H2145" t="str">
        <f>TEXT(Ventas[[#This Row],[Fecha_venta]],"dd")</f>
        <v>19</v>
      </c>
      <c r="I2145" t="str">
        <f>TEXT(Ventas[[#This Row],[Fecha_venta]],"m")</f>
        <v>2</v>
      </c>
      <c r="J2145" t="str">
        <f>TEXT(Ventas[[#This Row],[Fecha_venta]],"yyyy")</f>
        <v>2010</v>
      </c>
    </row>
    <row r="2146" spans="1:10" x14ac:dyDescent="0.25">
      <c r="A2146">
        <v>16</v>
      </c>
      <c r="B2146" s="1">
        <v>40235</v>
      </c>
      <c r="C2146">
        <v>0</v>
      </c>
      <c r="D2146">
        <v>18.12</v>
      </c>
      <c r="E2146">
        <v>2.5859999999999999</v>
      </c>
      <c r="F2146">
        <v>189.6018023</v>
      </c>
      <c r="G2146">
        <v>443242.17</v>
      </c>
      <c r="H2146" t="str">
        <f>TEXT(Ventas[[#This Row],[Fecha_venta]],"dd")</f>
        <v>26</v>
      </c>
      <c r="I2146" t="str">
        <f>TEXT(Ventas[[#This Row],[Fecha_venta]],"m")</f>
        <v>2</v>
      </c>
      <c r="J2146" t="str">
        <f>TEXT(Ventas[[#This Row],[Fecha_venta]],"yyyy")</f>
        <v>2010</v>
      </c>
    </row>
    <row r="2147" spans="1:10" x14ac:dyDescent="0.25">
      <c r="A2147">
        <v>16</v>
      </c>
      <c r="B2147" s="1">
        <v>40242</v>
      </c>
      <c r="C2147">
        <v>0</v>
      </c>
      <c r="D2147">
        <v>27.92</v>
      </c>
      <c r="E2147">
        <v>2.62</v>
      </c>
      <c r="F2147">
        <v>189.66950489999999</v>
      </c>
      <c r="G2147">
        <v>444181.85</v>
      </c>
      <c r="H2147" t="str">
        <f>TEXT(Ventas[[#This Row],[Fecha_venta]],"dd")</f>
        <v>05</v>
      </c>
      <c r="I2147" t="str">
        <f>TEXT(Ventas[[#This Row],[Fecha_venta]],"m")</f>
        <v>3</v>
      </c>
      <c r="J2147" t="str">
        <f>TEXT(Ventas[[#This Row],[Fecha_venta]],"yyyy")</f>
        <v>2010</v>
      </c>
    </row>
    <row r="2148" spans="1:10" x14ac:dyDescent="0.25">
      <c r="A2148">
        <v>16</v>
      </c>
      <c r="B2148" s="1">
        <v>40249</v>
      </c>
      <c r="C2148">
        <v>0</v>
      </c>
      <c r="D2148">
        <v>28.64</v>
      </c>
      <c r="E2148">
        <v>2.6840000000000002</v>
      </c>
      <c r="F2148">
        <v>189.73720750000001</v>
      </c>
      <c r="G2148">
        <v>445393.74</v>
      </c>
      <c r="H2148" t="str">
        <f>TEXT(Ventas[[#This Row],[Fecha_venta]],"dd")</f>
        <v>12</v>
      </c>
      <c r="I2148" t="str">
        <f>TEXT(Ventas[[#This Row],[Fecha_venta]],"m")</f>
        <v>3</v>
      </c>
      <c r="J2148" t="str">
        <f>TEXT(Ventas[[#This Row],[Fecha_venta]],"yyyy")</f>
        <v>2010</v>
      </c>
    </row>
    <row r="2149" spans="1:10" x14ac:dyDescent="0.25">
      <c r="A2149">
        <v>16</v>
      </c>
      <c r="B2149" s="1">
        <v>40256</v>
      </c>
      <c r="C2149">
        <v>0</v>
      </c>
      <c r="D2149">
        <v>33.450000000000003</v>
      </c>
      <c r="E2149">
        <v>2.6920000000000002</v>
      </c>
      <c r="F2149">
        <v>189.734262</v>
      </c>
      <c r="G2149">
        <v>504307.35</v>
      </c>
      <c r="H2149" t="str">
        <f>TEXT(Ventas[[#This Row],[Fecha_venta]],"dd")</f>
        <v>19</v>
      </c>
      <c r="I2149" t="str">
        <f>TEXT(Ventas[[#This Row],[Fecha_venta]],"m")</f>
        <v>3</v>
      </c>
      <c r="J2149" t="str">
        <f>TEXT(Ventas[[#This Row],[Fecha_venta]],"yyyy")</f>
        <v>2010</v>
      </c>
    </row>
    <row r="2150" spans="1:10" x14ac:dyDescent="0.25">
      <c r="A2150">
        <v>16</v>
      </c>
      <c r="B2150" s="1">
        <v>40263</v>
      </c>
      <c r="C2150">
        <v>0</v>
      </c>
      <c r="D2150">
        <v>29.88</v>
      </c>
      <c r="E2150">
        <v>2.7170000000000001</v>
      </c>
      <c r="F2150">
        <v>189.71954170000001</v>
      </c>
      <c r="G2150">
        <v>483177.2</v>
      </c>
      <c r="H2150" t="str">
        <f>TEXT(Ventas[[#This Row],[Fecha_venta]],"dd")</f>
        <v>26</v>
      </c>
      <c r="I2150" t="str">
        <f>TEXT(Ventas[[#This Row],[Fecha_venta]],"m")</f>
        <v>3</v>
      </c>
      <c r="J2150" t="str">
        <f>TEXT(Ventas[[#This Row],[Fecha_venta]],"yyyy")</f>
        <v>2010</v>
      </c>
    </row>
    <row r="2151" spans="1:10" x14ac:dyDescent="0.25">
      <c r="A2151">
        <v>16</v>
      </c>
      <c r="B2151" s="1">
        <v>40270</v>
      </c>
      <c r="C2151">
        <v>0</v>
      </c>
      <c r="D2151">
        <v>36.19</v>
      </c>
      <c r="E2151">
        <v>2.7250000000000001</v>
      </c>
      <c r="F2151">
        <v>189.70482150000001</v>
      </c>
      <c r="G2151">
        <v>490503.69</v>
      </c>
      <c r="H2151" t="str">
        <f>TEXT(Ventas[[#This Row],[Fecha_venta]],"dd")</f>
        <v>02</v>
      </c>
      <c r="I2151" t="str">
        <f>TEXT(Ventas[[#This Row],[Fecha_venta]],"m")</f>
        <v>4</v>
      </c>
      <c r="J2151" t="str">
        <f>TEXT(Ventas[[#This Row],[Fecha_venta]],"yyyy")</f>
        <v>2010</v>
      </c>
    </row>
    <row r="2152" spans="1:10" x14ac:dyDescent="0.25">
      <c r="A2152">
        <v>16</v>
      </c>
      <c r="B2152" s="1">
        <v>40277</v>
      </c>
      <c r="C2152">
        <v>0</v>
      </c>
      <c r="D2152">
        <v>34.21</v>
      </c>
      <c r="E2152">
        <v>2.75</v>
      </c>
      <c r="F2152">
        <v>189.69010119999999</v>
      </c>
      <c r="G2152">
        <v>424083.99</v>
      </c>
      <c r="H2152" t="str">
        <f>TEXT(Ventas[[#This Row],[Fecha_venta]],"dd")</f>
        <v>09</v>
      </c>
      <c r="I2152" t="str">
        <f>TEXT(Ventas[[#This Row],[Fecha_venta]],"m")</f>
        <v>4</v>
      </c>
      <c r="J2152" t="str">
        <f>TEXT(Ventas[[#This Row],[Fecha_venta]],"yyyy")</f>
        <v>2010</v>
      </c>
    </row>
    <row r="2153" spans="1:10" x14ac:dyDescent="0.25">
      <c r="A2153">
        <v>16</v>
      </c>
      <c r="B2153" s="1">
        <v>40284</v>
      </c>
      <c r="C2153">
        <v>0</v>
      </c>
      <c r="D2153">
        <v>45.69</v>
      </c>
      <c r="E2153">
        <v>2.7650000000000001</v>
      </c>
      <c r="F2153">
        <v>189.66288449999999</v>
      </c>
      <c r="G2153">
        <v>436312.41</v>
      </c>
      <c r="H2153" t="str">
        <f>TEXT(Ventas[[#This Row],[Fecha_venta]],"dd")</f>
        <v>16</v>
      </c>
      <c r="I2153" t="str">
        <f>TEXT(Ventas[[#This Row],[Fecha_venta]],"m")</f>
        <v>4</v>
      </c>
      <c r="J2153" t="str">
        <f>TEXT(Ventas[[#This Row],[Fecha_venta]],"yyyy")</f>
        <v>2010</v>
      </c>
    </row>
    <row r="2154" spans="1:10" x14ac:dyDescent="0.25">
      <c r="A2154">
        <v>16</v>
      </c>
      <c r="B2154" s="1">
        <v>40291</v>
      </c>
      <c r="C2154">
        <v>0</v>
      </c>
      <c r="D2154">
        <v>44.9</v>
      </c>
      <c r="E2154">
        <v>2.7759999999999998</v>
      </c>
      <c r="F2154">
        <v>189.6190057</v>
      </c>
      <c r="G2154">
        <v>370230.94</v>
      </c>
      <c r="H2154" t="str">
        <f>TEXT(Ventas[[#This Row],[Fecha_venta]],"dd")</f>
        <v>23</v>
      </c>
      <c r="I2154" t="str">
        <f>TEXT(Ventas[[#This Row],[Fecha_venta]],"m")</f>
        <v>4</v>
      </c>
      <c r="J2154" t="str">
        <f>TEXT(Ventas[[#This Row],[Fecha_venta]],"yyyy")</f>
        <v>2010</v>
      </c>
    </row>
    <row r="2155" spans="1:10" x14ac:dyDescent="0.25">
      <c r="A2155">
        <v>16</v>
      </c>
      <c r="B2155" s="1">
        <v>40298</v>
      </c>
      <c r="C2155">
        <v>0</v>
      </c>
      <c r="D2155">
        <v>37.75</v>
      </c>
      <c r="E2155">
        <v>2.766</v>
      </c>
      <c r="F2155">
        <v>189.57512700000001</v>
      </c>
      <c r="G2155">
        <v>383550.93</v>
      </c>
      <c r="H2155" t="str">
        <f>TEXT(Ventas[[#This Row],[Fecha_venta]],"dd")</f>
        <v>30</v>
      </c>
      <c r="I2155" t="str">
        <f>TEXT(Ventas[[#This Row],[Fecha_venta]],"m")</f>
        <v>4</v>
      </c>
      <c r="J2155" t="str">
        <f>TEXT(Ventas[[#This Row],[Fecha_venta]],"yyyy")</f>
        <v>2010</v>
      </c>
    </row>
    <row r="2156" spans="1:10" x14ac:dyDescent="0.25">
      <c r="A2156">
        <v>16</v>
      </c>
      <c r="B2156" s="1">
        <v>40305</v>
      </c>
      <c r="C2156">
        <v>0</v>
      </c>
      <c r="D2156">
        <v>37.43</v>
      </c>
      <c r="E2156">
        <v>2.7709999999999999</v>
      </c>
      <c r="F2156">
        <v>189.53124829999999</v>
      </c>
      <c r="G2156">
        <v>403217.22</v>
      </c>
      <c r="H2156" t="str">
        <f>TEXT(Ventas[[#This Row],[Fecha_venta]],"dd")</f>
        <v>07</v>
      </c>
      <c r="I2156" t="str">
        <f>TEXT(Ventas[[#This Row],[Fecha_venta]],"m")</f>
        <v>5</v>
      </c>
      <c r="J2156" t="str">
        <f>TEXT(Ventas[[#This Row],[Fecha_venta]],"yyyy")</f>
        <v>2010</v>
      </c>
    </row>
    <row r="2157" spans="1:10" x14ac:dyDescent="0.25">
      <c r="A2157">
        <v>16</v>
      </c>
      <c r="B2157" s="1">
        <v>40312</v>
      </c>
      <c r="C2157">
        <v>0</v>
      </c>
      <c r="D2157">
        <v>41.26</v>
      </c>
      <c r="E2157">
        <v>2.7879999999999998</v>
      </c>
      <c r="F2157">
        <v>189.49041159999999</v>
      </c>
      <c r="G2157">
        <v>401770.9</v>
      </c>
      <c r="H2157" t="str">
        <f>TEXT(Ventas[[#This Row],[Fecha_venta]],"dd")</f>
        <v>14</v>
      </c>
      <c r="I2157" t="str">
        <f>TEXT(Ventas[[#This Row],[Fecha_venta]],"m")</f>
        <v>5</v>
      </c>
      <c r="J2157" t="str">
        <f>TEXT(Ventas[[#This Row],[Fecha_venta]],"yyyy")</f>
        <v>2010</v>
      </c>
    </row>
    <row r="2158" spans="1:10" x14ac:dyDescent="0.25">
      <c r="A2158">
        <v>16</v>
      </c>
      <c r="B2158" s="1">
        <v>40319</v>
      </c>
      <c r="C2158">
        <v>0</v>
      </c>
      <c r="D2158">
        <v>47.34</v>
      </c>
      <c r="E2158">
        <v>2.7759999999999998</v>
      </c>
      <c r="F2158">
        <v>189.467827</v>
      </c>
      <c r="G2158">
        <v>435300.51</v>
      </c>
      <c r="H2158" t="str">
        <f>TEXT(Ventas[[#This Row],[Fecha_venta]],"dd")</f>
        <v>21</v>
      </c>
      <c r="I2158" t="str">
        <f>TEXT(Ventas[[#This Row],[Fecha_venta]],"m")</f>
        <v>5</v>
      </c>
      <c r="J2158" t="str">
        <f>TEXT(Ventas[[#This Row],[Fecha_venta]],"yyyy")</f>
        <v>2010</v>
      </c>
    </row>
    <row r="2159" spans="1:10" x14ac:dyDescent="0.25">
      <c r="A2159">
        <v>16</v>
      </c>
      <c r="B2159" s="1">
        <v>40326</v>
      </c>
      <c r="C2159">
        <v>0</v>
      </c>
      <c r="D2159">
        <v>52.08</v>
      </c>
      <c r="E2159">
        <v>2.7370000000000001</v>
      </c>
      <c r="F2159">
        <v>189.44524250000001</v>
      </c>
      <c r="G2159">
        <v>479430</v>
      </c>
      <c r="H2159" t="str">
        <f>TEXT(Ventas[[#This Row],[Fecha_venta]],"dd")</f>
        <v>28</v>
      </c>
      <c r="I2159" t="str">
        <f>TEXT(Ventas[[#This Row],[Fecha_venta]],"m")</f>
        <v>5</v>
      </c>
      <c r="J2159" t="str">
        <f>TEXT(Ventas[[#This Row],[Fecha_venta]],"yyyy")</f>
        <v>2010</v>
      </c>
    </row>
    <row r="2160" spans="1:10" x14ac:dyDescent="0.25">
      <c r="A2160">
        <v>16</v>
      </c>
      <c r="B2160" s="1">
        <v>40333</v>
      </c>
      <c r="C2160">
        <v>0</v>
      </c>
      <c r="D2160">
        <v>53.76</v>
      </c>
      <c r="E2160">
        <v>2.7</v>
      </c>
      <c r="F2160">
        <v>189.42265800000001</v>
      </c>
      <c r="G2160">
        <v>516295.81</v>
      </c>
      <c r="H2160" t="str">
        <f>TEXT(Ventas[[#This Row],[Fecha_venta]],"dd")</f>
        <v>04</v>
      </c>
      <c r="I2160" t="str">
        <f>TEXT(Ventas[[#This Row],[Fecha_venta]],"m")</f>
        <v>6</v>
      </c>
      <c r="J2160" t="str">
        <f>TEXT(Ventas[[#This Row],[Fecha_venta]],"yyyy")</f>
        <v>2010</v>
      </c>
    </row>
    <row r="2161" spans="1:10" x14ac:dyDescent="0.25">
      <c r="A2161">
        <v>16</v>
      </c>
      <c r="B2161" s="1">
        <v>40340</v>
      </c>
      <c r="C2161">
        <v>0</v>
      </c>
      <c r="D2161">
        <v>62.63</v>
      </c>
      <c r="E2161">
        <v>2.6840000000000002</v>
      </c>
      <c r="F2161">
        <v>189.4000734</v>
      </c>
      <c r="G2161">
        <v>535587.31000000006</v>
      </c>
      <c r="H2161" t="str">
        <f>TEXT(Ventas[[#This Row],[Fecha_venta]],"dd")</f>
        <v>11</v>
      </c>
      <c r="I2161" t="str">
        <f>TEXT(Ventas[[#This Row],[Fecha_venta]],"m")</f>
        <v>6</v>
      </c>
      <c r="J2161" t="str">
        <f>TEXT(Ventas[[#This Row],[Fecha_venta]],"yyyy")</f>
        <v>2010</v>
      </c>
    </row>
    <row r="2162" spans="1:10" x14ac:dyDescent="0.25">
      <c r="A2162">
        <v>16</v>
      </c>
      <c r="B2162" s="1">
        <v>40347</v>
      </c>
      <c r="C2162">
        <v>0</v>
      </c>
      <c r="D2162">
        <v>52.4</v>
      </c>
      <c r="E2162">
        <v>2.6739999999999999</v>
      </c>
      <c r="F2162">
        <v>189.41852589999999</v>
      </c>
      <c r="G2162">
        <v>540149.85</v>
      </c>
      <c r="H2162" t="str">
        <f>TEXT(Ventas[[#This Row],[Fecha_venta]],"dd")</f>
        <v>18</v>
      </c>
      <c r="I2162" t="str">
        <f>TEXT(Ventas[[#This Row],[Fecha_venta]],"m")</f>
        <v>6</v>
      </c>
      <c r="J2162" t="str">
        <f>TEXT(Ventas[[#This Row],[Fecha_venta]],"yyyy")</f>
        <v>2010</v>
      </c>
    </row>
    <row r="2163" spans="1:10" x14ac:dyDescent="0.25">
      <c r="A2163">
        <v>16</v>
      </c>
      <c r="B2163" s="1">
        <v>40354</v>
      </c>
      <c r="C2163">
        <v>0</v>
      </c>
      <c r="D2163">
        <v>62.37</v>
      </c>
      <c r="E2163">
        <v>2.7149999999999999</v>
      </c>
      <c r="F2163">
        <v>189.4533931</v>
      </c>
      <c r="G2163">
        <v>546554.96</v>
      </c>
      <c r="H2163" t="str">
        <f>TEXT(Ventas[[#This Row],[Fecha_venta]],"dd")</f>
        <v>25</v>
      </c>
      <c r="I2163" t="str">
        <f>TEXT(Ventas[[#This Row],[Fecha_venta]],"m")</f>
        <v>6</v>
      </c>
      <c r="J2163" t="str">
        <f>TEXT(Ventas[[#This Row],[Fecha_venta]],"yyyy")</f>
        <v>2010</v>
      </c>
    </row>
    <row r="2164" spans="1:10" x14ac:dyDescent="0.25">
      <c r="A2164">
        <v>16</v>
      </c>
      <c r="B2164" s="1">
        <v>40361</v>
      </c>
      <c r="C2164">
        <v>0</v>
      </c>
      <c r="D2164">
        <v>64.44</v>
      </c>
      <c r="E2164">
        <v>2.7280000000000002</v>
      </c>
      <c r="F2164">
        <v>189.48826030000001</v>
      </c>
      <c r="G2164">
        <v>610641.42000000004</v>
      </c>
      <c r="H2164" t="str">
        <f>TEXT(Ventas[[#This Row],[Fecha_venta]],"dd")</f>
        <v>02</v>
      </c>
      <c r="I2164" t="str">
        <f>TEXT(Ventas[[#This Row],[Fecha_venta]],"m")</f>
        <v>7</v>
      </c>
      <c r="J2164" t="str">
        <f>TEXT(Ventas[[#This Row],[Fecha_venta]],"yyyy")</f>
        <v>2010</v>
      </c>
    </row>
    <row r="2165" spans="1:10" x14ac:dyDescent="0.25">
      <c r="A2165">
        <v>16</v>
      </c>
      <c r="B2165" s="1">
        <v>40368</v>
      </c>
      <c r="C2165">
        <v>0</v>
      </c>
      <c r="D2165">
        <v>61.79</v>
      </c>
      <c r="E2165">
        <v>2.7109999999999999</v>
      </c>
      <c r="F2165">
        <v>189.52312760000001</v>
      </c>
      <c r="G2165">
        <v>614253.32999999996</v>
      </c>
      <c r="H2165" t="str">
        <f>TEXT(Ventas[[#This Row],[Fecha_venta]],"dd")</f>
        <v>09</v>
      </c>
      <c r="I2165" t="str">
        <f>TEXT(Ventas[[#This Row],[Fecha_venta]],"m")</f>
        <v>7</v>
      </c>
      <c r="J2165" t="str">
        <f>TEXT(Ventas[[#This Row],[Fecha_venta]],"yyyy")</f>
        <v>2010</v>
      </c>
    </row>
    <row r="2166" spans="1:10" x14ac:dyDescent="0.25">
      <c r="A2166">
        <v>16</v>
      </c>
      <c r="B2166" s="1">
        <v>40375</v>
      </c>
      <c r="C2166">
        <v>0</v>
      </c>
      <c r="D2166">
        <v>67.680000000000007</v>
      </c>
      <c r="E2166">
        <v>2.6989999999999998</v>
      </c>
      <c r="F2166">
        <v>189.6125456</v>
      </c>
      <c r="G2166">
        <v>586583.68999999994</v>
      </c>
      <c r="H2166" t="str">
        <f>TEXT(Ventas[[#This Row],[Fecha_venta]],"dd")</f>
        <v>16</v>
      </c>
      <c r="I2166" t="str">
        <f>TEXT(Ventas[[#This Row],[Fecha_venta]],"m")</f>
        <v>7</v>
      </c>
      <c r="J2166" t="str">
        <f>TEXT(Ventas[[#This Row],[Fecha_venta]],"yyyy")</f>
        <v>2010</v>
      </c>
    </row>
    <row r="2167" spans="1:10" x14ac:dyDescent="0.25">
      <c r="A2167">
        <v>16</v>
      </c>
      <c r="B2167" s="1">
        <v>40382</v>
      </c>
      <c r="C2167">
        <v>0</v>
      </c>
      <c r="D2167">
        <v>70.67</v>
      </c>
      <c r="E2167">
        <v>2.6909999999999998</v>
      </c>
      <c r="F2167">
        <v>189.774698</v>
      </c>
      <c r="G2167">
        <v>588344.18000000005</v>
      </c>
      <c r="H2167" t="str">
        <f>TEXT(Ventas[[#This Row],[Fecha_venta]],"dd")</f>
        <v>23</v>
      </c>
      <c r="I2167" t="str">
        <f>TEXT(Ventas[[#This Row],[Fecha_venta]],"m")</f>
        <v>7</v>
      </c>
      <c r="J2167" t="str">
        <f>TEXT(Ventas[[#This Row],[Fecha_venta]],"yyyy")</f>
        <v>2010</v>
      </c>
    </row>
    <row r="2168" spans="1:10" x14ac:dyDescent="0.25">
      <c r="A2168">
        <v>16</v>
      </c>
      <c r="B2168" s="1">
        <v>40389</v>
      </c>
      <c r="C2168">
        <v>0</v>
      </c>
      <c r="D2168">
        <v>70.709999999999994</v>
      </c>
      <c r="E2168">
        <v>2.69</v>
      </c>
      <c r="F2168">
        <v>189.9368504</v>
      </c>
      <c r="G2168">
        <v>562633.67000000004</v>
      </c>
      <c r="H2168" t="str">
        <f>TEXT(Ventas[[#This Row],[Fecha_venta]],"dd")</f>
        <v>30</v>
      </c>
      <c r="I2168" t="str">
        <f>TEXT(Ventas[[#This Row],[Fecha_venta]],"m")</f>
        <v>7</v>
      </c>
      <c r="J2168" t="str">
        <f>TEXT(Ventas[[#This Row],[Fecha_venta]],"yyyy")</f>
        <v>2010</v>
      </c>
    </row>
    <row r="2169" spans="1:10" x14ac:dyDescent="0.25">
      <c r="A2169">
        <v>16</v>
      </c>
      <c r="B2169" s="1">
        <v>40396</v>
      </c>
      <c r="C2169">
        <v>0</v>
      </c>
      <c r="D2169">
        <v>67.42</v>
      </c>
      <c r="E2169">
        <v>2.69</v>
      </c>
      <c r="F2169">
        <v>190.09900279999999</v>
      </c>
      <c r="G2169">
        <v>586936.44999999995</v>
      </c>
      <c r="H2169" t="str">
        <f>TEXT(Ventas[[#This Row],[Fecha_venta]],"dd")</f>
        <v>06</v>
      </c>
      <c r="I2169" t="str">
        <f>TEXT(Ventas[[#This Row],[Fecha_venta]],"m")</f>
        <v>8</v>
      </c>
      <c r="J2169" t="str">
        <f>TEXT(Ventas[[#This Row],[Fecha_venta]],"yyyy")</f>
        <v>2010</v>
      </c>
    </row>
    <row r="2170" spans="1:10" x14ac:dyDescent="0.25">
      <c r="A2170">
        <v>16</v>
      </c>
      <c r="B2170" s="1">
        <v>40403</v>
      </c>
      <c r="C2170">
        <v>0</v>
      </c>
      <c r="D2170">
        <v>63.91</v>
      </c>
      <c r="E2170">
        <v>2.7229999999999999</v>
      </c>
      <c r="F2170">
        <v>190.26115519999999</v>
      </c>
      <c r="G2170">
        <v>543757.97</v>
      </c>
      <c r="H2170" t="str">
        <f>TEXT(Ventas[[#This Row],[Fecha_venta]],"dd")</f>
        <v>13</v>
      </c>
      <c r="I2170" t="str">
        <f>TEXT(Ventas[[#This Row],[Fecha_venta]],"m")</f>
        <v>8</v>
      </c>
      <c r="J2170" t="str">
        <f>TEXT(Ventas[[#This Row],[Fecha_venta]],"yyyy")</f>
        <v>2010</v>
      </c>
    </row>
    <row r="2171" spans="1:10" x14ac:dyDescent="0.25">
      <c r="A2171">
        <v>16</v>
      </c>
      <c r="B2171" s="1">
        <v>40410</v>
      </c>
      <c r="C2171">
        <v>0</v>
      </c>
      <c r="D2171">
        <v>63.59</v>
      </c>
      <c r="E2171">
        <v>2.7320000000000002</v>
      </c>
      <c r="F2171">
        <v>190.29482369999999</v>
      </c>
      <c r="G2171">
        <v>521516.96</v>
      </c>
      <c r="H2171" t="str">
        <f>TEXT(Ventas[[#This Row],[Fecha_venta]],"dd")</f>
        <v>20</v>
      </c>
      <c r="I2171" t="str">
        <f>TEXT(Ventas[[#This Row],[Fecha_venta]],"m")</f>
        <v>8</v>
      </c>
      <c r="J2171" t="str">
        <f>TEXT(Ventas[[#This Row],[Fecha_venta]],"yyyy")</f>
        <v>2010</v>
      </c>
    </row>
    <row r="2172" spans="1:10" x14ac:dyDescent="0.25">
      <c r="A2172">
        <v>16</v>
      </c>
      <c r="B2172" s="1">
        <v>40417</v>
      </c>
      <c r="C2172">
        <v>0</v>
      </c>
      <c r="D2172">
        <v>65.66</v>
      </c>
      <c r="E2172">
        <v>2.7309999999999999</v>
      </c>
      <c r="F2172">
        <v>190.3284922</v>
      </c>
      <c r="G2172">
        <v>581010.52</v>
      </c>
      <c r="H2172" t="str">
        <f>TEXT(Ventas[[#This Row],[Fecha_venta]],"dd")</f>
        <v>27</v>
      </c>
      <c r="I2172" t="str">
        <f>TEXT(Ventas[[#This Row],[Fecha_venta]],"m")</f>
        <v>8</v>
      </c>
      <c r="J2172" t="str">
        <f>TEXT(Ventas[[#This Row],[Fecha_venta]],"yyyy")</f>
        <v>2010</v>
      </c>
    </row>
    <row r="2173" spans="1:10" x14ac:dyDescent="0.25">
      <c r="A2173">
        <v>16</v>
      </c>
      <c r="B2173" s="1">
        <v>40424</v>
      </c>
      <c r="C2173">
        <v>0</v>
      </c>
      <c r="D2173">
        <v>58.02</v>
      </c>
      <c r="E2173">
        <v>2.7730000000000001</v>
      </c>
      <c r="F2173">
        <v>190.3621607</v>
      </c>
      <c r="G2173">
        <v>542087.89</v>
      </c>
      <c r="H2173" t="str">
        <f>TEXT(Ventas[[#This Row],[Fecha_venta]],"dd")</f>
        <v>03</v>
      </c>
      <c r="I2173" t="str">
        <f>TEXT(Ventas[[#This Row],[Fecha_venta]],"m")</f>
        <v>9</v>
      </c>
      <c r="J2173" t="str">
        <f>TEXT(Ventas[[#This Row],[Fecha_venta]],"yyyy")</f>
        <v>2010</v>
      </c>
    </row>
    <row r="2174" spans="1:10" x14ac:dyDescent="0.25">
      <c r="A2174">
        <v>16</v>
      </c>
      <c r="B2174" s="1">
        <v>40431</v>
      </c>
      <c r="C2174">
        <v>1</v>
      </c>
      <c r="D2174">
        <v>57.24</v>
      </c>
      <c r="E2174">
        <v>2.78</v>
      </c>
      <c r="F2174">
        <v>190.3958293</v>
      </c>
      <c r="G2174">
        <v>537518.56999999995</v>
      </c>
      <c r="H2174" t="str">
        <f>TEXT(Ventas[[#This Row],[Fecha_venta]],"dd")</f>
        <v>10</v>
      </c>
      <c r="I2174" t="str">
        <f>TEXT(Ventas[[#This Row],[Fecha_venta]],"m")</f>
        <v>9</v>
      </c>
      <c r="J2174" t="str">
        <f>TEXT(Ventas[[#This Row],[Fecha_venta]],"yyyy")</f>
        <v>2010</v>
      </c>
    </row>
    <row r="2175" spans="1:10" x14ac:dyDescent="0.25">
      <c r="A2175">
        <v>16</v>
      </c>
      <c r="B2175" s="1">
        <v>40438</v>
      </c>
      <c r="C2175">
        <v>0</v>
      </c>
      <c r="D2175">
        <v>56.55</v>
      </c>
      <c r="E2175">
        <v>2.8</v>
      </c>
      <c r="F2175">
        <v>190.46882869999999</v>
      </c>
      <c r="G2175">
        <v>522049.52</v>
      </c>
      <c r="H2175" t="str">
        <f>TEXT(Ventas[[#This Row],[Fecha_venta]],"dd")</f>
        <v>17</v>
      </c>
      <c r="I2175" t="str">
        <f>TEXT(Ventas[[#This Row],[Fecha_venta]],"m")</f>
        <v>9</v>
      </c>
      <c r="J2175" t="str">
        <f>TEXT(Ventas[[#This Row],[Fecha_venta]],"yyyy")</f>
        <v>2010</v>
      </c>
    </row>
    <row r="2176" spans="1:10" x14ac:dyDescent="0.25">
      <c r="A2176">
        <v>16</v>
      </c>
      <c r="B2176" s="1">
        <v>40445</v>
      </c>
      <c r="C2176">
        <v>0</v>
      </c>
      <c r="D2176">
        <v>58.19</v>
      </c>
      <c r="E2176">
        <v>2.7930000000000001</v>
      </c>
      <c r="F2176">
        <v>190.5713264</v>
      </c>
      <c r="G2176">
        <v>511330.32</v>
      </c>
      <c r="H2176" t="str">
        <f>TEXT(Ventas[[#This Row],[Fecha_venta]],"dd")</f>
        <v>24</v>
      </c>
      <c r="I2176" t="str">
        <f>TEXT(Ventas[[#This Row],[Fecha_venta]],"m")</f>
        <v>9</v>
      </c>
      <c r="J2176" t="str">
        <f>TEXT(Ventas[[#This Row],[Fecha_venta]],"yyyy")</f>
        <v>2010</v>
      </c>
    </row>
    <row r="2177" spans="1:10" x14ac:dyDescent="0.25">
      <c r="A2177">
        <v>16</v>
      </c>
      <c r="B2177" s="1">
        <v>40452</v>
      </c>
      <c r="C2177">
        <v>0</v>
      </c>
      <c r="D2177">
        <v>59.39</v>
      </c>
      <c r="E2177">
        <v>2.7589999999999999</v>
      </c>
      <c r="F2177">
        <v>190.67382409999999</v>
      </c>
      <c r="G2177">
        <v>463977.54</v>
      </c>
      <c r="H2177" t="str">
        <f>TEXT(Ventas[[#This Row],[Fecha_venta]],"dd")</f>
        <v>01</v>
      </c>
      <c r="I2177" t="str">
        <f>TEXT(Ventas[[#This Row],[Fecha_venta]],"m")</f>
        <v>10</v>
      </c>
      <c r="J2177" t="str">
        <f>TEXT(Ventas[[#This Row],[Fecha_venta]],"yyyy")</f>
        <v>2010</v>
      </c>
    </row>
    <row r="2178" spans="1:10" x14ac:dyDescent="0.25">
      <c r="A2178">
        <v>16</v>
      </c>
      <c r="B2178" s="1">
        <v>40459</v>
      </c>
      <c r="C2178">
        <v>0</v>
      </c>
      <c r="D2178">
        <v>54.29</v>
      </c>
      <c r="E2178">
        <v>2.7450000000000001</v>
      </c>
      <c r="F2178">
        <v>190.77632180000001</v>
      </c>
      <c r="G2178">
        <v>442894.2</v>
      </c>
      <c r="H2178" t="str">
        <f>TEXT(Ventas[[#This Row],[Fecha_venta]],"dd")</f>
        <v>08</v>
      </c>
      <c r="I2178" t="str">
        <f>TEXT(Ventas[[#This Row],[Fecha_venta]],"m")</f>
        <v>10</v>
      </c>
      <c r="J2178" t="str">
        <f>TEXT(Ventas[[#This Row],[Fecha_venta]],"yyyy")</f>
        <v>2010</v>
      </c>
    </row>
    <row r="2179" spans="1:10" x14ac:dyDescent="0.25">
      <c r="A2179">
        <v>16</v>
      </c>
      <c r="B2179" s="1">
        <v>40466</v>
      </c>
      <c r="C2179">
        <v>0</v>
      </c>
      <c r="D2179">
        <v>45</v>
      </c>
      <c r="E2179">
        <v>2.762</v>
      </c>
      <c r="F2179">
        <v>190.8623087</v>
      </c>
      <c r="G2179">
        <v>452169.28</v>
      </c>
      <c r="H2179" t="str">
        <f>TEXT(Ventas[[#This Row],[Fecha_venta]],"dd")</f>
        <v>15</v>
      </c>
      <c r="I2179" t="str">
        <f>TEXT(Ventas[[#This Row],[Fecha_venta]],"m")</f>
        <v>10</v>
      </c>
      <c r="J2179" t="str">
        <f>TEXT(Ventas[[#This Row],[Fecha_venta]],"yyyy")</f>
        <v>2010</v>
      </c>
    </row>
    <row r="2180" spans="1:10" x14ac:dyDescent="0.25">
      <c r="A2180">
        <v>16</v>
      </c>
      <c r="B2180" s="1">
        <v>40473</v>
      </c>
      <c r="C2180">
        <v>0</v>
      </c>
      <c r="D2180">
        <v>45.85</v>
      </c>
      <c r="E2180">
        <v>2.762</v>
      </c>
      <c r="F2180">
        <v>190.9070184</v>
      </c>
      <c r="G2180">
        <v>541216.92000000004</v>
      </c>
      <c r="H2180" t="str">
        <f>TEXT(Ventas[[#This Row],[Fecha_venta]],"dd")</f>
        <v>22</v>
      </c>
      <c r="I2180" t="str">
        <f>TEXT(Ventas[[#This Row],[Fecha_venta]],"m")</f>
        <v>10</v>
      </c>
      <c r="J2180" t="str">
        <f>TEXT(Ventas[[#This Row],[Fecha_venta]],"yyyy")</f>
        <v>2010</v>
      </c>
    </row>
    <row r="2181" spans="1:10" x14ac:dyDescent="0.25">
      <c r="A2181">
        <v>16</v>
      </c>
      <c r="B2181" s="1">
        <v>40480</v>
      </c>
      <c r="C2181">
        <v>0</v>
      </c>
      <c r="D2181">
        <v>35.76</v>
      </c>
      <c r="E2181">
        <v>2.7480000000000002</v>
      </c>
      <c r="F2181">
        <v>190.951728</v>
      </c>
      <c r="G2181">
        <v>495022.51</v>
      </c>
      <c r="H2181" t="str">
        <f>TEXT(Ventas[[#This Row],[Fecha_venta]],"dd")</f>
        <v>29</v>
      </c>
      <c r="I2181" t="str">
        <f>TEXT(Ventas[[#This Row],[Fecha_venta]],"m")</f>
        <v>10</v>
      </c>
      <c r="J2181" t="str">
        <f>TEXT(Ventas[[#This Row],[Fecha_venta]],"yyyy")</f>
        <v>2010</v>
      </c>
    </row>
    <row r="2182" spans="1:10" x14ac:dyDescent="0.25">
      <c r="A2182">
        <v>16</v>
      </c>
      <c r="B2182" s="1">
        <v>40487</v>
      </c>
      <c r="C2182">
        <v>0</v>
      </c>
      <c r="D2182">
        <v>39.94</v>
      </c>
      <c r="E2182">
        <v>2.7290000000000001</v>
      </c>
      <c r="F2182">
        <v>190.9964377</v>
      </c>
      <c r="G2182">
        <v>446905.02</v>
      </c>
      <c r="H2182" t="str">
        <f>TEXT(Ventas[[#This Row],[Fecha_venta]],"dd")</f>
        <v>05</v>
      </c>
      <c r="I2182" t="str">
        <f>TEXT(Ventas[[#This Row],[Fecha_venta]],"m")</f>
        <v>11</v>
      </c>
      <c r="J2182" t="str">
        <f>TEXT(Ventas[[#This Row],[Fecha_venta]],"yyyy")</f>
        <v>2010</v>
      </c>
    </row>
    <row r="2183" spans="1:10" x14ac:dyDescent="0.25">
      <c r="A2183">
        <v>16</v>
      </c>
      <c r="B2183" s="1">
        <v>40494</v>
      </c>
      <c r="C2183">
        <v>0</v>
      </c>
      <c r="D2183">
        <v>34.04</v>
      </c>
      <c r="E2183">
        <v>2.7370000000000001</v>
      </c>
      <c r="F2183">
        <v>191.0411474</v>
      </c>
      <c r="G2183">
        <v>453632.76</v>
      </c>
      <c r="H2183" t="str">
        <f>TEXT(Ventas[[#This Row],[Fecha_venta]],"dd")</f>
        <v>12</v>
      </c>
      <c r="I2183" t="str">
        <f>TEXT(Ventas[[#This Row],[Fecha_venta]],"m")</f>
        <v>11</v>
      </c>
      <c r="J2183" t="str">
        <f>TEXT(Ventas[[#This Row],[Fecha_venta]],"yyyy")</f>
        <v>2010</v>
      </c>
    </row>
    <row r="2184" spans="1:10" x14ac:dyDescent="0.25">
      <c r="A2184">
        <v>16</v>
      </c>
      <c r="B2184" s="1">
        <v>40501</v>
      </c>
      <c r="C2184">
        <v>0</v>
      </c>
      <c r="D2184">
        <v>27.26</v>
      </c>
      <c r="E2184">
        <v>2.758</v>
      </c>
      <c r="F2184">
        <v>191.03121719999999</v>
      </c>
      <c r="G2184">
        <v>458634.68</v>
      </c>
      <c r="H2184" t="str">
        <f>TEXT(Ventas[[#This Row],[Fecha_venta]],"dd")</f>
        <v>19</v>
      </c>
      <c r="I2184" t="str">
        <f>TEXT(Ventas[[#This Row],[Fecha_venta]],"m")</f>
        <v>11</v>
      </c>
      <c r="J2184" t="str">
        <f>TEXT(Ventas[[#This Row],[Fecha_venta]],"yyyy")</f>
        <v>2010</v>
      </c>
    </row>
    <row r="2185" spans="1:10" x14ac:dyDescent="0.25">
      <c r="A2185">
        <v>16</v>
      </c>
      <c r="B2185" s="1">
        <v>40508</v>
      </c>
      <c r="C2185">
        <v>1</v>
      </c>
      <c r="D2185">
        <v>23.46</v>
      </c>
      <c r="E2185">
        <v>2.742</v>
      </c>
      <c r="F2185">
        <v>191.0121805</v>
      </c>
      <c r="G2185">
        <v>651837.77</v>
      </c>
      <c r="H2185" t="str">
        <f>TEXT(Ventas[[#This Row],[Fecha_venta]],"dd")</f>
        <v>26</v>
      </c>
      <c r="I2185" t="str">
        <f>TEXT(Ventas[[#This Row],[Fecha_venta]],"m")</f>
        <v>11</v>
      </c>
      <c r="J2185" t="str">
        <f>TEXT(Ventas[[#This Row],[Fecha_venta]],"yyyy")</f>
        <v>2010</v>
      </c>
    </row>
    <row r="2186" spans="1:10" x14ac:dyDescent="0.25">
      <c r="A2186">
        <v>16</v>
      </c>
      <c r="B2186" s="1">
        <v>40515</v>
      </c>
      <c r="C2186">
        <v>0</v>
      </c>
      <c r="D2186">
        <v>23.68</v>
      </c>
      <c r="E2186">
        <v>2.7120000000000002</v>
      </c>
      <c r="F2186">
        <v>190.99314369999999</v>
      </c>
      <c r="G2186">
        <v>512260.59</v>
      </c>
      <c r="H2186" t="str">
        <f>TEXT(Ventas[[#This Row],[Fecha_venta]],"dd")</f>
        <v>03</v>
      </c>
      <c r="I2186" t="str">
        <f>TEXT(Ventas[[#This Row],[Fecha_venta]],"m")</f>
        <v>12</v>
      </c>
      <c r="J2186" t="str">
        <f>TEXT(Ventas[[#This Row],[Fecha_venta]],"yyyy")</f>
        <v>2010</v>
      </c>
    </row>
    <row r="2187" spans="1:10" x14ac:dyDescent="0.25">
      <c r="A2187">
        <v>16</v>
      </c>
      <c r="B2187" s="1">
        <v>40522</v>
      </c>
      <c r="C2187">
        <v>0</v>
      </c>
      <c r="D2187">
        <v>32.020000000000003</v>
      </c>
      <c r="E2187">
        <v>2.7280000000000002</v>
      </c>
      <c r="F2187">
        <v>190.97410690000001</v>
      </c>
      <c r="G2187">
        <v>570103.64</v>
      </c>
      <c r="H2187" t="str">
        <f>TEXT(Ventas[[#This Row],[Fecha_venta]],"dd")</f>
        <v>10</v>
      </c>
      <c r="I2187" t="str">
        <f>TEXT(Ventas[[#This Row],[Fecha_venta]],"m")</f>
        <v>12</v>
      </c>
      <c r="J2187" t="str">
        <f>TEXT(Ventas[[#This Row],[Fecha_venta]],"yyyy")</f>
        <v>2010</v>
      </c>
    </row>
    <row r="2188" spans="1:10" x14ac:dyDescent="0.25">
      <c r="A2188">
        <v>16</v>
      </c>
      <c r="B2188" s="1">
        <v>40529</v>
      </c>
      <c r="C2188">
        <v>0</v>
      </c>
      <c r="D2188">
        <v>26.01</v>
      </c>
      <c r="E2188">
        <v>2.778</v>
      </c>
      <c r="F2188">
        <v>191.0303376</v>
      </c>
      <c r="G2188">
        <v>648652.01</v>
      </c>
      <c r="H2188" t="str">
        <f>TEXT(Ventas[[#This Row],[Fecha_venta]],"dd")</f>
        <v>17</v>
      </c>
      <c r="I2188" t="str">
        <f>TEXT(Ventas[[#This Row],[Fecha_venta]],"m")</f>
        <v>12</v>
      </c>
      <c r="J2188" t="str">
        <f>TEXT(Ventas[[#This Row],[Fecha_venta]],"yyyy")</f>
        <v>2010</v>
      </c>
    </row>
    <row r="2189" spans="1:10" x14ac:dyDescent="0.25">
      <c r="A2189">
        <v>16</v>
      </c>
      <c r="B2189" s="1">
        <v>40536</v>
      </c>
      <c r="C2189">
        <v>0</v>
      </c>
      <c r="D2189">
        <v>32.46</v>
      </c>
      <c r="E2189">
        <v>2.7810000000000001</v>
      </c>
      <c r="F2189">
        <v>191.14301889999999</v>
      </c>
      <c r="G2189">
        <v>1004730.69</v>
      </c>
      <c r="H2189" t="str">
        <f>TEXT(Ventas[[#This Row],[Fecha_venta]],"dd")</f>
        <v>24</v>
      </c>
      <c r="I2189" t="str">
        <f>TEXT(Ventas[[#This Row],[Fecha_venta]],"m")</f>
        <v>12</v>
      </c>
      <c r="J2189" t="str">
        <f>TEXT(Ventas[[#This Row],[Fecha_venta]],"yyyy")</f>
        <v>2010</v>
      </c>
    </row>
    <row r="2190" spans="1:10" x14ac:dyDescent="0.25">
      <c r="A2190">
        <v>16</v>
      </c>
      <c r="B2190" s="1">
        <v>40543</v>
      </c>
      <c r="C2190">
        <v>1</v>
      </c>
      <c r="D2190">
        <v>19.66</v>
      </c>
      <c r="E2190">
        <v>2.8290000000000002</v>
      </c>
      <c r="F2190">
        <v>191.25570020000001</v>
      </c>
      <c r="G2190">
        <v>575317.38</v>
      </c>
      <c r="H2190" t="str">
        <f>TEXT(Ventas[[#This Row],[Fecha_venta]],"dd")</f>
        <v>31</v>
      </c>
      <c r="I2190" t="str">
        <f>TEXT(Ventas[[#This Row],[Fecha_venta]],"m")</f>
        <v>12</v>
      </c>
      <c r="J2190" t="str">
        <f>TEXT(Ventas[[#This Row],[Fecha_venta]],"yyyy")</f>
        <v>2010</v>
      </c>
    </row>
    <row r="2191" spans="1:10" x14ac:dyDescent="0.25">
      <c r="A2191">
        <v>16</v>
      </c>
      <c r="B2191" s="1">
        <v>40550</v>
      </c>
      <c r="C2191">
        <v>0</v>
      </c>
      <c r="D2191">
        <v>12.39</v>
      </c>
      <c r="E2191">
        <v>2.8820000000000001</v>
      </c>
      <c r="F2191">
        <v>191.3683815</v>
      </c>
      <c r="G2191">
        <v>573545.96</v>
      </c>
      <c r="H2191" t="str">
        <f>TEXT(Ventas[[#This Row],[Fecha_venta]],"dd")</f>
        <v>07</v>
      </c>
      <c r="I2191" t="str">
        <f>TEXT(Ventas[[#This Row],[Fecha_venta]],"m")</f>
        <v>1</v>
      </c>
      <c r="J2191" t="str">
        <f>TEXT(Ventas[[#This Row],[Fecha_venta]],"yyyy")</f>
        <v>2011</v>
      </c>
    </row>
    <row r="2192" spans="1:10" x14ac:dyDescent="0.25">
      <c r="A2192">
        <v>16</v>
      </c>
      <c r="B2192" s="1">
        <v>40557</v>
      </c>
      <c r="C2192">
        <v>0</v>
      </c>
      <c r="D2192">
        <v>17.46</v>
      </c>
      <c r="E2192">
        <v>2.911</v>
      </c>
      <c r="F2192">
        <v>191.47849389999999</v>
      </c>
      <c r="G2192">
        <v>470365.59</v>
      </c>
      <c r="H2192" t="str">
        <f>TEXT(Ventas[[#This Row],[Fecha_venta]],"dd")</f>
        <v>14</v>
      </c>
      <c r="I2192" t="str">
        <f>TEXT(Ventas[[#This Row],[Fecha_venta]],"m")</f>
        <v>1</v>
      </c>
      <c r="J2192" t="str">
        <f>TEXT(Ventas[[#This Row],[Fecha_venta]],"yyyy")</f>
        <v>2011</v>
      </c>
    </row>
    <row r="2193" spans="1:10" x14ac:dyDescent="0.25">
      <c r="A2193">
        <v>16</v>
      </c>
      <c r="B2193" s="1">
        <v>40564</v>
      </c>
      <c r="C2193">
        <v>0</v>
      </c>
      <c r="D2193">
        <v>28.6</v>
      </c>
      <c r="E2193">
        <v>2.9729999999999999</v>
      </c>
      <c r="F2193">
        <v>191.57319240000001</v>
      </c>
      <c r="G2193">
        <v>462888.13</v>
      </c>
      <c r="H2193" t="str">
        <f>TEXT(Ventas[[#This Row],[Fecha_venta]],"dd")</f>
        <v>21</v>
      </c>
      <c r="I2193" t="str">
        <f>TEXT(Ventas[[#This Row],[Fecha_venta]],"m")</f>
        <v>1</v>
      </c>
      <c r="J2193" t="str">
        <f>TEXT(Ventas[[#This Row],[Fecha_venta]],"yyyy")</f>
        <v>2011</v>
      </c>
    </row>
    <row r="2194" spans="1:10" x14ac:dyDescent="0.25">
      <c r="A2194">
        <v>16</v>
      </c>
      <c r="B2194" s="1">
        <v>40571</v>
      </c>
      <c r="C2194">
        <v>0</v>
      </c>
      <c r="D2194">
        <v>20.8</v>
      </c>
      <c r="E2194">
        <v>3.008</v>
      </c>
      <c r="F2194">
        <v>191.667891</v>
      </c>
      <c r="G2194">
        <v>448391.99</v>
      </c>
      <c r="H2194" t="str">
        <f>TEXT(Ventas[[#This Row],[Fecha_venta]],"dd")</f>
        <v>28</v>
      </c>
      <c r="I2194" t="str">
        <f>TEXT(Ventas[[#This Row],[Fecha_venta]],"m")</f>
        <v>1</v>
      </c>
      <c r="J2194" t="str">
        <f>TEXT(Ventas[[#This Row],[Fecha_venta]],"yyyy")</f>
        <v>2011</v>
      </c>
    </row>
    <row r="2195" spans="1:10" x14ac:dyDescent="0.25">
      <c r="A2195">
        <v>16</v>
      </c>
      <c r="B2195" s="1">
        <v>40578</v>
      </c>
      <c r="C2195">
        <v>0</v>
      </c>
      <c r="D2195">
        <v>13.64</v>
      </c>
      <c r="E2195">
        <v>3.0110000000000001</v>
      </c>
      <c r="F2195">
        <v>191.76258949999999</v>
      </c>
      <c r="G2195">
        <v>479263.15</v>
      </c>
      <c r="H2195" t="str">
        <f>TEXT(Ventas[[#This Row],[Fecha_venta]],"dd")</f>
        <v>04</v>
      </c>
      <c r="I2195" t="str">
        <f>TEXT(Ventas[[#This Row],[Fecha_venta]],"m")</f>
        <v>2</v>
      </c>
      <c r="J2195" t="str">
        <f>TEXT(Ventas[[#This Row],[Fecha_venta]],"yyyy")</f>
        <v>2011</v>
      </c>
    </row>
    <row r="2196" spans="1:10" x14ac:dyDescent="0.25">
      <c r="A2196">
        <v>16</v>
      </c>
      <c r="B2196" s="1">
        <v>40585</v>
      </c>
      <c r="C2196">
        <v>1</v>
      </c>
      <c r="D2196">
        <v>15.02</v>
      </c>
      <c r="E2196">
        <v>3.0369999999999999</v>
      </c>
      <c r="F2196">
        <v>191.85728810000001</v>
      </c>
      <c r="G2196">
        <v>466806.89</v>
      </c>
      <c r="H2196" t="str">
        <f>TEXT(Ventas[[#This Row],[Fecha_venta]],"dd")</f>
        <v>11</v>
      </c>
      <c r="I2196" t="str">
        <f>TEXT(Ventas[[#This Row],[Fecha_venta]],"m")</f>
        <v>2</v>
      </c>
      <c r="J2196" t="str">
        <f>TEXT(Ventas[[#This Row],[Fecha_venta]],"yyyy")</f>
        <v>2011</v>
      </c>
    </row>
    <row r="2197" spans="1:10" x14ac:dyDescent="0.25">
      <c r="A2197">
        <v>16</v>
      </c>
      <c r="B2197" s="1">
        <v>40592</v>
      </c>
      <c r="C2197">
        <v>0</v>
      </c>
      <c r="D2197">
        <v>27.18</v>
      </c>
      <c r="E2197">
        <v>3.0510000000000002</v>
      </c>
      <c r="F2197">
        <v>191.9178331</v>
      </c>
      <c r="G2197">
        <v>491179.79</v>
      </c>
      <c r="H2197" t="str">
        <f>TEXT(Ventas[[#This Row],[Fecha_venta]],"dd")</f>
        <v>18</v>
      </c>
      <c r="I2197" t="str">
        <f>TEXT(Ventas[[#This Row],[Fecha_venta]],"m")</f>
        <v>2</v>
      </c>
      <c r="J2197" t="str">
        <f>TEXT(Ventas[[#This Row],[Fecha_venta]],"yyyy")</f>
        <v>2011</v>
      </c>
    </row>
    <row r="2198" spans="1:10" x14ac:dyDescent="0.25">
      <c r="A2198">
        <v>16</v>
      </c>
      <c r="B2198" s="1">
        <v>40599</v>
      </c>
      <c r="C2198">
        <v>0</v>
      </c>
      <c r="D2198">
        <v>26.15</v>
      </c>
      <c r="E2198">
        <v>3.101</v>
      </c>
      <c r="F2198">
        <v>191.9647167</v>
      </c>
      <c r="G2198">
        <v>475201.64</v>
      </c>
      <c r="H2198" t="str">
        <f>TEXT(Ventas[[#This Row],[Fecha_venta]],"dd")</f>
        <v>25</v>
      </c>
      <c r="I2198" t="str">
        <f>TEXT(Ventas[[#This Row],[Fecha_venta]],"m")</f>
        <v>2</v>
      </c>
      <c r="J2198" t="str">
        <f>TEXT(Ventas[[#This Row],[Fecha_venta]],"yyyy")</f>
        <v>2011</v>
      </c>
    </row>
    <row r="2199" spans="1:10" x14ac:dyDescent="0.25">
      <c r="A2199">
        <v>16</v>
      </c>
      <c r="B2199" s="1">
        <v>40606</v>
      </c>
      <c r="C2199">
        <v>0</v>
      </c>
      <c r="D2199">
        <v>31.77</v>
      </c>
      <c r="E2199">
        <v>3.2320000000000002</v>
      </c>
      <c r="F2199">
        <v>192.01160039999999</v>
      </c>
      <c r="G2199">
        <v>484829.07</v>
      </c>
      <c r="H2199" t="str">
        <f>TEXT(Ventas[[#This Row],[Fecha_venta]],"dd")</f>
        <v>04</v>
      </c>
      <c r="I2199" t="str">
        <f>TEXT(Ventas[[#This Row],[Fecha_venta]],"m")</f>
        <v>3</v>
      </c>
      <c r="J2199" t="str">
        <f>TEXT(Ventas[[#This Row],[Fecha_venta]],"yyyy")</f>
        <v>2011</v>
      </c>
    </row>
    <row r="2200" spans="1:10" x14ac:dyDescent="0.25">
      <c r="A2200">
        <v>16</v>
      </c>
      <c r="B2200" s="1">
        <v>40613</v>
      </c>
      <c r="C2200">
        <v>0</v>
      </c>
      <c r="D2200">
        <v>29.36</v>
      </c>
      <c r="E2200">
        <v>3.3719999999999999</v>
      </c>
      <c r="F2200">
        <v>192.05848399999999</v>
      </c>
      <c r="G2200">
        <v>457504.35</v>
      </c>
      <c r="H2200" t="str">
        <f>TEXT(Ventas[[#This Row],[Fecha_venta]],"dd")</f>
        <v>11</v>
      </c>
      <c r="I2200" t="str">
        <f>TEXT(Ventas[[#This Row],[Fecha_venta]],"m")</f>
        <v>3</v>
      </c>
      <c r="J2200" t="str">
        <f>TEXT(Ventas[[#This Row],[Fecha_venta]],"yyyy")</f>
        <v>2011</v>
      </c>
    </row>
    <row r="2201" spans="1:10" x14ac:dyDescent="0.25">
      <c r="A2201">
        <v>16</v>
      </c>
      <c r="B2201" s="1">
        <v>40620</v>
      </c>
      <c r="C2201">
        <v>0</v>
      </c>
      <c r="D2201">
        <v>36.5</v>
      </c>
      <c r="E2201">
        <v>3.4060000000000001</v>
      </c>
      <c r="F2201">
        <v>192.12379809999999</v>
      </c>
      <c r="G2201">
        <v>497373.49</v>
      </c>
      <c r="H2201" t="str">
        <f>TEXT(Ventas[[#This Row],[Fecha_venta]],"dd")</f>
        <v>18</v>
      </c>
      <c r="I2201" t="str">
        <f>TEXT(Ventas[[#This Row],[Fecha_venta]],"m")</f>
        <v>3</v>
      </c>
      <c r="J2201" t="str">
        <f>TEXT(Ventas[[#This Row],[Fecha_venta]],"yyyy")</f>
        <v>2011</v>
      </c>
    </row>
    <row r="2202" spans="1:10" x14ac:dyDescent="0.25">
      <c r="A2202">
        <v>16</v>
      </c>
      <c r="B2202" s="1">
        <v>40627</v>
      </c>
      <c r="C2202">
        <v>0</v>
      </c>
      <c r="D2202">
        <v>32.61</v>
      </c>
      <c r="E2202">
        <v>3.4140000000000001</v>
      </c>
      <c r="F2202">
        <v>192.1964844</v>
      </c>
      <c r="G2202">
        <v>465279.68</v>
      </c>
      <c r="H2202" t="str">
        <f>TEXT(Ventas[[#This Row],[Fecha_venta]],"dd")</f>
        <v>25</v>
      </c>
      <c r="I2202" t="str">
        <f>TEXT(Ventas[[#This Row],[Fecha_venta]],"m")</f>
        <v>3</v>
      </c>
      <c r="J2202" t="str">
        <f>TEXT(Ventas[[#This Row],[Fecha_venta]],"yyyy")</f>
        <v>2011</v>
      </c>
    </row>
    <row r="2203" spans="1:10" x14ac:dyDescent="0.25">
      <c r="A2203">
        <v>16</v>
      </c>
      <c r="B2203" s="1">
        <v>40634</v>
      </c>
      <c r="C2203">
        <v>0</v>
      </c>
      <c r="D2203">
        <v>35.75</v>
      </c>
      <c r="E2203">
        <v>3.4609999999999999</v>
      </c>
      <c r="F2203">
        <v>192.26917069999999</v>
      </c>
      <c r="G2203">
        <v>459756.11</v>
      </c>
      <c r="H2203" t="str">
        <f>TEXT(Ventas[[#This Row],[Fecha_venta]],"dd")</f>
        <v>01</v>
      </c>
      <c r="I2203" t="str">
        <f>TEXT(Ventas[[#This Row],[Fecha_venta]],"m")</f>
        <v>4</v>
      </c>
      <c r="J2203" t="str">
        <f>TEXT(Ventas[[#This Row],[Fecha_venta]],"yyyy")</f>
        <v>2011</v>
      </c>
    </row>
    <row r="2204" spans="1:10" x14ac:dyDescent="0.25">
      <c r="A2204">
        <v>16</v>
      </c>
      <c r="B2204" s="1">
        <v>40641</v>
      </c>
      <c r="C2204">
        <v>0</v>
      </c>
      <c r="D2204">
        <v>38.04</v>
      </c>
      <c r="E2204">
        <v>3.532</v>
      </c>
      <c r="F2204">
        <v>192.3418571</v>
      </c>
      <c r="G2204">
        <v>439276.5</v>
      </c>
      <c r="H2204" t="str">
        <f>TEXT(Ventas[[#This Row],[Fecha_venta]],"dd")</f>
        <v>08</v>
      </c>
      <c r="I2204" t="str">
        <f>TEXT(Ventas[[#This Row],[Fecha_venta]],"m")</f>
        <v>4</v>
      </c>
      <c r="J2204" t="str">
        <f>TEXT(Ventas[[#This Row],[Fecha_venta]],"yyyy")</f>
        <v>2011</v>
      </c>
    </row>
    <row r="2205" spans="1:10" x14ac:dyDescent="0.25">
      <c r="A2205">
        <v>16</v>
      </c>
      <c r="B2205" s="1">
        <v>40648</v>
      </c>
      <c r="C2205">
        <v>0</v>
      </c>
      <c r="D2205">
        <v>34.590000000000003</v>
      </c>
      <c r="E2205">
        <v>3.6110000000000002</v>
      </c>
      <c r="F2205">
        <v>192.42259540000001</v>
      </c>
      <c r="G2205">
        <v>427855.24</v>
      </c>
      <c r="H2205" t="str">
        <f>TEXT(Ventas[[#This Row],[Fecha_venta]],"dd")</f>
        <v>15</v>
      </c>
      <c r="I2205" t="str">
        <f>TEXT(Ventas[[#This Row],[Fecha_venta]],"m")</f>
        <v>4</v>
      </c>
      <c r="J2205" t="str">
        <f>TEXT(Ventas[[#This Row],[Fecha_venta]],"yyyy")</f>
        <v>2011</v>
      </c>
    </row>
    <row r="2206" spans="1:10" x14ac:dyDescent="0.25">
      <c r="A2206">
        <v>16</v>
      </c>
      <c r="B2206" s="1">
        <v>40655</v>
      </c>
      <c r="C2206">
        <v>0</v>
      </c>
      <c r="D2206">
        <v>40.74</v>
      </c>
      <c r="E2206">
        <v>3.6360000000000001</v>
      </c>
      <c r="F2206">
        <v>192.5234638</v>
      </c>
      <c r="G2206">
        <v>368600</v>
      </c>
      <c r="H2206" t="str">
        <f>TEXT(Ventas[[#This Row],[Fecha_venta]],"dd")</f>
        <v>22</v>
      </c>
      <c r="I2206" t="str">
        <f>TEXT(Ventas[[#This Row],[Fecha_venta]],"m")</f>
        <v>4</v>
      </c>
      <c r="J2206" t="str">
        <f>TEXT(Ventas[[#This Row],[Fecha_venta]],"yyyy")</f>
        <v>2011</v>
      </c>
    </row>
    <row r="2207" spans="1:10" x14ac:dyDescent="0.25">
      <c r="A2207">
        <v>16</v>
      </c>
      <c r="B2207" s="1">
        <v>40662</v>
      </c>
      <c r="C2207">
        <v>0</v>
      </c>
      <c r="D2207">
        <v>37.770000000000003</v>
      </c>
      <c r="E2207">
        <v>3.6629999999999998</v>
      </c>
      <c r="F2207">
        <v>192.6243322</v>
      </c>
      <c r="G2207">
        <v>378100.31</v>
      </c>
      <c r="H2207" t="str">
        <f>TEXT(Ventas[[#This Row],[Fecha_venta]],"dd")</f>
        <v>29</v>
      </c>
      <c r="I2207" t="str">
        <f>TEXT(Ventas[[#This Row],[Fecha_venta]],"m")</f>
        <v>4</v>
      </c>
      <c r="J2207" t="str">
        <f>TEXT(Ventas[[#This Row],[Fecha_venta]],"yyyy")</f>
        <v>2011</v>
      </c>
    </row>
    <row r="2208" spans="1:10" x14ac:dyDescent="0.25">
      <c r="A2208">
        <v>16</v>
      </c>
      <c r="B2208" s="1">
        <v>40669</v>
      </c>
      <c r="C2208">
        <v>0</v>
      </c>
      <c r="D2208">
        <v>38.64</v>
      </c>
      <c r="E2208">
        <v>3.7349999999999999</v>
      </c>
      <c r="F2208">
        <v>192.72520059999999</v>
      </c>
      <c r="G2208">
        <v>423805.22</v>
      </c>
      <c r="H2208" t="str">
        <f>TEXT(Ventas[[#This Row],[Fecha_venta]],"dd")</f>
        <v>06</v>
      </c>
      <c r="I2208" t="str">
        <f>TEXT(Ventas[[#This Row],[Fecha_venta]],"m")</f>
        <v>5</v>
      </c>
      <c r="J2208" t="str">
        <f>TEXT(Ventas[[#This Row],[Fecha_venta]],"yyyy")</f>
        <v>2011</v>
      </c>
    </row>
    <row r="2209" spans="1:10" x14ac:dyDescent="0.25">
      <c r="A2209">
        <v>16</v>
      </c>
      <c r="B2209" s="1">
        <v>40676</v>
      </c>
      <c r="C2209">
        <v>0</v>
      </c>
      <c r="D2209">
        <v>43.29</v>
      </c>
      <c r="E2209">
        <v>3.7669999999999999</v>
      </c>
      <c r="F2209">
        <v>192.82606899999999</v>
      </c>
      <c r="G2209">
        <v>410406.95</v>
      </c>
      <c r="H2209" t="str">
        <f>TEXT(Ventas[[#This Row],[Fecha_venta]],"dd")</f>
        <v>13</v>
      </c>
      <c r="I2209" t="str">
        <f>TEXT(Ventas[[#This Row],[Fecha_venta]],"m")</f>
        <v>5</v>
      </c>
      <c r="J2209" t="str">
        <f>TEXT(Ventas[[#This Row],[Fecha_venta]],"yyyy")</f>
        <v>2011</v>
      </c>
    </row>
    <row r="2210" spans="1:10" x14ac:dyDescent="0.25">
      <c r="A2210">
        <v>16</v>
      </c>
      <c r="B2210" s="1">
        <v>40683</v>
      </c>
      <c r="C2210">
        <v>0</v>
      </c>
      <c r="D2210">
        <v>43.95</v>
      </c>
      <c r="E2210">
        <v>3.8279999999999998</v>
      </c>
      <c r="F2210">
        <v>192.83131700000001</v>
      </c>
      <c r="G2210">
        <v>435397.19</v>
      </c>
      <c r="H2210" t="str">
        <f>TEXT(Ventas[[#This Row],[Fecha_venta]],"dd")</f>
        <v>20</v>
      </c>
      <c r="I2210" t="str">
        <f>TEXT(Ventas[[#This Row],[Fecha_venta]],"m")</f>
        <v>5</v>
      </c>
      <c r="J2210" t="str">
        <f>TEXT(Ventas[[#This Row],[Fecha_venta]],"yyyy")</f>
        <v>2011</v>
      </c>
    </row>
    <row r="2211" spans="1:10" x14ac:dyDescent="0.25">
      <c r="A2211">
        <v>16</v>
      </c>
      <c r="B2211" s="1">
        <v>40690</v>
      </c>
      <c r="C2211">
        <v>0</v>
      </c>
      <c r="D2211">
        <v>45.17</v>
      </c>
      <c r="E2211">
        <v>3.7949999999999999</v>
      </c>
      <c r="F2211">
        <v>192.8365651</v>
      </c>
      <c r="G2211">
        <v>444718.68</v>
      </c>
      <c r="H2211" t="str">
        <f>TEXT(Ventas[[#This Row],[Fecha_venta]],"dd")</f>
        <v>27</v>
      </c>
      <c r="I2211" t="str">
        <f>TEXT(Ventas[[#This Row],[Fecha_venta]],"m")</f>
        <v>5</v>
      </c>
      <c r="J2211" t="str">
        <f>TEXT(Ventas[[#This Row],[Fecha_venta]],"yyyy")</f>
        <v>2011</v>
      </c>
    </row>
    <row r="2212" spans="1:10" x14ac:dyDescent="0.25">
      <c r="A2212">
        <v>16</v>
      </c>
      <c r="B2212" s="1">
        <v>40697</v>
      </c>
      <c r="C2212">
        <v>0</v>
      </c>
      <c r="D2212">
        <v>54.08</v>
      </c>
      <c r="E2212">
        <v>3.7629999999999999</v>
      </c>
      <c r="F2212">
        <v>192.8418131</v>
      </c>
      <c r="G2212">
        <v>531080.31000000006</v>
      </c>
      <c r="H2212" t="str">
        <f>TEXT(Ventas[[#This Row],[Fecha_venta]],"dd")</f>
        <v>03</v>
      </c>
      <c r="I2212" t="str">
        <f>TEXT(Ventas[[#This Row],[Fecha_venta]],"m")</f>
        <v>6</v>
      </c>
      <c r="J2212" t="str">
        <f>TEXT(Ventas[[#This Row],[Fecha_venta]],"yyyy")</f>
        <v>2011</v>
      </c>
    </row>
    <row r="2213" spans="1:10" x14ac:dyDescent="0.25">
      <c r="A2213">
        <v>16</v>
      </c>
      <c r="B2213" s="1">
        <v>40704</v>
      </c>
      <c r="C2213">
        <v>0</v>
      </c>
      <c r="D2213">
        <v>55.78</v>
      </c>
      <c r="E2213">
        <v>3.7349999999999999</v>
      </c>
      <c r="F2213">
        <v>192.84706120000001</v>
      </c>
      <c r="G2213">
        <v>600952.06000000006</v>
      </c>
      <c r="H2213" t="str">
        <f>TEXT(Ventas[[#This Row],[Fecha_venta]],"dd")</f>
        <v>10</v>
      </c>
      <c r="I2213" t="str">
        <f>TEXT(Ventas[[#This Row],[Fecha_venta]],"m")</f>
        <v>6</v>
      </c>
      <c r="J2213" t="str">
        <f>TEXT(Ventas[[#This Row],[Fecha_venta]],"yyyy")</f>
        <v>2011</v>
      </c>
    </row>
    <row r="2214" spans="1:10" x14ac:dyDescent="0.25">
      <c r="A2214">
        <v>16</v>
      </c>
      <c r="B2214" s="1">
        <v>40711</v>
      </c>
      <c r="C2214">
        <v>0</v>
      </c>
      <c r="D2214">
        <v>58.34</v>
      </c>
      <c r="E2214">
        <v>3.6970000000000001</v>
      </c>
      <c r="F2214">
        <v>192.90347589999999</v>
      </c>
      <c r="G2214">
        <v>581546.23</v>
      </c>
      <c r="H2214" t="str">
        <f>TEXT(Ventas[[#This Row],[Fecha_venta]],"dd")</f>
        <v>17</v>
      </c>
      <c r="I2214" t="str">
        <f>TEXT(Ventas[[#This Row],[Fecha_venta]],"m")</f>
        <v>6</v>
      </c>
      <c r="J2214" t="str">
        <f>TEXT(Ventas[[#This Row],[Fecha_venta]],"yyyy")</f>
        <v>2011</v>
      </c>
    </row>
    <row r="2215" spans="1:10" x14ac:dyDescent="0.25">
      <c r="A2215">
        <v>16</v>
      </c>
      <c r="B2215" s="1">
        <v>40718</v>
      </c>
      <c r="C2215">
        <v>0</v>
      </c>
      <c r="D2215">
        <v>54.36</v>
      </c>
      <c r="E2215">
        <v>3.661</v>
      </c>
      <c r="F2215">
        <v>192.9982655</v>
      </c>
      <c r="G2215">
        <v>569105.03</v>
      </c>
      <c r="H2215" t="str">
        <f>TEXT(Ventas[[#This Row],[Fecha_venta]],"dd")</f>
        <v>24</v>
      </c>
      <c r="I2215" t="str">
        <f>TEXT(Ventas[[#This Row],[Fecha_venta]],"m")</f>
        <v>6</v>
      </c>
      <c r="J2215" t="str">
        <f>TEXT(Ventas[[#This Row],[Fecha_venta]],"yyyy")</f>
        <v>2011</v>
      </c>
    </row>
    <row r="2216" spans="1:10" x14ac:dyDescent="0.25">
      <c r="A2216">
        <v>16</v>
      </c>
      <c r="B2216" s="1">
        <v>40725</v>
      </c>
      <c r="C2216">
        <v>0</v>
      </c>
      <c r="D2216">
        <v>63.59</v>
      </c>
      <c r="E2216">
        <v>3.597</v>
      </c>
      <c r="F2216">
        <v>193.09305520000001</v>
      </c>
      <c r="G2216">
        <v>608737.56000000006</v>
      </c>
      <c r="H2216" t="str">
        <f>TEXT(Ventas[[#This Row],[Fecha_venta]],"dd")</f>
        <v>01</v>
      </c>
      <c r="I2216" t="str">
        <f>TEXT(Ventas[[#This Row],[Fecha_venta]],"m")</f>
        <v>7</v>
      </c>
      <c r="J2216" t="str">
        <f>TEXT(Ventas[[#This Row],[Fecha_venta]],"yyyy")</f>
        <v>2011</v>
      </c>
    </row>
    <row r="2217" spans="1:10" x14ac:dyDescent="0.25">
      <c r="A2217">
        <v>16</v>
      </c>
      <c r="B2217" s="1">
        <v>40732</v>
      </c>
      <c r="C2217">
        <v>0</v>
      </c>
      <c r="D2217">
        <v>65</v>
      </c>
      <c r="E2217">
        <v>3.54</v>
      </c>
      <c r="F2217">
        <v>193.18784479999999</v>
      </c>
      <c r="G2217">
        <v>634634.66</v>
      </c>
      <c r="H2217" t="str">
        <f>TEXT(Ventas[[#This Row],[Fecha_venta]],"dd")</f>
        <v>08</v>
      </c>
      <c r="I2217" t="str">
        <f>TEXT(Ventas[[#This Row],[Fecha_venta]],"m")</f>
        <v>7</v>
      </c>
      <c r="J2217" t="str">
        <f>TEXT(Ventas[[#This Row],[Fecha_venta]],"yyyy")</f>
        <v>2011</v>
      </c>
    </row>
    <row r="2218" spans="1:10" x14ac:dyDescent="0.25">
      <c r="A2218">
        <v>16</v>
      </c>
      <c r="B2218" s="1">
        <v>40739</v>
      </c>
      <c r="C2218">
        <v>0</v>
      </c>
      <c r="D2218">
        <v>65.16</v>
      </c>
      <c r="E2218">
        <v>3.532</v>
      </c>
      <c r="F2218">
        <v>193.3125484</v>
      </c>
      <c r="G2218">
        <v>586841.77</v>
      </c>
      <c r="H2218" t="str">
        <f>TEXT(Ventas[[#This Row],[Fecha_venta]],"dd")</f>
        <v>15</v>
      </c>
      <c r="I2218" t="str">
        <f>TEXT(Ventas[[#This Row],[Fecha_venta]],"m")</f>
        <v>7</v>
      </c>
      <c r="J2218" t="str">
        <f>TEXT(Ventas[[#This Row],[Fecha_venta]],"yyyy")</f>
        <v>2011</v>
      </c>
    </row>
    <row r="2219" spans="1:10" x14ac:dyDescent="0.25">
      <c r="A2219">
        <v>16</v>
      </c>
      <c r="B2219" s="1">
        <v>40746</v>
      </c>
      <c r="C2219">
        <v>0</v>
      </c>
      <c r="D2219">
        <v>65.36</v>
      </c>
      <c r="E2219">
        <v>3.5449999999999999</v>
      </c>
      <c r="F2219">
        <v>193.51203670000001</v>
      </c>
      <c r="G2219">
        <v>581758.22</v>
      </c>
      <c r="H2219" t="str">
        <f>TEXT(Ventas[[#This Row],[Fecha_venta]],"dd")</f>
        <v>22</v>
      </c>
      <c r="I2219" t="str">
        <f>TEXT(Ventas[[#This Row],[Fecha_venta]],"m")</f>
        <v>7</v>
      </c>
      <c r="J2219" t="str">
        <f>TEXT(Ventas[[#This Row],[Fecha_venta]],"yyyy")</f>
        <v>2011</v>
      </c>
    </row>
    <row r="2220" spans="1:10" x14ac:dyDescent="0.25">
      <c r="A2220">
        <v>16</v>
      </c>
      <c r="B2220" s="1">
        <v>40753</v>
      </c>
      <c r="C2220">
        <v>0</v>
      </c>
      <c r="D2220">
        <v>66.84</v>
      </c>
      <c r="E2220">
        <v>3.5470000000000002</v>
      </c>
      <c r="F2220">
        <v>193.71152499999999</v>
      </c>
      <c r="G2220">
        <v>582381.94999999995</v>
      </c>
      <c r="H2220" t="str">
        <f>TEXT(Ventas[[#This Row],[Fecha_venta]],"dd")</f>
        <v>29</v>
      </c>
      <c r="I2220" t="str">
        <f>TEXT(Ventas[[#This Row],[Fecha_venta]],"m")</f>
        <v>7</v>
      </c>
      <c r="J2220" t="str">
        <f>TEXT(Ventas[[#This Row],[Fecha_venta]],"yyyy")</f>
        <v>2011</v>
      </c>
    </row>
    <row r="2221" spans="1:10" x14ac:dyDescent="0.25">
      <c r="A2221">
        <v>16</v>
      </c>
      <c r="B2221" s="1">
        <v>40760</v>
      </c>
      <c r="C2221">
        <v>0</v>
      </c>
      <c r="D2221">
        <v>63.96</v>
      </c>
      <c r="E2221">
        <v>3.5539999999999998</v>
      </c>
      <c r="F2221">
        <v>193.91101330000001</v>
      </c>
      <c r="G2221">
        <v>592981.32999999996</v>
      </c>
      <c r="H2221" t="str">
        <f>TEXT(Ventas[[#This Row],[Fecha_venta]],"dd")</f>
        <v>05</v>
      </c>
      <c r="I2221" t="str">
        <f>TEXT(Ventas[[#This Row],[Fecha_venta]],"m")</f>
        <v>8</v>
      </c>
      <c r="J2221" t="str">
        <f>TEXT(Ventas[[#This Row],[Fecha_venta]],"yyyy")</f>
        <v>2011</v>
      </c>
    </row>
    <row r="2222" spans="1:10" x14ac:dyDescent="0.25">
      <c r="A2222">
        <v>16</v>
      </c>
      <c r="B2222" s="1">
        <v>40767</v>
      </c>
      <c r="C2222">
        <v>0</v>
      </c>
      <c r="D2222">
        <v>67.09</v>
      </c>
      <c r="E2222">
        <v>3.5419999999999998</v>
      </c>
      <c r="F2222">
        <v>194.11050169999999</v>
      </c>
      <c r="G2222">
        <v>563884.47</v>
      </c>
      <c r="H2222" t="str">
        <f>TEXT(Ventas[[#This Row],[Fecha_venta]],"dd")</f>
        <v>12</v>
      </c>
      <c r="I2222" t="str">
        <f>TEXT(Ventas[[#This Row],[Fecha_venta]],"m")</f>
        <v>8</v>
      </c>
      <c r="J2222" t="str">
        <f>TEXT(Ventas[[#This Row],[Fecha_venta]],"yyyy")</f>
        <v>2011</v>
      </c>
    </row>
    <row r="2223" spans="1:10" x14ac:dyDescent="0.25">
      <c r="A2223">
        <v>16</v>
      </c>
      <c r="B2223" s="1">
        <v>40774</v>
      </c>
      <c r="C2223">
        <v>0</v>
      </c>
      <c r="D2223">
        <v>68.83</v>
      </c>
      <c r="E2223">
        <v>3.4990000000000001</v>
      </c>
      <c r="F2223">
        <v>194.25006339999999</v>
      </c>
      <c r="G2223">
        <v>554630.42000000004</v>
      </c>
      <c r="H2223" t="str">
        <f>TEXT(Ventas[[#This Row],[Fecha_venta]],"dd")</f>
        <v>19</v>
      </c>
      <c r="I2223" t="str">
        <f>TEXT(Ventas[[#This Row],[Fecha_venta]],"m")</f>
        <v>8</v>
      </c>
      <c r="J2223" t="str">
        <f>TEXT(Ventas[[#This Row],[Fecha_venta]],"yyyy")</f>
        <v>2011</v>
      </c>
    </row>
    <row r="2224" spans="1:10" x14ac:dyDescent="0.25">
      <c r="A2224">
        <v>16</v>
      </c>
      <c r="B2224" s="1">
        <v>40781</v>
      </c>
      <c r="C2224">
        <v>0</v>
      </c>
      <c r="D2224">
        <v>67.510000000000005</v>
      </c>
      <c r="E2224">
        <v>3.4849999999999999</v>
      </c>
      <c r="F2224">
        <v>194.37963740000001</v>
      </c>
      <c r="G2224">
        <v>557312.01</v>
      </c>
      <c r="H2224" t="str">
        <f>TEXT(Ventas[[#This Row],[Fecha_venta]],"dd")</f>
        <v>26</v>
      </c>
      <c r="I2224" t="str">
        <f>TEXT(Ventas[[#This Row],[Fecha_venta]],"m")</f>
        <v>8</v>
      </c>
      <c r="J2224" t="str">
        <f>TEXT(Ventas[[#This Row],[Fecha_venta]],"yyyy")</f>
        <v>2011</v>
      </c>
    </row>
    <row r="2225" spans="1:10" x14ac:dyDescent="0.25">
      <c r="A2225">
        <v>16</v>
      </c>
      <c r="B2225" s="1">
        <v>40788</v>
      </c>
      <c r="C2225">
        <v>0</v>
      </c>
      <c r="D2225">
        <v>63.44</v>
      </c>
      <c r="E2225">
        <v>3.5110000000000001</v>
      </c>
      <c r="F2225">
        <v>194.5092113</v>
      </c>
      <c r="G2225">
        <v>580805.32999999996</v>
      </c>
      <c r="H2225" t="str">
        <f>TEXT(Ventas[[#This Row],[Fecha_venta]],"dd")</f>
        <v>02</v>
      </c>
      <c r="I2225" t="str">
        <f>TEXT(Ventas[[#This Row],[Fecha_venta]],"m")</f>
        <v>9</v>
      </c>
      <c r="J2225" t="str">
        <f>TEXT(Ventas[[#This Row],[Fecha_venta]],"yyyy")</f>
        <v>2011</v>
      </c>
    </row>
    <row r="2226" spans="1:10" x14ac:dyDescent="0.25">
      <c r="A2226">
        <v>16</v>
      </c>
      <c r="B2226" s="1">
        <v>40795</v>
      </c>
      <c r="C2226">
        <v>1</v>
      </c>
      <c r="D2226">
        <v>56.99</v>
      </c>
      <c r="E2226">
        <v>3.5659999999999998</v>
      </c>
      <c r="F2226">
        <v>194.6387853</v>
      </c>
      <c r="G2226">
        <v>574622.56000000006</v>
      </c>
      <c r="H2226" t="str">
        <f>TEXT(Ventas[[#This Row],[Fecha_venta]],"dd")</f>
        <v>09</v>
      </c>
      <c r="I2226" t="str">
        <f>TEXT(Ventas[[#This Row],[Fecha_venta]],"m")</f>
        <v>9</v>
      </c>
      <c r="J2226" t="str">
        <f>TEXT(Ventas[[#This Row],[Fecha_venta]],"yyyy")</f>
        <v>2011</v>
      </c>
    </row>
    <row r="2227" spans="1:10" x14ac:dyDescent="0.25">
      <c r="A2227">
        <v>16</v>
      </c>
      <c r="B2227" s="1">
        <v>40802</v>
      </c>
      <c r="C2227">
        <v>0</v>
      </c>
      <c r="D2227">
        <v>53.68</v>
      </c>
      <c r="E2227">
        <v>3.5960000000000001</v>
      </c>
      <c r="F2227">
        <v>194.7419707</v>
      </c>
      <c r="G2227">
        <v>539081.09</v>
      </c>
      <c r="H2227" t="str">
        <f>TEXT(Ventas[[#This Row],[Fecha_venta]],"dd")</f>
        <v>16</v>
      </c>
      <c r="I2227" t="str">
        <f>TEXT(Ventas[[#This Row],[Fecha_venta]],"m")</f>
        <v>9</v>
      </c>
      <c r="J2227" t="str">
        <f>TEXT(Ventas[[#This Row],[Fecha_venta]],"yyyy")</f>
        <v>2011</v>
      </c>
    </row>
    <row r="2228" spans="1:10" x14ac:dyDescent="0.25">
      <c r="A2228">
        <v>16</v>
      </c>
      <c r="B2228" s="1">
        <v>40809</v>
      </c>
      <c r="C2228">
        <v>0</v>
      </c>
      <c r="D2228">
        <v>50.39</v>
      </c>
      <c r="E2228">
        <v>3.581</v>
      </c>
      <c r="F2228">
        <v>194.8099713</v>
      </c>
      <c r="G2228">
        <v>504856.97</v>
      </c>
      <c r="H2228" t="str">
        <f>TEXT(Ventas[[#This Row],[Fecha_venta]],"dd")</f>
        <v>23</v>
      </c>
      <c r="I2228" t="str">
        <f>TEXT(Ventas[[#This Row],[Fecha_venta]],"m")</f>
        <v>9</v>
      </c>
      <c r="J2228" t="str">
        <f>TEXT(Ventas[[#This Row],[Fecha_venta]],"yyyy")</f>
        <v>2011</v>
      </c>
    </row>
    <row r="2229" spans="1:10" x14ac:dyDescent="0.25">
      <c r="A2229">
        <v>16</v>
      </c>
      <c r="B2229" s="1">
        <v>40816</v>
      </c>
      <c r="C2229">
        <v>0</v>
      </c>
      <c r="D2229">
        <v>57.61</v>
      </c>
      <c r="E2229">
        <v>3.5379999999999998</v>
      </c>
      <c r="F2229">
        <v>194.87797180000001</v>
      </c>
      <c r="G2229">
        <v>450075.31</v>
      </c>
      <c r="H2229" t="str">
        <f>TEXT(Ventas[[#This Row],[Fecha_venta]],"dd")</f>
        <v>30</v>
      </c>
      <c r="I2229" t="str">
        <f>TEXT(Ventas[[#This Row],[Fecha_venta]],"m")</f>
        <v>9</v>
      </c>
      <c r="J2229" t="str">
        <f>TEXT(Ventas[[#This Row],[Fecha_venta]],"yyyy")</f>
        <v>2011</v>
      </c>
    </row>
    <row r="2230" spans="1:10" x14ac:dyDescent="0.25">
      <c r="A2230">
        <v>16</v>
      </c>
      <c r="B2230" s="1">
        <v>40823</v>
      </c>
      <c r="C2230">
        <v>0</v>
      </c>
      <c r="D2230">
        <v>48.91</v>
      </c>
      <c r="E2230">
        <v>3.4980000000000002</v>
      </c>
      <c r="F2230">
        <v>194.94597239999999</v>
      </c>
      <c r="G2230">
        <v>482926.93</v>
      </c>
      <c r="H2230" t="str">
        <f>TEXT(Ventas[[#This Row],[Fecha_venta]],"dd")</f>
        <v>07</v>
      </c>
      <c r="I2230" t="str">
        <f>TEXT(Ventas[[#This Row],[Fecha_venta]],"m")</f>
        <v>10</v>
      </c>
      <c r="J2230" t="str">
        <f>TEXT(Ventas[[#This Row],[Fecha_venta]],"yyyy")</f>
        <v>2011</v>
      </c>
    </row>
    <row r="2231" spans="1:10" x14ac:dyDescent="0.25">
      <c r="A2231">
        <v>16</v>
      </c>
      <c r="B2231" s="1">
        <v>40830</v>
      </c>
      <c r="C2231">
        <v>0</v>
      </c>
      <c r="D2231">
        <v>39.97</v>
      </c>
      <c r="E2231">
        <v>3.4910000000000001</v>
      </c>
      <c r="F2231">
        <v>195.0261012</v>
      </c>
      <c r="G2231">
        <v>498241.06</v>
      </c>
      <c r="H2231" t="str">
        <f>TEXT(Ventas[[#This Row],[Fecha_venta]],"dd")</f>
        <v>14</v>
      </c>
      <c r="I2231" t="str">
        <f>TEXT(Ventas[[#This Row],[Fecha_venta]],"m")</f>
        <v>10</v>
      </c>
      <c r="J2231" t="str">
        <f>TEXT(Ventas[[#This Row],[Fecha_venta]],"yyyy")</f>
        <v>2011</v>
      </c>
    </row>
    <row r="2232" spans="1:10" x14ac:dyDescent="0.25">
      <c r="A2232">
        <v>16</v>
      </c>
      <c r="B2232" s="1">
        <v>40837</v>
      </c>
      <c r="C2232">
        <v>0</v>
      </c>
      <c r="D2232">
        <v>46.99</v>
      </c>
      <c r="E2232">
        <v>3.548</v>
      </c>
      <c r="F2232">
        <v>195.17899940000001</v>
      </c>
      <c r="G2232">
        <v>560104.16</v>
      </c>
      <c r="H2232" t="str">
        <f>TEXT(Ventas[[#This Row],[Fecha_venta]],"dd")</f>
        <v>21</v>
      </c>
      <c r="I2232" t="str">
        <f>TEXT(Ventas[[#This Row],[Fecha_venta]],"m")</f>
        <v>10</v>
      </c>
      <c r="J2232" t="str">
        <f>TEXT(Ventas[[#This Row],[Fecha_venta]],"yyyy")</f>
        <v>2011</v>
      </c>
    </row>
    <row r="2233" spans="1:10" x14ac:dyDescent="0.25">
      <c r="A2233">
        <v>16</v>
      </c>
      <c r="B2233" s="1">
        <v>40844</v>
      </c>
      <c r="C2233">
        <v>0</v>
      </c>
      <c r="D2233">
        <v>41.97</v>
      </c>
      <c r="E2233">
        <v>3.55</v>
      </c>
      <c r="F2233">
        <v>195.33189770000001</v>
      </c>
      <c r="G2233">
        <v>505918.21</v>
      </c>
      <c r="H2233" t="str">
        <f>TEXT(Ventas[[#This Row],[Fecha_venta]],"dd")</f>
        <v>28</v>
      </c>
      <c r="I2233" t="str">
        <f>TEXT(Ventas[[#This Row],[Fecha_venta]],"m")</f>
        <v>10</v>
      </c>
      <c r="J2233" t="str">
        <f>TEXT(Ventas[[#This Row],[Fecha_venta]],"yyyy")</f>
        <v>2011</v>
      </c>
    </row>
    <row r="2234" spans="1:10" x14ac:dyDescent="0.25">
      <c r="A2234">
        <v>16</v>
      </c>
      <c r="B2234" s="1">
        <v>40851</v>
      </c>
      <c r="C2234">
        <v>0</v>
      </c>
      <c r="D2234">
        <v>33.43</v>
      </c>
      <c r="E2234">
        <v>3.5270000000000001</v>
      </c>
      <c r="F2234">
        <v>195.48479589999999</v>
      </c>
      <c r="G2234">
        <v>511059.95</v>
      </c>
      <c r="H2234" t="str">
        <f>TEXT(Ventas[[#This Row],[Fecha_venta]],"dd")</f>
        <v>04</v>
      </c>
      <c r="I2234" t="str">
        <f>TEXT(Ventas[[#This Row],[Fecha_venta]],"m")</f>
        <v>11</v>
      </c>
      <c r="J2234" t="str">
        <f>TEXT(Ventas[[#This Row],[Fecha_venta]],"yyyy")</f>
        <v>2011</v>
      </c>
    </row>
    <row r="2235" spans="1:10" x14ac:dyDescent="0.25">
      <c r="A2235">
        <v>16</v>
      </c>
      <c r="B2235" s="1">
        <v>40858</v>
      </c>
      <c r="C2235">
        <v>0</v>
      </c>
      <c r="D2235">
        <v>29.56</v>
      </c>
      <c r="E2235">
        <v>3.5049999999999999</v>
      </c>
      <c r="F2235">
        <v>195.6376941</v>
      </c>
      <c r="G2235">
        <v>513181.31</v>
      </c>
      <c r="H2235" t="str">
        <f>TEXT(Ventas[[#This Row],[Fecha_venta]],"dd")</f>
        <v>11</v>
      </c>
      <c r="I2235" t="str">
        <f>TEXT(Ventas[[#This Row],[Fecha_venta]],"m")</f>
        <v>11</v>
      </c>
      <c r="J2235" t="str">
        <f>TEXT(Ventas[[#This Row],[Fecha_venta]],"yyyy")</f>
        <v>2011</v>
      </c>
    </row>
    <row r="2236" spans="1:10" x14ac:dyDescent="0.25">
      <c r="A2236">
        <v>16</v>
      </c>
      <c r="B2236" s="1">
        <v>40865</v>
      </c>
      <c r="C2236">
        <v>0</v>
      </c>
      <c r="D2236">
        <v>31.73</v>
      </c>
      <c r="E2236">
        <v>3.4790000000000001</v>
      </c>
      <c r="F2236">
        <v>195.7184713</v>
      </c>
      <c r="G2236">
        <v>480353.64</v>
      </c>
      <c r="H2236" t="str">
        <f>TEXT(Ventas[[#This Row],[Fecha_venta]],"dd")</f>
        <v>18</v>
      </c>
      <c r="I2236" t="str">
        <f>TEXT(Ventas[[#This Row],[Fecha_venta]],"m")</f>
        <v>11</v>
      </c>
      <c r="J2236" t="str">
        <f>TEXT(Ventas[[#This Row],[Fecha_venta]],"yyyy")</f>
        <v>2011</v>
      </c>
    </row>
    <row r="2237" spans="1:10" x14ac:dyDescent="0.25">
      <c r="A2237">
        <v>16</v>
      </c>
      <c r="B2237" s="1">
        <v>40872</v>
      </c>
      <c r="C2237">
        <v>1</v>
      </c>
      <c r="D2237">
        <v>31.39</v>
      </c>
      <c r="E2237">
        <v>3.4239999999999999</v>
      </c>
      <c r="F2237">
        <v>195.7704</v>
      </c>
      <c r="G2237">
        <v>712422.40000000002</v>
      </c>
      <c r="H2237" t="str">
        <f>TEXT(Ventas[[#This Row],[Fecha_venta]],"dd")</f>
        <v>25</v>
      </c>
      <c r="I2237" t="str">
        <f>TEXT(Ventas[[#This Row],[Fecha_venta]],"m")</f>
        <v>11</v>
      </c>
      <c r="J2237" t="str">
        <f>TEXT(Ventas[[#This Row],[Fecha_venta]],"yyyy")</f>
        <v>2011</v>
      </c>
    </row>
    <row r="2238" spans="1:10" x14ac:dyDescent="0.25">
      <c r="A2238">
        <v>16</v>
      </c>
      <c r="B2238" s="1">
        <v>40879</v>
      </c>
      <c r="C2238">
        <v>0</v>
      </c>
      <c r="D2238">
        <v>27.83</v>
      </c>
      <c r="E2238">
        <v>3.3780000000000001</v>
      </c>
      <c r="F2238">
        <v>195.82232870000001</v>
      </c>
      <c r="G2238">
        <v>530492.84</v>
      </c>
      <c r="H2238" t="str">
        <f>TEXT(Ventas[[#This Row],[Fecha_venta]],"dd")</f>
        <v>02</v>
      </c>
      <c r="I2238" t="str">
        <f>TEXT(Ventas[[#This Row],[Fecha_venta]],"m")</f>
        <v>12</v>
      </c>
      <c r="J2238" t="str">
        <f>TEXT(Ventas[[#This Row],[Fecha_venta]],"yyyy")</f>
        <v>2011</v>
      </c>
    </row>
    <row r="2239" spans="1:10" x14ac:dyDescent="0.25">
      <c r="A2239">
        <v>16</v>
      </c>
      <c r="B2239" s="1">
        <v>40886</v>
      </c>
      <c r="C2239">
        <v>0</v>
      </c>
      <c r="D2239">
        <v>14.44</v>
      </c>
      <c r="E2239">
        <v>3.331</v>
      </c>
      <c r="F2239">
        <v>195.8742575</v>
      </c>
      <c r="G2239">
        <v>574798.86</v>
      </c>
      <c r="H2239" t="str">
        <f>TEXT(Ventas[[#This Row],[Fecha_venta]],"dd")</f>
        <v>09</v>
      </c>
      <c r="I2239" t="str">
        <f>TEXT(Ventas[[#This Row],[Fecha_venta]],"m")</f>
        <v>12</v>
      </c>
      <c r="J2239" t="str">
        <f>TEXT(Ventas[[#This Row],[Fecha_venta]],"yyyy")</f>
        <v>2011</v>
      </c>
    </row>
    <row r="2240" spans="1:10" x14ac:dyDescent="0.25">
      <c r="A2240">
        <v>16</v>
      </c>
      <c r="B2240" s="1">
        <v>40893</v>
      </c>
      <c r="C2240">
        <v>0</v>
      </c>
      <c r="D2240">
        <v>22.5</v>
      </c>
      <c r="E2240">
        <v>3.266</v>
      </c>
      <c r="F2240">
        <v>195.98416850000001</v>
      </c>
      <c r="G2240">
        <v>679481.9</v>
      </c>
      <c r="H2240" t="str">
        <f>TEXT(Ventas[[#This Row],[Fecha_venta]],"dd")</f>
        <v>16</v>
      </c>
      <c r="I2240" t="str">
        <f>TEXT(Ventas[[#This Row],[Fecha_venta]],"m")</f>
        <v>12</v>
      </c>
      <c r="J2240" t="str">
        <f>TEXT(Ventas[[#This Row],[Fecha_venta]],"yyyy")</f>
        <v>2011</v>
      </c>
    </row>
    <row r="2241" spans="1:10" x14ac:dyDescent="0.25">
      <c r="A2241">
        <v>16</v>
      </c>
      <c r="B2241" s="1">
        <v>40900</v>
      </c>
      <c r="C2241">
        <v>0</v>
      </c>
      <c r="D2241">
        <v>20.79</v>
      </c>
      <c r="E2241">
        <v>3.173</v>
      </c>
      <c r="F2241">
        <v>196.17138929999999</v>
      </c>
      <c r="G2241">
        <v>950691.96</v>
      </c>
      <c r="H2241" t="str">
        <f>TEXT(Ventas[[#This Row],[Fecha_venta]],"dd")</f>
        <v>23</v>
      </c>
      <c r="I2241" t="str">
        <f>TEXT(Ventas[[#This Row],[Fecha_venta]],"m")</f>
        <v>12</v>
      </c>
      <c r="J2241" t="str">
        <f>TEXT(Ventas[[#This Row],[Fecha_venta]],"yyyy")</f>
        <v>2011</v>
      </c>
    </row>
    <row r="2242" spans="1:10" x14ac:dyDescent="0.25">
      <c r="A2242">
        <v>16</v>
      </c>
      <c r="B2242" s="1">
        <v>40907</v>
      </c>
      <c r="C2242">
        <v>1</v>
      </c>
      <c r="D2242">
        <v>23.91</v>
      </c>
      <c r="E2242">
        <v>3.1190000000000002</v>
      </c>
      <c r="F2242">
        <v>196.35861009999999</v>
      </c>
      <c r="G2242">
        <v>665861.06000000006</v>
      </c>
      <c r="H2242" t="str">
        <f>TEXT(Ventas[[#This Row],[Fecha_venta]],"dd")</f>
        <v>30</v>
      </c>
      <c r="I2242" t="str">
        <f>TEXT(Ventas[[#This Row],[Fecha_venta]],"m")</f>
        <v>12</v>
      </c>
      <c r="J2242" t="str">
        <f>TEXT(Ventas[[#This Row],[Fecha_venta]],"yyyy")</f>
        <v>2011</v>
      </c>
    </row>
    <row r="2243" spans="1:10" x14ac:dyDescent="0.25">
      <c r="A2243">
        <v>16</v>
      </c>
      <c r="B2243" s="1">
        <v>40914</v>
      </c>
      <c r="C2243">
        <v>0</v>
      </c>
      <c r="D2243">
        <v>26.49</v>
      </c>
      <c r="E2243">
        <v>3.0950000000000002</v>
      </c>
      <c r="F2243">
        <v>196.5458309</v>
      </c>
      <c r="G2243">
        <v>564538.06999999995</v>
      </c>
      <c r="H2243" t="str">
        <f>TEXT(Ventas[[#This Row],[Fecha_venta]],"dd")</f>
        <v>06</v>
      </c>
      <c r="I2243" t="str">
        <f>TEXT(Ventas[[#This Row],[Fecha_venta]],"m")</f>
        <v>1</v>
      </c>
      <c r="J2243" t="str">
        <f>TEXT(Ventas[[#This Row],[Fecha_venta]],"yyyy")</f>
        <v>2012</v>
      </c>
    </row>
    <row r="2244" spans="1:10" x14ac:dyDescent="0.25">
      <c r="A2244">
        <v>16</v>
      </c>
      <c r="B2244" s="1">
        <v>40921</v>
      </c>
      <c r="C2244">
        <v>0</v>
      </c>
      <c r="D2244">
        <v>19.55</v>
      </c>
      <c r="E2244">
        <v>3.077</v>
      </c>
      <c r="F2244">
        <v>196.7330517</v>
      </c>
      <c r="G2244">
        <v>508520.09</v>
      </c>
      <c r="H2244" t="str">
        <f>TEXT(Ventas[[#This Row],[Fecha_venta]],"dd")</f>
        <v>13</v>
      </c>
      <c r="I2244" t="str">
        <f>TEXT(Ventas[[#This Row],[Fecha_venta]],"m")</f>
        <v>1</v>
      </c>
      <c r="J2244" t="str">
        <f>TEXT(Ventas[[#This Row],[Fecha_venta]],"yyyy")</f>
        <v>2012</v>
      </c>
    </row>
    <row r="2245" spans="1:10" x14ac:dyDescent="0.25">
      <c r="A2245">
        <v>16</v>
      </c>
      <c r="B2245" s="1">
        <v>40928</v>
      </c>
      <c r="C2245">
        <v>0</v>
      </c>
      <c r="D2245">
        <v>29.3</v>
      </c>
      <c r="E2245">
        <v>3.0550000000000002</v>
      </c>
      <c r="F2245">
        <v>196.77966520000001</v>
      </c>
      <c r="G2245">
        <v>474389.75</v>
      </c>
      <c r="H2245" t="str">
        <f>TEXT(Ventas[[#This Row],[Fecha_venta]],"dd")</f>
        <v>20</v>
      </c>
      <c r="I2245" t="str">
        <f>TEXT(Ventas[[#This Row],[Fecha_venta]],"m")</f>
        <v>1</v>
      </c>
      <c r="J2245" t="str">
        <f>TEXT(Ventas[[#This Row],[Fecha_venta]],"yyyy")</f>
        <v>2012</v>
      </c>
    </row>
    <row r="2246" spans="1:10" x14ac:dyDescent="0.25">
      <c r="A2246">
        <v>16</v>
      </c>
      <c r="B2246" s="1">
        <v>40935</v>
      </c>
      <c r="C2246">
        <v>0</v>
      </c>
      <c r="D2246">
        <v>28.17</v>
      </c>
      <c r="E2246">
        <v>3.0379999999999998</v>
      </c>
      <c r="F2246">
        <v>196.82627859999999</v>
      </c>
      <c r="G2246">
        <v>453979.19</v>
      </c>
      <c r="H2246" t="str">
        <f>TEXT(Ventas[[#This Row],[Fecha_venta]],"dd")</f>
        <v>27</v>
      </c>
      <c r="I2246" t="str">
        <f>TEXT(Ventas[[#This Row],[Fecha_venta]],"m")</f>
        <v>1</v>
      </c>
      <c r="J2246" t="str">
        <f>TEXT(Ventas[[#This Row],[Fecha_venta]],"yyyy")</f>
        <v>2012</v>
      </c>
    </row>
    <row r="2247" spans="1:10" x14ac:dyDescent="0.25">
      <c r="A2247">
        <v>16</v>
      </c>
      <c r="B2247" s="1">
        <v>40942</v>
      </c>
      <c r="C2247">
        <v>0</v>
      </c>
      <c r="D2247">
        <v>25.53</v>
      </c>
      <c r="E2247">
        <v>3.0310000000000001</v>
      </c>
      <c r="F2247">
        <v>196.8728921</v>
      </c>
      <c r="G2247">
        <v>475905.1</v>
      </c>
      <c r="H2247" t="str">
        <f>TEXT(Ventas[[#This Row],[Fecha_venta]],"dd")</f>
        <v>03</v>
      </c>
      <c r="I2247" t="str">
        <f>TEXT(Ventas[[#This Row],[Fecha_venta]],"m")</f>
        <v>2</v>
      </c>
      <c r="J2247" t="str">
        <f>TEXT(Ventas[[#This Row],[Fecha_venta]],"yyyy")</f>
        <v>2012</v>
      </c>
    </row>
    <row r="2248" spans="1:10" x14ac:dyDescent="0.25">
      <c r="A2248">
        <v>16</v>
      </c>
      <c r="B2248" s="1">
        <v>40949</v>
      </c>
      <c r="C2248">
        <v>1</v>
      </c>
      <c r="D2248">
        <v>23.69</v>
      </c>
      <c r="E2248">
        <v>3.1030000000000002</v>
      </c>
      <c r="F2248">
        <v>196.91950560000001</v>
      </c>
      <c r="G2248">
        <v>473766.97</v>
      </c>
      <c r="H2248" t="str">
        <f>TEXT(Ventas[[#This Row],[Fecha_venta]],"dd")</f>
        <v>10</v>
      </c>
      <c r="I2248" t="str">
        <f>TEXT(Ventas[[#This Row],[Fecha_venta]],"m")</f>
        <v>2</v>
      </c>
      <c r="J2248" t="str">
        <f>TEXT(Ventas[[#This Row],[Fecha_venta]],"yyyy")</f>
        <v>2012</v>
      </c>
    </row>
    <row r="2249" spans="1:10" x14ac:dyDescent="0.25">
      <c r="A2249">
        <v>16</v>
      </c>
      <c r="B2249" s="1">
        <v>40956</v>
      </c>
      <c r="C2249">
        <v>0</v>
      </c>
      <c r="D2249">
        <v>31.19</v>
      </c>
      <c r="E2249">
        <v>3.113</v>
      </c>
      <c r="F2249">
        <v>196.9432711</v>
      </c>
      <c r="G2249">
        <v>494069.49</v>
      </c>
      <c r="H2249" t="str">
        <f>TEXT(Ventas[[#This Row],[Fecha_venta]],"dd")</f>
        <v>17</v>
      </c>
      <c r="I2249" t="str">
        <f>TEXT(Ventas[[#This Row],[Fecha_venta]],"m")</f>
        <v>2</v>
      </c>
      <c r="J2249" t="str">
        <f>TEXT(Ventas[[#This Row],[Fecha_venta]],"yyyy")</f>
        <v>2012</v>
      </c>
    </row>
    <row r="2250" spans="1:10" x14ac:dyDescent="0.25">
      <c r="A2250">
        <v>16</v>
      </c>
      <c r="B2250" s="1">
        <v>40963</v>
      </c>
      <c r="C2250">
        <v>0</v>
      </c>
      <c r="D2250">
        <v>26.21</v>
      </c>
      <c r="E2250">
        <v>3.129</v>
      </c>
      <c r="F2250">
        <v>196.9499007</v>
      </c>
      <c r="G2250">
        <v>495720.3</v>
      </c>
      <c r="H2250" t="str">
        <f>TEXT(Ventas[[#This Row],[Fecha_venta]],"dd")</f>
        <v>24</v>
      </c>
      <c r="I2250" t="str">
        <f>TEXT(Ventas[[#This Row],[Fecha_venta]],"m")</f>
        <v>2</v>
      </c>
      <c r="J2250" t="str">
        <f>TEXT(Ventas[[#This Row],[Fecha_venta]],"yyyy")</f>
        <v>2012</v>
      </c>
    </row>
    <row r="2251" spans="1:10" x14ac:dyDescent="0.25">
      <c r="A2251">
        <v>16</v>
      </c>
      <c r="B2251" s="1">
        <v>40970</v>
      </c>
      <c r="C2251">
        <v>0</v>
      </c>
      <c r="D2251">
        <v>23.4</v>
      </c>
      <c r="E2251">
        <v>3.1909999999999998</v>
      </c>
      <c r="F2251">
        <v>196.9565303</v>
      </c>
      <c r="G2251">
        <v>464189.09</v>
      </c>
      <c r="H2251" t="str">
        <f>TEXT(Ventas[[#This Row],[Fecha_venta]],"dd")</f>
        <v>02</v>
      </c>
      <c r="I2251" t="str">
        <f>TEXT(Ventas[[#This Row],[Fecha_venta]],"m")</f>
        <v>3</v>
      </c>
      <c r="J2251" t="str">
        <f>TEXT(Ventas[[#This Row],[Fecha_venta]],"yyyy")</f>
        <v>2012</v>
      </c>
    </row>
    <row r="2252" spans="1:10" x14ac:dyDescent="0.25">
      <c r="A2252">
        <v>16</v>
      </c>
      <c r="B2252" s="1">
        <v>40977</v>
      </c>
      <c r="C2252">
        <v>0</v>
      </c>
      <c r="D2252">
        <v>28.16</v>
      </c>
      <c r="E2252">
        <v>3.286</v>
      </c>
      <c r="F2252">
        <v>196.96315989999999</v>
      </c>
      <c r="G2252">
        <v>495951.66</v>
      </c>
      <c r="H2252" t="str">
        <f>TEXT(Ventas[[#This Row],[Fecha_venta]],"dd")</f>
        <v>09</v>
      </c>
      <c r="I2252" t="str">
        <f>TEXT(Ventas[[#This Row],[Fecha_venta]],"m")</f>
        <v>3</v>
      </c>
      <c r="J2252" t="str">
        <f>TEXT(Ventas[[#This Row],[Fecha_venta]],"yyyy")</f>
        <v>2012</v>
      </c>
    </row>
    <row r="2253" spans="1:10" x14ac:dyDescent="0.25">
      <c r="A2253">
        <v>16</v>
      </c>
      <c r="B2253" s="1">
        <v>40984</v>
      </c>
      <c r="C2253">
        <v>0</v>
      </c>
      <c r="D2253">
        <v>38.020000000000003</v>
      </c>
      <c r="E2253">
        <v>3.4860000000000002</v>
      </c>
      <c r="F2253">
        <v>197.0457208</v>
      </c>
      <c r="G2253">
        <v>520850.71</v>
      </c>
      <c r="H2253" t="str">
        <f>TEXT(Ventas[[#This Row],[Fecha_venta]],"dd")</f>
        <v>16</v>
      </c>
      <c r="I2253" t="str">
        <f>TEXT(Ventas[[#This Row],[Fecha_venta]],"m")</f>
        <v>3</v>
      </c>
      <c r="J2253" t="str">
        <f>TEXT(Ventas[[#This Row],[Fecha_venta]],"yyyy")</f>
        <v>2012</v>
      </c>
    </row>
    <row r="2254" spans="1:10" x14ac:dyDescent="0.25">
      <c r="A2254">
        <v>16</v>
      </c>
      <c r="B2254" s="1">
        <v>40991</v>
      </c>
      <c r="C2254">
        <v>0</v>
      </c>
      <c r="D2254">
        <v>38.700000000000003</v>
      </c>
      <c r="E2254">
        <v>3.6640000000000001</v>
      </c>
      <c r="F2254">
        <v>197.22952340000001</v>
      </c>
      <c r="G2254">
        <v>493503.89</v>
      </c>
      <c r="H2254" t="str">
        <f>TEXT(Ventas[[#This Row],[Fecha_venta]],"dd")</f>
        <v>23</v>
      </c>
      <c r="I2254" t="str">
        <f>TEXT(Ventas[[#This Row],[Fecha_venta]],"m")</f>
        <v>3</v>
      </c>
      <c r="J2254" t="str">
        <f>TEXT(Ventas[[#This Row],[Fecha_venta]],"yyyy")</f>
        <v>2012</v>
      </c>
    </row>
    <row r="2255" spans="1:10" x14ac:dyDescent="0.25">
      <c r="A2255">
        <v>16</v>
      </c>
      <c r="B2255" s="1">
        <v>40998</v>
      </c>
      <c r="C2255">
        <v>0</v>
      </c>
      <c r="D2255">
        <v>48.29</v>
      </c>
      <c r="E2255">
        <v>3.75</v>
      </c>
      <c r="F2255">
        <v>197.41332589999999</v>
      </c>
      <c r="G2255">
        <v>485095.41</v>
      </c>
      <c r="H2255" t="str">
        <f>TEXT(Ventas[[#This Row],[Fecha_venta]],"dd")</f>
        <v>30</v>
      </c>
      <c r="I2255" t="str">
        <f>TEXT(Ventas[[#This Row],[Fecha_venta]],"m")</f>
        <v>3</v>
      </c>
      <c r="J2255" t="str">
        <f>TEXT(Ventas[[#This Row],[Fecha_venta]],"yyyy")</f>
        <v>2012</v>
      </c>
    </row>
    <row r="2256" spans="1:10" x14ac:dyDescent="0.25">
      <c r="A2256">
        <v>16</v>
      </c>
      <c r="B2256" s="1">
        <v>41005</v>
      </c>
      <c r="C2256">
        <v>0</v>
      </c>
      <c r="D2256">
        <v>48.93</v>
      </c>
      <c r="E2256">
        <v>3.8540000000000001</v>
      </c>
      <c r="F2256">
        <v>197.5971285</v>
      </c>
      <c r="G2256">
        <v>502662.07</v>
      </c>
      <c r="H2256" t="str">
        <f>TEXT(Ventas[[#This Row],[Fecha_venta]],"dd")</f>
        <v>06</v>
      </c>
      <c r="I2256" t="str">
        <f>TEXT(Ventas[[#This Row],[Fecha_venta]],"m")</f>
        <v>4</v>
      </c>
      <c r="J2256" t="str">
        <f>TEXT(Ventas[[#This Row],[Fecha_venta]],"yyyy")</f>
        <v>2012</v>
      </c>
    </row>
    <row r="2257" spans="1:10" x14ac:dyDescent="0.25">
      <c r="A2257">
        <v>16</v>
      </c>
      <c r="B2257" s="1">
        <v>41012</v>
      </c>
      <c r="C2257">
        <v>0</v>
      </c>
      <c r="D2257">
        <v>45.83</v>
      </c>
      <c r="E2257">
        <v>3.9009999999999998</v>
      </c>
      <c r="F2257">
        <v>197.78093100000001</v>
      </c>
      <c r="G2257">
        <v>450756.71</v>
      </c>
      <c r="H2257" t="str">
        <f>TEXT(Ventas[[#This Row],[Fecha_venta]],"dd")</f>
        <v>13</v>
      </c>
      <c r="I2257" t="str">
        <f>TEXT(Ventas[[#This Row],[Fecha_venta]],"m")</f>
        <v>4</v>
      </c>
      <c r="J2257" t="str">
        <f>TEXT(Ventas[[#This Row],[Fecha_venta]],"yyyy")</f>
        <v>2012</v>
      </c>
    </row>
    <row r="2258" spans="1:10" x14ac:dyDescent="0.25">
      <c r="A2258">
        <v>16</v>
      </c>
      <c r="B2258" s="1">
        <v>41019</v>
      </c>
      <c r="C2258">
        <v>0</v>
      </c>
      <c r="D2258">
        <v>43.61</v>
      </c>
      <c r="E2258">
        <v>3.9359999999999999</v>
      </c>
      <c r="F2258">
        <v>197.72273849999999</v>
      </c>
      <c r="G2258">
        <v>436221.26</v>
      </c>
      <c r="H2258" t="str">
        <f>TEXT(Ventas[[#This Row],[Fecha_venta]],"dd")</f>
        <v>20</v>
      </c>
      <c r="I2258" t="str">
        <f>TEXT(Ventas[[#This Row],[Fecha_venta]],"m")</f>
        <v>4</v>
      </c>
      <c r="J2258" t="str">
        <f>TEXT(Ventas[[#This Row],[Fecha_venta]],"yyyy")</f>
        <v>2012</v>
      </c>
    </row>
    <row r="2259" spans="1:10" x14ac:dyDescent="0.25">
      <c r="A2259">
        <v>16</v>
      </c>
      <c r="B2259" s="1">
        <v>41026</v>
      </c>
      <c r="C2259">
        <v>0</v>
      </c>
      <c r="D2259">
        <v>59.69</v>
      </c>
      <c r="E2259">
        <v>3.927</v>
      </c>
      <c r="F2259">
        <v>197.664546</v>
      </c>
      <c r="G2259">
        <v>398445.15</v>
      </c>
      <c r="H2259" t="str">
        <f>TEXT(Ventas[[#This Row],[Fecha_venta]],"dd")</f>
        <v>27</v>
      </c>
      <c r="I2259" t="str">
        <f>TEXT(Ventas[[#This Row],[Fecha_venta]],"m")</f>
        <v>4</v>
      </c>
      <c r="J2259" t="str">
        <f>TEXT(Ventas[[#This Row],[Fecha_venta]],"yyyy")</f>
        <v>2012</v>
      </c>
    </row>
    <row r="2260" spans="1:10" x14ac:dyDescent="0.25">
      <c r="A2260">
        <v>16</v>
      </c>
      <c r="B2260" s="1">
        <v>41033</v>
      </c>
      <c r="C2260">
        <v>0</v>
      </c>
      <c r="D2260">
        <v>51.34</v>
      </c>
      <c r="E2260">
        <v>3.903</v>
      </c>
      <c r="F2260">
        <v>197.60635339999999</v>
      </c>
      <c r="G2260">
        <v>426959.62</v>
      </c>
      <c r="H2260" t="str">
        <f>TEXT(Ventas[[#This Row],[Fecha_venta]],"dd")</f>
        <v>04</v>
      </c>
      <c r="I2260" t="str">
        <f>TEXT(Ventas[[#This Row],[Fecha_venta]],"m")</f>
        <v>5</v>
      </c>
      <c r="J2260" t="str">
        <f>TEXT(Ventas[[#This Row],[Fecha_venta]],"yyyy")</f>
        <v>2012</v>
      </c>
    </row>
    <row r="2261" spans="1:10" x14ac:dyDescent="0.25">
      <c r="A2261">
        <v>16</v>
      </c>
      <c r="B2261" s="1">
        <v>41040</v>
      </c>
      <c r="C2261">
        <v>0</v>
      </c>
      <c r="D2261">
        <v>53.57</v>
      </c>
      <c r="E2261">
        <v>3.87</v>
      </c>
      <c r="F2261">
        <v>197.5481609</v>
      </c>
      <c r="G2261">
        <v>479855</v>
      </c>
      <c r="H2261" t="str">
        <f>TEXT(Ventas[[#This Row],[Fecha_venta]],"dd")</f>
        <v>11</v>
      </c>
      <c r="I2261" t="str">
        <f>TEXT(Ventas[[#This Row],[Fecha_venta]],"m")</f>
        <v>5</v>
      </c>
      <c r="J2261" t="str">
        <f>TEXT(Ventas[[#This Row],[Fecha_venta]],"yyyy")</f>
        <v>2012</v>
      </c>
    </row>
    <row r="2262" spans="1:10" x14ac:dyDescent="0.25">
      <c r="A2262">
        <v>16</v>
      </c>
      <c r="B2262" s="1">
        <v>41047</v>
      </c>
      <c r="C2262">
        <v>0</v>
      </c>
      <c r="D2262">
        <v>56.74</v>
      </c>
      <c r="E2262">
        <v>3.8370000000000002</v>
      </c>
      <c r="F2262">
        <v>197.5553137</v>
      </c>
      <c r="G2262">
        <v>493506.47</v>
      </c>
      <c r="H2262" t="str">
        <f>TEXT(Ventas[[#This Row],[Fecha_venta]],"dd")</f>
        <v>18</v>
      </c>
      <c r="I2262" t="str">
        <f>TEXT(Ventas[[#This Row],[Fecha_venta]],"m")</f>
        <v>5</v>
      </c>
      <c r="J2262" t="str">
        <f>TEXT(Ventas[[#This Row],[Fecha_venta]],"yyyy")</f>
        <v>2012</v>
      </c>
    </row>
    <row r="2263" spans="1:10" x14ac:dyDescent="0.25">
      <c r="A2263">
        <v>16</v>
      </c>
      <c r="B2263" s="1">
        <v>41054</v>
      </c>
      <c r="C2263">
        <v>0</v>
      </c>
      <c r="D2263">
        <v>57.36</v>
      </c>
      <c r="E2263">
        <v>3.8039999999999998</v>
      </c>
      <c r="F2263">
        <v>197.5886046</v>
      </c>
      <c r="G2263">
        <v>518045.09</v>
      </c>
      <c r="H2263" t="str">
        <f>TEXT(Ventas[[#This Row],[Fecha_venta]],"dd")</f>
        <v>25</v>
      </c>
      <c r="I2263" t="str">
        <f>TEXT(Ventas[[#This Row],[Fecha_venta]],"m")</f>
        <v>5</v>
      </c>
      <c r="J2263" t="str">
        <f>TEXT(Ventas[[#This Row],[Fecha_venta]],"yyyy")</f>
        <v>2012</v>
      </c>
    </row>
    <row r="2264" spans="1:10" x14ac:dyDescent="0.25">
      <c r="A2264">
        <v>16</v>
      </c>
      <c r="B2264" s="1">
        <v>41061</v>
      </c>
      <c r="C2264">
        <v>0</v>
      </c>
      <c r="D2264">
        <v>58.97</v>
      </c>
      <c r="E2264">
        <v>3.7639999999999998</v>
      </c>
      <c r="F2264">
        <v>197.6218954</v>
      </c>
      <c r="G2264">
        <v>532311.93000000005</v>
      </c>
      <c r="H2264" t="str">
        <f>TEXT(Ventas[[#This Row],[Fecha_venta]],"dd")</f>
        <v>01</v>
      </c>
      <c r="I2264" t="str">
        <f>TEXT(Ventas[[#This Row],[Fecha_venta]],"m")</f>
        <v>6</v>
      </c>
      <c r="J2264" t="str">
        <f>TEXT(Ventas[[#This Row],[Fecha_venta]],"yyyy")</f>
        <v>2012</v>
      </c>
    </row>
    <row r="2265" spans="1:10" x14ac:dyDescent="0.25">
      <c r="A2265">
        <v>16</v>
      </c>
      <c r="B2265" s="1">
        <v>41068</v>
      </c>
      <c r="C2265">
        <v>0</v>
      </c>
      <c r="D2265">
        <v>65.430000000000007</v>
      </c>
      <c r="E2265">
        <v>3.7410000000000001</v>
      </c>
      <c r="F2265">
        <v>197.6551863</v>
      </c>
      <c r="G2265">
        <v>603618.89</v>
      </c>
      <c r="H2265" t="str">
        <f>TEXT(Ventas[[#This Row],[Fecha_venta]],"dd")</f>
        <v>08</v>
      </c>
      <c r="I2265" t="str">
        <f>TEXT(Ventas[[#This Row],[Fecha_venta]],"m")</f>
        <v>6</v>
      </c>
      <c r="J2265" t="str">
        <f>TEXT(Ventas[[#This Row],[Fecha_venta]],"yyyy")</f>
        <v>2012</v>
      </c>
    </row>
    <row r="2266" spans="1:10" x14ac:dyDescent="0.25">
      <c r="A2266">
        <v>16</v>
      </c>
      <c r="B2266" s="1">
        <v>41075</v>
      </c>
      <c r="C2266">
        <v>0</v>
      </c>
      <c r="D2266">
        <v>65.36</v>
      </c>
      <c r="E2266">
        <v>3.7229999999999999</v>
      </c>
      <c r="F2266">
        <v>197.69229200000001</v>
      </c>
      <c r="G2266">
        <v>570045.79</v>
      </c>
      <c r="H2266" t="str">
        <f>TEXT(Ventas[[#This Row],[Fecha_venta]],"dd")</f>
        <v>15</v>
      </c>
      <c r="I2266" t="str">
        <f>TEXT(Ventas[[#This Row],[Fecha_venta]],"m")</f>
        <v>6</v>
      </c>
      <c r="J2266" t="str">
        <f>TEXT(Ventas[[#This Row],[Fecha_venta]],"yyyy")</f>
        <v>2012</v>
      </c>
    </row>
    <row r="2267" spans="1:10" x14ac:dyDescent="0.25">
      <c r="A2267">
        <v>16</v>
      </c>
      <c r="B2267" s="1">
        <v>41082</v>
      </c>
      <c r="C2267">
        <v>0</v>
      </c>
      <c r="D2267">
        <v>70.41</v>
      </c>
      <c r="E2267">
        <v>3.7349999999999999</v>
      </c>
      <c r="F2267">
        <v>197.7389345</v>
      </c>
      <c r="G2267">
        <v>581745.72</v>
      </c>
      <c r="H2267" t="str">
        <f>TEXT(Ventas[[#This Row],[Fecha_venta]],"dd")</f>
        <v>22</v>
      </c>
      <c r="I2267" t="str">
        <f>TEXT(Ventas[[#This Row],[Fecha_venta]],"m")</f>
        <v>6</v>
      </c>
      <c r="J2267" t="str">
        <f>TEXT(Ventas[[#This Row],[Fecha_venta]],"yyyy")</f>
        <v>2012</v>
      </c>
    </row>
    <row r="2268" spans="1:10" x14ac:dyDescent="0.25">
      <c r="A2268">
        <v>16</v>
      </c>
      <c r="B2268" s="1">
        <v>41089</v>
      </c>
      <c r="C2268">
        <v>0</v>
      </c>
      <c r="D2268">
        <v>77.31</v>
      </c>
      <c r="E2268">
        <v>3.6930000000000001</v>
      </c>
      <c r="F2268">
        <v>197.78557699999999</v>
      </c>
      <c r="G2268">
        <v>570162.28</v>
      </c>
      <c r="H2268" t="str">
        <f>TEXT(Ventas[[#This Row],[Fecha_venta]],"dd")</f>
        <v>29</v>
      </c>
      <c r="I2268" t="str">
        <f>TEXT(Ventas[[#This Row],[Fecha_venta]],"m")</f>
        <v>6</v>
      </c>
      <c r="J2268" t="str">
        <f>TEXT(Ventas[[#This Row],[Fecha_venta]],"yyyy")</f>
        <v>2012</v>
      </c>
    </row>
    <row r="2269" spans="1:10" x14ac:dyDescent="0.25">
      <c r="A2269">
        <v>16</v>
      </c>
      <c r="B2269" s="1">
        <v>41096</v>
      </c>
      <c r="C2269">
        <v>0</v>
      </c>
      <c r="D2269">
        <v>70.489999999999995</v>
      </c>
      <c r="E2269">
        <v>3.6459999999999999</v>
      </c>
      <c r="F2269">
        <v>197.83221950000001</v>
      </c>
      <c r="G2269">
        <v>641763.53</v>
      </c>
      <c r="H2269" t="str">
        <f>TEXT(Ventas[[#This Row],[Fecha_venta]],"dd")</f>
        <v>06</v>
      </c>
      <c r="I2269" t="str">
        <f>TEXT(Ventas[[#This Row],[Fecha_venta]],"m")</f>
        <v>7</v>
      </c>
      <c r="J2269" t="str">
        <f>TEXT(Ventas[[#This Row],[Fecha_venta]],"yyyy")</f>
        <v>2012</v>
      </c>
    </row>
    <row r="2270" spans="1:10" x14ac:dyDescent="0.25">
      <c r="A2270">
        <v>16</v>
      </c>
      <c r="B2270" s="1">
        <v>41103</v>
      </c>
      <c r="C2270">
        <v>0</v>
      </c>
      <c r="D2270">
        <v>70.290000000000006</v>
      </c>
      <c r="E2270">
        <v>3.613</v>
      </c>
      <c r="F2270">
        <v>197.87886209999999</v>
      </c>
      <c r="G2270">
        <v>569005.06000000006</v>
      </c>
      <c r="H2270" t="str">
        <f>TEXT(Ventas[[#This Row],[Fecha_venta]],"dd")</f>
        <v>13</v>
      </c>
      <c r="I2270" t="str">
        <f>TEXT(Ventas[[#This Row],[Fecha_venta]],"m")</f>
        <v>7</v>
      </c>
      <c r="J2270" t="str">
        <f>TEXT(Ventas[[#This Row],[Fecha_venta]],"yyyy")</f>
        <v>2012</v>
      </c>
    </row>
    <row r="2271" spans="1:10" x14ac:dyDescent="0.25">
      <c r="A2271">
        <v>16</v>
      </c>
      <c r="B2271" s="1">
        <v>41110</v>
      </c>
      <c r="C2271">
        <v>0</v>
      </c>
      <c r="D2271">
        <v>68.430000000000007</v>
      </c>
      <c r="E2271">
        <v>3.585</v>
      </c>
      <c r="F2271">
        <v>197.9290378</v>
      </c>
      <c r="G2271">
        <v>565297.54</v>
      </c>
      <c r="H2271" t="str">
        <f>TEXT(Ventas[[#This Row],[Fecha_venta]],"dd")</f>
        <v>20</v>
      </c>
      <c r="I2271" t="str">
        <f>TEXT(Ventas[[#This Row],[Fecha_venta]],"m")</f>
        <v>7</v>
      </c>
      <c r="J2271" t="str">
        <f>TEXT(Ventas[[#This Row],[Fecha_venta]],"yyyy")</f>
        <v>2012</v>
      </c>
    </row>
    <row r="2272" spans="1:10" x14ac:dyDescent="0.25">
      <c r="A2272">
        <v>16</v>
      </c>
      <c r="B2272" s="1">
        <v>41117</v>
      </c>
      <c r="C2272">
        <v>0</v>
      </c>
      <c r="D2272">
        <v>69</v>
      </c>
      <c r="E2272">
        <v>3.57</v>
      </c>
      <c r="F2272">
        <v>197.97921360000001</v>
      </c>
      <c r="G2272">
        <v>539337.87</v>
      </c>
      <c r="H2272" t="str">
        <f>TEXT(Ventas[[#This Row],[Fecha_venta]],"dd")</f>
        <v>27</v>
      </c>
      <c r="I2272" t="str">
        <f>TEXT(Ventas[[#This Row],[Fecha_venta]],"m")</f>
        <v>7</v>
      </c>
      <c r="J2272" t="str">
        <f>TEXT(Ventas[[#This Row],[Fecha_venta]],"yyyy")</f>
        <v>2012</v>
      </c>
    </row>
    <row r="2273" spans="1:10" x14ac:dyDescent="0.25">
      <c r="A2273">
        <v>16</v>
      </c>
      <c r="B2273" s="1">
        <v>41124</v>
      </c>
      <c r="C2273">
        <v>0</v>
      </c>
      <c r="D2273">
        <v>68.59</v>
      </c>
      <c r="E2273">
        <v>3.528</v>
      </c>
      <c r="F2273">
        <v>198.02938929999999</v>
      </c>
      <c r="G2273">
        <v>584000.71</v>
      </c>
      <c r="H2273" t="str">
        <f>TEXT(Ventas[[#This Row],[Fecha_venta]],"dd")</f>
        <v>03</v>
      </c>
      <c r="I2273" t="str">
        <f>TEXT(Ventas[[#This Row],[Fecha_venta]],"m")</f>
        <v>8</v>
      </c>
      <c r="J2273" t="str">
        <f>TEXT(Ventas[[#This Row],[Fecha_venta]],"yyyy")</f>
        <v>2012</v>
      </c>
    </row>
    <row r="2274" spans="1:10" x14ac:dyDescent="0.25">
      <c r="A2274">
        <v>16</v>
      </c>
      <c r="B2274" s="1">
        <v>41131</v>
      </c>
      <c r="C2274">
        <v>0</v>
      </c>
      <c r="D2274">
        <v>70.239999999999995</v>
      </c>
      <c r="E2274">
        <v>3.5089999999999999</v>
      </c>
      <c r="F2274">
        <v>198.0795651</v>
      </c>
      <c r="G2274">
        <v>554036.84</v>
      </c>
      <c r="H2274" t="str">
        <f>TEXT(Ventas[[#This Row],[Fecha_venta]],"dd")</f>
        <v>10</v>
      </c>
      <c r="I2274" t="str">
        <f>TEXT(Ventas[[#This Row],[Fecha_venta]],"m")</f>
        <v>8</v>
      </c>
      <c r="J2274" t="str">
        <f>TEXT(Ventas[[#This Row],[Fecha_venta]],"yyyy")</f>
        <v>2012</v>
      </c>
    </row>
    <row r="2275" spans="1:10" x14ac:dyDescent="0.25">
      <c r="A2275">
        <v>16</v>
      </c>
      <c r="B2275" s="1">
        <v>41138</v>
      </c>
      <c r="C2275">
        <v>0</v>
      </c>
      <c r="D2275">
        <v>62.07</v>
      </c>
      <c r="E2275">
        <v>3.5449999999999999</v>
      </c>
      <c r="F2275">
        <v>198.1001057</v>
      </c>
      <c r="G2275">
        <v>521896.6</v>
      </c>
      <c r="H2275" t="str">
        <f>TEXT(Ventas[[#This Row],[Fecha_venta]],"dd")</f>
        <v>17</v>
      </c>
      <c r="I2275" t="str">
        <f>TEXT(Ventas[[#This Row],[Fecha_venta]],"m")</f>
        <v>8</v>
      </c>
      <c r="J2275" t="str">
        <f>TEXT(Ventas[[#This Row],[Fecha_venta]],"yyyy")</f>
        <v>2012</v>
      </c>
    </row>
    <row r="2276" spans="1:10" x14ac:dyDescent="0.25">
      <c r="A2276">
        <v>16</v>
      </c>
      <c r="B2276" s="1">
        <v>41145</v>
      </c>
      <c r="C2276">
        <v>0</v>
      </c>
      <c r="D2276">
        <v>61.44</v>
      </c>
      <c r="E2276">
        <v>3.5579999999999998</v>
      </c>
      <c r="F2276">
        <v>198.09841990000001</v>
      </c>
      <c r="G2276">
        <v>551152.15</v>
      </c>
      <c r="H2276" t="str">
        <f>TEXT(Ventas[[#This Row],[Fecha_venta]],"dd")</f>
        <v>24</v>
      </c>
      <c r="I2276" t="str">
        <f>TEXT(Ventas[[#This Row],[Fecha_venta]],"m")</f>
        <v>8</v>
      </c>
      <c r="J2276" t="str">
        <f>TEXT(Ventas[[#This Row],[Fecha_venta]],"yyyy")</f>
        <v>2012</v>
      </c>
    </row>
    <row r="2277" spans="1:10" x14ac:dyDescent="0.25">
      <c r="A2277">
        <v>16</v>
      </c>
      <c r="B2277" s="1">
        <v>41152</v>
      </c>
      <c r="C2277">
        <v>0</v>
      </c>
      <c r="D2277">
        <v>64.19</v>
      </c>
      <c r="E2277">
        <v>3.556</v>
      </c>
      <c r="F2277">
        <v>198.09673409999999</v>
      </c>
      <c r="G2277">
        <v>551837.31000000006</v>
      </c>
      <c r="H2277" t="str">
        <f>TEXT(Ventas[[#This Row],[Fecha_venta]],"dd")</f>
        <v>31</v>
      </c>
      <c r="I2277" t="str">
        <f>TEXT(Ventas[[#This Row],[Fecha_venta]],"m")</f>
        <v>8</v>
      </c>
      <c r="J2277" t="str">
        <f>TEXT(Ventas[[#This Row],[Fecha_venta]],"yyyy")</f>
        <v>2012</v>
      </c>
    </row>
    <row r="2278" spans="1:10" x14ac:dyDescent="0.25">
      <c r="A2278">
        <v>16</v>
      </c>
      <c r="B2278" s="1">
        <v>41159</v>
      </c>
      <c r="C2278">
        <v>1</v>
      </c>
      <c r="D2278">
        <v>60.09</v>
      </c>
      <c r="E2278">
        <v>3.5960000000000001</v>
      </c>
      <c r="F2278">
        <v>198.0950484</v>
      </c>
      <c r="G2278">
        <v>537138.57999999996</v>
      </c>
      <c r="H2278" t="str">
        <f>TEXT(Ventas[[#This Row],[Fecha_venta]],"dd")</f>
        <v>07</v>
      </c>
      <c r="I2278" t="str">
        <f>TEXT(Ventas[[#This Row],[Fecha_venta]],"m")</f>
        <v>9</v>
      </c>
      <c r="J2278" t="str">
        <f>TEXT(Ventas[[#This Row],[Fecha_venta]],"yyyy")</f>
        <v>2012</v>
      </c>
    </row>
    <row r="2279" spans="1:10" x14ac:dyDescent="0.25">
      <c r="A2279">
        <v>16</v>
      </c>
      <c r="B2279" s="1">
        <v>41166</v>
      </c>
      <c r="C2279">
        <v>0</v>
      </c>
      <c r="D2279">
        <v>56.69</v>
      </c>
      <c r="E2279">
        <v>3.6589999999999998</v>
      </c>
      <c r="F2279">
        <v>198.12671839999999</v>
      </c>
      <c r="G2279">
        <v>526525.16</v>
      </c>
      <c r="H2279" t="str">
        <f>TEXT(Ventas[[#This Row],[Fecha_venta]],"dd")</f>
        <v>14</v>
      </c>
      <c r="I2279" t="str">
        <f>TEXT(Ventas[[#This Row],[Fecha_venta]],"m")</f>
        <v>9</v>
      </c>
      <c r="J2279" t="str">
        <f>TEXT(Ventas[[#This Row],[Fecha_venta]],"yyyy")</f>
        <v>2012</v>
      </c>
    </row>
    <row r="2280" spans="1:10" x14ac:dyDescent="0.25">
      <c r="A2280">
        <v>16</v>
      </c>
      <c r="B2280" s="1">
        <v>41173</v>
      </c>
      <c r="C2280">
        <v>0</v>
      </c>
      <c r="D2280">
        <v>56.48</v>
      </c>
      <c r="E2280">
        <v>3.7650000000000001</v>
      </c>
      <c r="F2280">
        <v>198.35852299999999</v>
      </c>
      <c r="G2280">
        <v>509942.56</v>
      </c>
      <c r="H2280" t="str">
        <f>TEXT(Ventas[[#This Row],[Fecha_venta]],"dd")</f>
        <v>21</v>
      </c>
      <c r="I2280" t="str">
        <f>TEXT(Ventas[[#This Row],[Fecha_venta]],"m")</f>
        <v>9</v>
      </c>
      <c r="J2280" t="str">
        <f>TEXT(Ventas[[#This Row],[Fecha_venta]],"yyyy")</f>
        <v>2012</v>
      </c>
    </row>
    <row r="2281" spans="1:10" x14ac:dyDescent="0.25">
      <c r="A2281">
        <v>16</v>
      </c>
      <c r="B2281" s="1">
        <v>41180</v>
      </c>
      <c r="C2281">
        <v>0</v>
      </c>
      <c r="D2281">
        <v>51.4</v>
      </c>
      <c r="E2281">
        <v>3.7890000000000001</v>
      </c>
      <c r="F2281">
        <v>198.59032759999999</v>
      </c>
      <c r="G2281">
        <v>469607.73</v>
      </c>
      <c r="H2281" t="str">
        <f>TEXT(Ventas[[#This Row],[Fecha_venta]],"dd")</f>
        <v>28</v>
      </c>
      <c r="I2281" t="str">
        <f>TEXT(Ventas[[#This Row],[Fecha_venta]],"m")</f>
        <v>9</v>
      </c>
      <c r="J2281" t="str">
        <f>TEXT(Ventas[[#This Row],[Fecha_venta]],"yyyy")</f>
        <v>2012</v>
      </c>
    </row>
    <row r="2282" spans="1:10" x14ac:dyDescent="0.25">
      <c r="A2282">
        <v>16</v>
      </c>
      <c r="B2282" s="1">
        <v>41187</v>
      </c>
      <c r="C2282">
        <v>0</v>
      </c>
      <c r="D2282">
        <v>50.46</v>
      </c>
      <c r="E2282">
        <v>3.7789999999999999</v>
      </c>
      <c r="F2282">
        <v>198.8221322</v>
      </c>
      <c r="G2282">
        <v>471281.68</v>
      </c>
      <c r="H2282" t="str">
        <f>TEXT(Ventas[[#This Row],[Fecha_venta]],"dd")</f>
        <v>05</v>
      </c>
      <c r="I2282" t="str">
        <f>TEXT(Ventas[[#This Row],[Fecha_venta]],"m")</f>
        <v>10</v>
      </c>
      <c r="J2282" t="str">
        <f>TEXT(Ventas[[#This Row],[Fecha_venta]],"yyyy")</f>
        <v>2012</v>
      </c>
    </row>
    <row r="2283" spans="1:10" x14ac:dyDescent="0.25">
      <c r="A2283">
        <v>16</v>
      </c>
      <c r="B2283" s="1">
        <v>41194</v>
      </c>
      <c r="C2283">
        <v>0</v>
      </c>
      <c r="D2283">
        <v>43.26</v>
      </c>
      <c r="E2283">
        <v>3.76</v>
      </c>
      <c r="F2283">
        <v>199.0539368</v>
      </c>
      <c r="G2283">
        <v>491817.19</v>
      </c>
      <c r="H2283" t="str">
        <f>TEXT(Ventas[[#This Row],[Fecha_venta]],"dd")</f>
        <v>12</v>
      </c>
      <c r="I2283" t="str">
        <f>TEXT(Ventas[[#This Row],[Fecha_venta]],"m")</f>
        <v>10</v>
      </c>
      <c r="J2283" t="str">
        <f>TEXT(Ventas[[#This Row],[Fecha_venta]],"yyyy")</f>
        <v>2012</v>
      </c>
    </row>
    <row r="2284" spans="1:10" x14ac:dyDescent="0.25">
      <c r="A2284">
        <v>16</v>
      </c>
      <c r="B2284" s="1">
        <v>41201</v>
      </c>
      <c r="C2284">
        <v>0</v>
      </c>
      <c r="D2284">
        <v>40.590000000000003</v>
      </c>
      <c r="E2284">
        <v>3.75</v>
      </c>
      <c r="F2284">
        <v>199.1481963</v>
      </c>
      <c r="G2284">
        <v>577198.97</v>
      </c>
      <c r="H2284" t="str">
        <f>TEXT(Ventas[[#This Row],[Fecha_venta]],"dd")</f>
        <v>19</v>
      </c>
      <c r="I2284" t="str">
        <f>TEXT(Ventas[[#This Row],[Fecha_venta]],"m")</f>
        <v>10</v>
      </c>
      <c r="J2284" t="str">
        <f>TEXT(Ventas[[#This Row],[Fecha_venta]],"yyyy")</f>
        <v>2012</v>
      </c>
    </row>
    <row r="2285" spans="1:10" x14ac:dyDescent="0.25">
      <c r="A2285">
        <v>16</v>
      </c>
      <c r="B2285" s="1">
        <v>41208</v>
      </c>
      <c r="C2285">
        <v>0</v>
      </c>
      <c r="D2285">
        <v>40.99</v>
      </c>
      <c r="E2285">
        <v>3.6859999999999999</v>
      </c>
      <c r="F2285">
        <v>199.2195317</v>
      </c>
      <c r="G2285">
        <v>475770.14</v>
      </c>
      <c r="H2285" t="str">
        <f>TEXT(Ventas[[#This Row],[Fecha_venta]],"dd")</f>
        <v>26</v>
      </c>
      <c r="I2285" t="str">
        <f>TEXT(Ventas[[#This Row],[Fecha_venta]],"m")</f>
        <v>10</v>
      </c>
      <c r="J2285" t="str">
        <f>TEXT(Ventas[[#This Row],[Fecha_venta]],"yyyy")</f>
        <v>2012</v>
      </c>
    </row>
    <row r="2286" spans="1:10" x14ac:dyDescent="0.25">
      <c r="A2286">
        <v>17</v>
      </c>
      <c r="B2286" s="1">
        <v>40214</v>
      </c>
      <c r="C2286">
        <v>0</v>
      </c>
      <c r="D2286">
        <v>23.11</v>
      </c>
      <c r="E2286">
        <v>2.6659999999999999</v>
      </c>
      <c r="F2286">
        <v>126.4420645</v>
      </c>
      <c r="G2286">
        <v>789036.02</v>
      </c>
      <c r="H2286" t="str">
        <f>TEXT(Ventas[[#This Row],[Fecha_venta]],"dd")</f>
        <v>05</v>
      </c>
      <c r="I2286" t="str">
        <f>TEXT(Ventas[[#This Row],[Fecha_venta]],"m")</f>
        <v>2</v>
      </c>
      <c r="J2286" t="str">
        <f>TEXT(Ventas[[#This Row],[Fecha_venta]],"yyyy")</f>
        <v>2010</v>
      </c>
    </row>
    <row r="2287" spans="1:10" x14ac:dyDescent="0.25">
      <c r="A2287">
        <v>17</v>
      </c>
      <c r="B2287" s="1">
        <v>40221</v>
      </c>
      <c r="C2287">
        <v>1</v>
      </c>
      <c r="D2287">
        <v>18.36</v>
      </c>
      <c r="E2287">
        <v>2.6709999999999998</v>
      </c>
      <c r="F2287">
        <v>126.49625810000001</v>
      </c>
      <c r="G2287">
        <v>841951.91</v>
      </c>
      <c r="H2287" t="str">
        <f>TEXT(Ventas[[#This Row],[Fecha_venta]],"dd")</f>
        <v>12</v>
      </c>
      <c r="I2287" t="str">
        <f>TEXT(Ventas[[#This Row],[Fecha_venta]],"m")</f>
        <v>2</v>
      </c>
      <c r="J2287" t="str">
        <f>TEXT(Ventas[[#This Row],[Fecha_venta]],"yyyy")</f>
        <v>2010</v>
      </c>
    </row>
    <row r="2288" spans="1:10" x14ac:dyDescent="0.25">
      <c r="A2288">
        <v>17</v>
      </c>
      <c r="B2288" s="1">
        <v>40228</v>
      </c>
      <c r="C2288">
        <v>0</v>
      </c>
      <c r="D2288">
        <v>25.06</v>
      </c>
      <c r="E2288">
        <v>2.6539999999999999</v>
      </c>
      <c r="F2288">
        <v>126.5262857</v>
      </c>
      <c r="G2288">
        <v>800714</v>
      </c>
      <c r="H2288" t="str">
        <f>TEXT(Ventas[[#This Row],[Fecha_venta]],"dd")</f>
        <v>19</v>
      </c>
      <c r="I2288" t="str">
        <f>TEXT(Ventas[[#This Row],[Fecha_venta]],"m")</f>
        <v>2</v>
      </c>
      <c r="J2288" t="str">
        <f>TEXT(Ventas[[#This Row],[Fecha_venta]],"yyyy")</f>
        <v>2010</v>
      </c>
    </row>
    <row r="2289" spans="1:10" x14ac:dyDescent="0.25">
      <c r="A2289">
        <v>17</v>
      </c>
      <c r="B2289" s="1">
        <v>40235</v>
      </c>
      <c r="C2289">
        <v>0</v>
      </c>
      <c r="D2289">
        <v>15.64</v>
      </c>
      <c r="E2289">
        <v>2.6669999999999998</v>
      </c>
      <c r="F2289">
        <v>126.5522857</v>
      </c>
      <c r="G2289">
        <v>749549.55</v>
      </c>
      <c r="H2289" t="str">
        <f>TEXT(Ventas[[#This Row],[Fecha_venta]],"dd")</f>
        <v>26</v>
      </c>
      <c r="I2289" t="str">
        <f>TEXT(Ventas[[#This Row],[Fecha_venta]],"m")</f>
        <v>2</v>
      </c>
      <c r="J2289" t="str">
        <f>TEXT(Ventas[[#This Row],[Fecha_venta]],"yyyy")</f>
        <v>2010</v>
      </c>
    </row>
    <row r="2290" spans="1:10" x14ac:dyDescent="0.25">
      <c r="A2290">
        <v>17</v>
      </c>
      <c r="B2290" s="1">
        <v>40242</v>
      </c>
      <c r="C2290">
        <v>0</v>
      </c>
      <c r="D2290">
        <v>31.58</v>
      </c>
      <c r="E2290">
        <v>2.681</v>
      </c>
      <c r="F2290">
        <v>126.5782857</v>
      </c>
      <c r="G2290">
        <v>783300.05</v>
      </c>
      <c r="H2290" t="str">
        <f>TEXT(Ventas[[#This Row],[Fecha_venta]],"dd")</f>
        <v>05</v>
      </c>
      <c r="I2290" t="str">
        <f>TEXT(Ventas[[#This Row],[Fecha_venta]],"m")</f>
        <v>3</v>
      </c>
      <c r="J2290" t="str">
        <f>TEXT(Ventas[[#This Row],[Fecha_venta]],"yyyy")</f>
        <v>2010</v>
      </c>
    </row>
    <row r="2291" spans="1:10" x14ac:dyDescent="0.25">
      <c r="A2291">
        <v>17</v>
      </c>
      <c r="B2291" s="1">
        <v>40249</v>
      </c>
      <c r="C2291">
        <v>0</v>
      </c>
      <c r="D2291">
        <v>29.71</v>
      </c>
      <c r="E2291">
        <v>2.7330000000000001</v>
      </c>
      <c r="F2291">
        <v>126.60428570000001</v>
      </c>
      <c r="G2291">
        <v>763961.82</v>
      </c>
      <c r="H2291" t="str">
        <f>TEXT(Ventas[[#This Row],[Fecha_venta]],"dd")</f>
        <v>12</v>
      </c>
      <c r="I2291" t="str">
        <f>TEXT(Ventas[[#This Row],[Fecha_venta]],"m")</f>
        <v>3</v>
      </c>
      <c r="J2291" t="str">
        <f>TEXT(Ventas[[#This Row],[Fecha_venta]],"yyyy")</f>
        <v>2010</v>
      </c>
    </row>
    <row r="2292" spans="1:10" x14ac:dyDescent="0.25">
      <c r="A2292">
        <v>17</v>
      </c>
      <c r="B2292" s="1">
        <v>40256</v>
      </c>
      <c r="C2292">
        <v>0</v>
      </c>
      <c r="D2292">
        <v>33.96</v>
      </c>
      <c r="E2292">
        <v>2.782</v>
      </c>
      <c r="F2292">
        <v>126.6066452</v>
      </c>
      <c r="G2292">
        <v>752034.52</v>
      </c>
      <c r="H2292" t="str">
        <f>TEXT(Ventas[[#This Row],[Fecha_venta]],"dd")</f>
        <v>19</v>
      </c>
      <c r="I2292" t="str">
        <f>TEXT(Ventas[[#This Row],[Fecha_venta]],"m")</f>
        <v>3</v>
      </c>
      <c r="J2292" t="str">
        <f>TEXT(Ventas[[#This Row],[Fecha_venta]],"yyyy")</f>
        <v>2010</v>
      </c>
    </row>
    <row r="2293" spans="1:10" x14ac:dyDescent="0.25">
      <c r="A2293">
        <v>17</v>
      </c>
      <c r="B2293" s="1">
        <v>40263</v>
      </c>
      <c r="C2293">
        <v>0</v>
      </c>
      <c r="D2293">
        <v>35.590000000000003</v>
      </c>
      <c r="E2293">
        <v>2.819</v>
      </c>
      <c r="F2293">
        <v>126.6050645</v>
      </c>
      <c r="G2293">
        <v>793097.64</v>
      </c>
      <c r="H2293" t="str">
        <f>TEXT(Ventas[[#This Row],[Fecha_venta]],"dd")</f>
        <v>26</v>
      </c>
      <c r="I2293" t="str">
        <f>TEXT(Ventas[[#This Row],[Fecha_venta]],"m")</f>
        <v>3</v>
      </c>
      <c r="J2293" t="str">
        <f>TEXT(Ventas[[#This Row],[Fecha_venta]],"yyyy")</f>
        <v>2010</v>
      </c>
    </row>
    <row r="2294" spans="1:10" x14ac:dyDescent="0.25">
      <c r="A2294">
        <v>17</v>
      </c>
      <c r="B2294" s="1">
        <v>40270</v>
      </c>
      <c r="C2294">
        <v>0</v>
      </c>
      <c r="D2294">
        <v>36.94</v>
      </c>
      <c r="E2294">
        <v>2.8420000000000001</v>
      </c>
      <c r="F2294">
        <v>126.6034839</v>
      </c>
      <c r="G2294">
        <v>848521.17</v>
      </c>
      <c r="H2294" t="str">
        <f>TEXT(Ventas[[#This Row],[Fecha_venta]],"dd")</f>
        <v>02</v>
      </c>
      <c r="I2294" t="str">
        <f>TEXT(Ventas[[#This Row],[Fecha_venta]],"m")</f>
        <v>4</v>
      </c>
      <c r="J2294" t="str">
        <f>TEXT(Ventas[[#This Row],[Fecha_venta]],"yyyy")</f>
        <v>2010</v>
      </c>
    </row>
    <row r="2295" spans="1:10" x14ac:dyDescent="0.25">
      <c r="A2295">
        <v>17</v>
      </c>
      <c r="B2295" s="1">
        <v>40277</v>
      </c>
      <c r="C2295">
        <v>0</v>
      </c>
      <c r="D2295">
        <v>34.049999999999997</v>
      </c>
      <c r="E2295">
        <v>2.8769999999999998</v>
      </c>
      <c r="F2295">
        <v>126.6019032</v>
      </c>
      <c r="G2295">
        <v>770228.02</v>
      </c>
      <c r="H2295" t="str">
        <f>TEXT(Ventas[[#This Row],[Fecha_venta]],"dd")</f>
        <v>09</v>
      </c>
      <c r="I2295" t="str">
        <f>TEXT(Ventas[[#This Row],[Fecha_venta]],"m")</f>
        <v>4</v>
      </c>
      <c r="J2295" t="str">
        <f>TEXT(Ventas[[#This Row],[Fecha_venta]],"yyyy")</f>
        <v>2010</v>
      </c>
    </row>
    <row r="2296" spans="1:10" x14ac:dyDescent="0.25">
      <c r="A2296">
        <v>17</v>
      </c>
      <c r="B2296" s="1">
        <v>40284</v>
      </c>
      <c r="C2296">
        <v>0</v>
      </c>
      <c r="D2296">
        <v>45.22</v>
      </c>
      <c r="E2296">
        <v>2.915</v>
      </c>
      <c r="F2296">
        <v>126.5621</v>
      </c>
      <c r="G2296">
        <v>757738.76</v>
      </c>
      <c r="H2296" t="str">
        <f>TEXT(Ventas[[#This Row],[Fecha_venta]],"dd")</f>
        <v>16</v>
      </c>
      <c r="I2296" t="str">
        <f>TEXT(Ventas[[#This Row],[Fecha_venta]],"m")</f>
        <v>4</v>
      </c>
      <c r="J2296" t="str">
        <f>TEXT(Ventas[[#This Row],[Fecha_venta]],"yyyy")</f>
        <v>2010</v>
      </c>
    </row>
    <row r="2297" spans="1:10" x14ac:dyDescent="0.25">
      <c r="A2297">
        <v>17</v>
      </c>
      <c r="B2297" s="1">
        <v>40291</v>
      </c>
      <c r="C2297">
        <v>0</v>
      </c>
      <c r="D2297">
        <v>52.25</v>
      </c>
      <c r="E2297">
        <v>2.9359999999999999</v>
      </c>
      <c r="F2297">
        <v>126.4713333</v>
      </c>
      <c r="G2297">
        <v>977790.83</v>
      </c>
      <c r="H2297" t="str">
        <f>TEXT(Ventas[[#This Row],[Fecha_venta]],"dd")</f>
        <v>23</v>
      </c>
      <c r="I2297" t="str">
        <f>TEXT(Ventas[[#This Row],[Fecha_venta]],"m")</f>
        <v>4</v>
      </c>
      <c r="J2297" t="str">
        <f>TEXT(Ventas[[#This Row],[Fecha_venta]],"yyyy")</f>
        <v>2010</v>
      </c>
    </row>
    <row r="2298" spans="1:10" x14ac:dyDescent="0.25">
      <c r="A2298">
        <v>17</v>
      </c>
      <c r="B2298" s="1">
        <v>40298</v>
      </c>
      <c r="C2298">
        <v>0</v>
      </c>
      <c r="D2298">
        <v>43.82</v>
      </c>
      <c r="E2298">
        <v>2.9409999999999998</v>
      </c>
      <c r="F2298">
        <v>126.3805667</v>
      </c>
      <c r="G2298">
        <v>807798.73</v>
      </c>
      <c r="H2298" t="str">
        <f>TEXT(Ventas[[#This Row],[Fecha_venta]],"dd")</f>
        <v>30</v>
      </c>
      <c r="I2298" t="str">
        <f>TEXT(Ventas[[#This Row],[Fecha_venta]],"m")</f>
        <v>4</v>
      </c>
      <c r="J2298" t="str">
        <f>TEXT(Ventas[[#This Row],[Fecha_venta]],"yyyy")</f>
        <v>2010</v>
      </c>
    </row>
    <row r="2299" spans="1:10" x14ac:dyDescent="0.25">
      <c r="A2299">
        <v>17</v>
      </c>
      <c r="B2299" s="1">
        <v>40305</v>
      </c>
      <c r="C2299">
        <v>0</v>
      </c>
      <c r="D2299">
        <v>40.26</v>
      </c>
      <c r="E2299">
        <v>2.948</v>
      </c>
      <c r="F2299">
        <v>126.2898</v>
      </c>
      <c r="G2299">
        <v>843848.65</v>
      </c>
      <c r="H2299" t="str">
        <f>TEXT(Ventas[[#This Row],[Fecha_venta]],"dd")</f>
        <v>07</v>
      </c>
      <c r="I2299" t="str">
        <f>TEXT(Ventas[[#This Row],[Fecha_venta]],"m")</f>
        <v>5</v>
      </c>
      <c r="J2299" t="str">
        <f>TEXT(Ventas[[#This Row],[Fecha_venta]],"yyyy")</f>
        <v>2010</v>
      </c>
    </row>
    <row r="2300" spans="1:10" x14ac:dyDescent="0.25">
      <c r="A2300">
        <v>17</v>
      </c>
      <c r="B2300" s="1">
        <v>40312</v>
      </c>
      <c r="C2300">
        <v>0</v>
      </c>
      <c r="D2300">
        <v>47.28</v>
      </c>
      <c r="E2300">
        <v>2.9620000000000002</v>
      </c>
      <c r="F2300">
        <v>126.2085484</v>
      </c>
      <c r="G2300">
        <v>813756.09</v>
      </c>
      <c r="H2300" t="str">
        <f>TEXT(Ventas[[#This Row],[Fecha_venta]],"dd")</f>
        <v>14</v>
      </c>
      <c r="I2300" t="str">
        <f>TEXT(Ventas[[#This Row],[Fecha_venta]],"m")</f>
        <v>5</v>
      </c>
      <c r="J2300" t="str">
        <f>TEXT(Ventas[[#This Row],[Fecha_venta]],"yyyy")</f>
        <v>2010</v>
      </c>
    </row>
    <row r="2301" spans="1:10" x14ac:dyDescent="0.25">
      <c r="A2301">
        <v>17</v>
      </c>
      <c r="B2301" s="1">
        <v>40319</v>
      </c>
      <c r="C2301">
        <v>0</v>
      </c>
      <c r="D2301">
        <v>53.94</v>
      </c>
      <c r="E2301">
        <v>2.95</v>
      </c>
      <c r="F2301">
        <v>126.1843871</v>
      </c>
      <c r="G2301">
        <v>826626.5</v>
      </c>
      <c r="H2301" t="str">
        <f>TEXT(Ventas[[#This Row],[Fecha_venta]],"dd")</f>
        <v>21</v>
      </c>
      <c r="I2301" t="str">
        <f>TEXT(Ventas[[#This Row],[Fecha_venta]],"m")</f>
        <v>5</v>
      </c>
      <c r="J2301" t="str">
        <f>TEXT(Ventas[[#This Row],[Fecha_venta]],"yyyy")</f>
        <v>2010</v>
      </c>
    </row>
    <row r="2302" spans="1:10" x14ac:dyDescent="0.25">
      <c r="A2302">
        <v>17</v>
      </c>
      <c r="B2302" s="1">
        <v>40326</v>
      </c>
      <c r="C2302">
        <v>0</v>
      </c>
      <c r="D2302">
        <v>48.19</v>
      </c>
      <c r="E2302">
        <v>2.9079999999999999</v>
      </c>
      <c r="F2302">
        <v>126.16022580000001</v>
      </c>
      <c r="G2302">
        <v>872817.62</v>
      </c>
      <c r="H2302" t="str">
        <f>TEXT(Ventas[[#This Row],[Fecha_venta]],"dd")</f>
        <v>28</v>
      </c>
      <c r="I2302" t="str">
        <f>TEXT(Ventas[[#This Row],[Fecha_venta]],"m")</f>
        <v>5</v>
      </c>
      <c r="J2302" t="str">
        <f>TEXT(Ventas[[#This Row],[Fecha_venta]],"yyyy")</f>
        <v>2010</v>
      </c>
    </row>
    <row r="2303" spans="1:10" x14ac:dyDescent="0.25">
      <c r="A2303">
        <v>17</v>
      </c>
      <c r="B2303" s="1">
        <v>40333</v>
      </c>
      <c r="C2303">
        <v>0</v>
      </c>
      <c r="D2303">
        <v>53.79</v>
      </c>
      <c r="E2303">
        <v>2.871</v>
      </c>
      <c r="F2303">
        <v>126.1360645</v>
      </c>
      <c r="G2303">
        <v>876902.87</v>
      </c>
      <c r="H2303" t="str">
        <f>TEXT(Ventas[[#This Row],[Fecha_venta]],"dd")</f>
        <v>04</v>
      </c>
      <c r="I2303" t="str">
        <f>TEXT(Ventas[[#This Row],[Fecha_venta]],"m")</f>
        <v>6</v>
      </c>
      <c r="J2303" t="str">
        <f>TEXT(Ventas[[#This Row],[Fecha_venta]],"yyyy")</f>
        <v>2010</v>
      </c>
    </row>
    <row r="2304" spans="1:10" x14ac:dyDescent="0.25">
      <c r="A2304">
        <v>17</v>
      </c>
      <c r="B2304" s="1">
        <v>40340</v>
      </c>
      <c r="C2304">
        <v>0</v>
      </c>
      <c r="D2304">
        <v>57.14</v>
      </c>
      <c r="E2304">
        <v>2.8410000000000002</v>
      </c>
      <c r="F2304">
        <v>126.1119032</v>
      </c>
      <c r="G2304">
        <v>845252.21</v>
      </c>
      <c r="H2304" t="str">
        <f>TEXT(Ventas[[#This Row],[Fecha_venta]],"dd")</f>
        <v>11</v>
      </c>
      <c r="I2304" t="str">
        <f>TEXT(Ventas[[#This Row],[Fecha_venta]],"m")</f>
        <v>6</v>
      </c>
      <c r="J2304" t="str">
        <f>TEXT(Ventas[[#This Row],[Fecha_venta]],"yyyy")</f>
        <v>2010</v>
      </c>
    </row>
    <row r="2305" spans="1:10" x14ac:dyDescent="0.25">
      <c r="A2305">
        <v>17</v>
      </c>
      <c r="B2305" s="1">
        <v>40347</v>
      </c>
      <c r="C2305">
        <v>0</v>
      </c>
      <c r="D2305">
        <v>54.94</v>
      </c>
      <c r="E2305">
        <v>2.819</v>
      </c>
      <c r="F2305">
        <v>126.114</v>
      </c>
      <c r="G2305">
        <v>877996.27</v>
      </c>
      <c r="H2305" t="str">
        <f>TEXT(Ventas[[#This Row],[Fecha_venta]],"dd")</f>
        <v>18</v>
      </c>
      <c r="I2305" t="str">
        <f>TEXT(Ventas[[#This Row],[Fecha_venta]],"m")</f>
        <v>6</v>
      </c>
      <c r="J2305" t="str">
        <f>TEXT(Ventas[[#This Row],[Fecha_venta]],"yyyy")</f>
        <v>2010</v>
      </c>
    </row>
    <row r="2306" spans="1:10" x14ac:dyDescent="0.25">
      <c r="A2306">
        <v>17</v>
      </c>
      <c r="B2306" s="1">
        <v>40354</v>
      </c>
      <c r="C2306">
        <v>0</v>
      </c>
      <c r="D2306">
        <v>62.64</v>
      </c>
      <c r="E2306">
        <v>2.82</v>
      </c>
      <c r="F2306">
        <v>126.1266</v>
      </c>
      <c r="G2306">
        <v>893995.44</v>
      </c>
      <c r="H2306" t="str">
        <f>TEXT(Ventas[[#This Row],[Fecha_venta]],"dd")</f>
        <v>25</v>
      </c>
      <c r="I2306" t="str">
        <f>TEXT(Ventas[[#This Row],[Fecha_venta]],"m")</f>
        <v>6</v>
      </c>
      <c r="J2306" t="str">
        <f>TEXT(Ventas[[#This Row],[Fecha_venta]],"yyyy")</f>
        <v>2010</v>
      </c>
    </row>
    <row r="2307" spans="1:10" x14ac:dyDescent="0.25">
      <c r="A2307">
        <v>17</v>
      </c>
      <c r="B2307" s="1">
        <v>40361</v>
      </c>
      <c r="C2307">
        <v>0</v>
      </c>
      <c r="D2307">
        <v>68.98</v>
      </c>
      <c r="E2307">
        <v>2.8140000000000001</v>
      </c>
      <c r="F2307">
        <v>126.1392</v>
      </c>
      <c r="G2307">
        <v>958875.37</v>
      </c>
      <c r="H2307" t="str">
        <f>TEXT(Ventas[[#This Row],[Fecha_venta]],"dd")</f>
        <v>02</v>
      </c>
      <c r="I2307" t="str">
        <f>TEXT(Ventas[[#This Row],[Fecha_venta]],"m")</f>
        <v>7</v>
      </c>
      <c r="J2307" t="str">
        <f>TEXT(Ventas[[#This Row],[Fecha_venta]],"yyyy")</f>
        <v>2010</v>
      </c>
    </row>
    <row r="2308" spans="1:10" x14ac:dyDescent="0.25">
      <c r="A2308">
        <v>17</v>
      </c>
      <c r="B2308" s="1">
        <v>40368</v>
      </c>
      <c r="C2308">
        <v>0</v>
      </c>
      <c r="D2308">
        <v>62.41</v>
      </c>
      <c r="E2308">
        <v>2.802</v>
      </c>
      <c r="F2308">
        <v>126.15179999999999</v>
      </c>
      <c r="G2308">
        <v>836915.92</v>
      </c>
      <c r="H2308" t="str">
        <f>TEXT(Ventas[[#This Row],[Fecha_venta]],"dd")</f>
        <v>09</v>
      </c>
      <c r="I2308" t="str">
        <f>TEXT(Ventas[[#This Row],[Fecha_venta]],"m")</f>
        <v>7</v>
      </c>
      <c r="J2308" t="str">
        <f>TEXT(Ventas[[#This Row],[Fecha_venta]],"yyyy")</f>
        <v>2010</v>
      </c>
    </row>
    <row r="2309" spans="1:10" x14ac:dyDescent="0.25">
      <c r="A2309">
        <v>17</v>
      </c>
      <c r="B2309" s="1">
        <v>40375</v>
      </c>
      <c r="C2309">
        <v>0</v>
      </c>
      <c r="D2309">
        <v>65.66</v>
      </c>
      <c r="E2309">
        <v>2.7909999999999999</v>
      </c>
      <c r="F2309">
        <v>126.1498065</v>
      </c>
      <c r="G2309">
        <v>876591.41</v>
      </c>
      <c r="H2309" t="str">
        <f>TEXT(Ventas[[#This Row],[Fecha_venta]],"dd")</f>
        <v>16</v>
      </c>
      <c r="I2309" t="str">
        <f>TEXT(Ventas[[#This Row],[Fecha_venta]],"m")</f>
        <v>7</v>
      </c>
      <c r="J2309" t="str">
        <f>TEXT(Ventas[[#This Row],[Fecha_venta]],"yyyy")</f>
        <v>2010</v>
      </c>
    </row>
    <row r="2310" spans="1:10" x14ac:dyDescent="0.25">
      <c r="A2310">
        <v>17</v>
      </c>
      <c r="B2310" s="1">
        <v>40382</v>
      </c>
      <c r="C2310">
        <v>0</v>
      </c>
      <c r="D2310">
        <v>69.66</v>
      </c>
      <c r="E2310">
        <v>2.7970000000000002</v>
      </c>
      <c r="F2310">
        <v>126.1283548</v>
      </c>
      <c r="G2310">
        <v>893504.87</v>
      </c>
      <c r="H2310" t="str">
        <f>TEXT(Ventas[[#This Row],[Fecha_venta]],"dd")</f>
        <v>23</v>
      </c>
      <c r="I2310" t="str">
        <f>TEXT(Ventas[[#This Row],[Fecha_venta]],"m")</f>
        <v>7</v>
      </c>
      <c r="J2310" t="str">
        <f>TEXT(Ventas[[#This Row],[Fecha_venta]],"yyyy")</f>
        <v>2010</v>
      </c>
    </row>
    <row r="2311" spans="1:10" x14ac:dyDescent="0.25">
      <c r="A2311">
        <v>17</v>
      </c>
      <c r="B2311" s="1">
        <v>40389</v>
      </c>
      <c r="C2311">
        <v>0</v>
      </c>
      <c r="D2311">
        <v>69.959999999999994</v>
      </c>
      <c r="E2311">
        <v>2.7970000000000002</v>
      </c>
      <c r="F2311">
        <v>126.1069032</v>
      </c>
      <c r="G2311">
        <v>833517.19</v>
      </c>
      <c r="H2311" t="str">
        <f>TEXT(Ventas[[#This Row],[Fecha_venta]],"dd")</f>
        <v>30</v>
      </c>
      <c r="I2311" t="str">
        <f>TEXT(Ventas[[#This Row],[Fecha_venta]],"m")</f>
        <v>7</v>
      </c>
      <c r="J2311" t="str">
        <f>TEXT(Ventas[[#This Row],[Fecha_venta]],"yyyy")</f>
        <v>2010</v>
      </c>
    </row>
    <row r="2312" spans="1:10" x14ac:dyDescent="0.25">
      <c r="A2312">
        <v>17</v>
      </c>
      <c r="B2312" s="1">
        <v>40396</v>
      </c>
      <c r="C2312">
        <v>0</v>
      </c>
      <c r="D2312">
        <v>70.53</v>
      </c>
      <c r="E2312">
        <v>2.802</v>
      </c>
      <c r="F2312">
        <v>126.0854516</v>
      </c>
      <c r="G2312">
        <v>795301.17</v>
      </c>
      <c r="H2312" t="str">
        <f>TEXT(Ventas[[#This Row],[Fecha_venta]],"dd")</f>
        <v>06</v>
      </c>
      <c r="I2312" t="str">
        <f>TEXT(Ventas[[#This Row],[Fecha_venta]],"m")</f>
        <v>8</v>
      </c>
      <c r="J2312" t="str">
        <f>TEXT(Ventas[[#This Row],[Fecha_venta]],"yyyy")</f>
        <v>2010</v>
      </c>
    </row>
    <row r="2313" spans="1:10" x14ac:dyDescent="0.25">
      <c r="A2313">
        <v>17</v>
      </c>
      <c r="B2313" s="1">
        <v>40403</v>
      </c>
      <c r="C2313">
        <v>0</v>
      </c>
      <c r="D2313">
        <v>65.17</v>
      </c>
      <c r="E2313">
        <v>2.8370000000000002</v>
      </c>
      <c r="F2313">
        <v>126.06399999999999</v>
      </c>
      <c r="G2313">
        <v>759995.18</v>
      </c>
      <c r="H2313" t="str">
        <f>TEXT(Ventas[[#This Row],[Fecha_venta]],"dd")</f>
        <v>13</v>
      </c>
      <c r="I2313" t="str">
        <f>TEXT(Ventas[[#This Row],[Fecha_venta]],"m")</f>
        <v>8</v>
      </c>
      <c r="J2313" t="str">
        <f>TEXT(Ventas[[#This Row],[Fecha_venta]],"yyyy")</f>
        <v>2010</v>
      </c>
    </row>
    <row r="2314" spans="1:10" x14ac:dyDescent="0.25">
      <c r="A2314">
        <v>17</v>
      </c>
      <c r="B2314" s="1">
        <v>40410</v>
      </c>
      <c r="C2314">
        <v>0</v>
      </c>
      <c r="D2314">
        <v>67.040000000000006</v>
      </c>
      <c r="E2314">
        <v>2.85</v>
      </c>
      <c r="F2314">
        <v>126.0766452</v>
      </c>
      <c r="G2314">
        <v>783929.7</v>
      </c>
      <c r="H2314" t="str">
        <f>TEXT(Ventas[[#This Row],[Fecha_venta]],"dd")</f>
        <v>20</v>
      </c>
      <c r="I2314" t="str">
        <f>TEXT(Ventas[[#This Row],[Fecha_venta]],"m")</f>
        <v>8</v>
      </c>
      <c r="J2314" t="str">
        <f>TEXT(Ventas[[#This Row],[Fecha_venta]],"yyyy")</f>
        <v>2010</v>
      </c>
    </row>
    <row r="2315" spans="1:10" x14ac:dyDescent="0.25">
      <c r="A2315">
        <v>17</v>
      </c>
      <c r="B2315" s="1">
        <v>40417</v>
      </c>
      <c r="C2315">
        <v>0</v>
      </c>
      <c r="D2315">
        <v>65.03</v>
      </c>
      <c r="E2315">
        <v>2.8540000000000001</v>
      </c>
      <c r="F2315">
        <v>126.0892903</v>
      </c>
      <c r="G2315">
        <v>802583.89</v>
      </c>
      <c r="H2315" t="str">
        <f>TEXT(Ventas[[#This Row],[Fecha_venta]],"dd")</f>
        <v>27</v>
      </c>
      <c r="I2315" t="str">
        <f>TEXT(Ventas[[#This Row],[Fecha_venta]],"m")</f>
        <v>8</v>
      </c>
      <c r="J2315" t="str">
        <f>TEXT(Ventas[[#This Row],[Fecha_venta]],"yyyy")</f>
        <v>2010</v>
      </c>
    </row>
    <row r="2316" spans="1:10" x14ac:dyDescent="0.25">
      <c r="A2316">
        <v>17</v>
      </c>
      <c r="B2316" s="1">
        <v>40424</v>
      </c>
      <c r="C2316">
        <v>0</v>
      </c>
      <c r="D2316">
        <v>57.86</v>
      </c>
      <c r="E2316">
        <v>2.8679999999999999</v>
      </c>
      <c r="F2316">
        <v>126.1019355</v>
      </c>
      <c r="G2316">
        <v>834373.73</v>
      </c>
      <c r="H2316" t="str">
        <f>TEXT(Ventas[[#This Row],[Fecha_venta]],"dd")</f>
        <v>03</v>
      </c>
      <c r="I2316" t="str">
        <f>TEXT(Ventas[[#This Row],[Fecha_venta]],"m")</f>
        <v>9</v>
      </c>
      <c r="J2316" t="str">
        <f>TEXT(Ventas[[#This Row],[Fecha_venta]],"yyyy")</f>
        <v>2010</v>
      </c>
    </row>
    <row r="2317" spans="1:10" x14ac:dyDescent="0.25">
      <c r="A2317">
        <v>17</v>
      </c>
      <c r="B2317" s="1">
        <v>40431</v>
      </c>
      <c r="C2317">
        <v>1</v>
      </c>
      <c r="D2317">
        <v>56.28</v>
      </c>
      <c r="E2317">
        <v>2.87</v>
      </c>
      <c r="F2317">
        <v>126.1145806</v>
      </c>
      <c r="G2317">
        <v>1200888.28</v>
      </c>
      <c r="H2317" t="str">
        <f>TEXT(Ventas[[#This Row],[Fecha_venta]],"dd")</f>
        <v>10</v>
      </c>
      <c r="I2317" t="str">
        <f>TEXT(Ventas[[#This Row],[Fecha_venta]],"m")</f>
        <v>9</v>
      </c>
      <c r="J2317" t="str">
        <f>TEXT(Ventas[[#This Row],[Fecha_venta]],"yyyy")</f>
        <v>2010</v>
      </c>
    </row>
    <row r="2318" spans="1:10" x14ac:dyDescent="0.25">
      <c r="A2318">
        <v>17</v>
      </c>
      <c r="B2318" s="1">
        <v>40438</v>
      </c>
      <c r="C2318">
        <v>0</v>
      </c>
      <c r="D2318">
        <v>58.53</v>
      </c>
      <c r="E2318">
        <v>2.875</v>
      </c>
      <c r="F2318">
        <v>126.1454667</v>
      </c>
      <c r="G2318">
        <v>871264.25</v>
      </c>
      <c r="H2318" t="str">
        <f>TEXT(Ventas[[#This Row],[Fecha_venta]],"dd")</f>
        <v>17</v>
      </c>
      <c r="I2318" t="str">
        <f>TEXT(Ventas[[#This Row],[Fecha_venta]],"m")</f>
        <v>9</v>
      </c>
      <c r="J2318" t="str">
        <f>TEXT(Ventas[[#This Row],[Fecha_venta]],"yyyy")</f>
        <v>2010</v>
      </c>
    </row>
    <row r="2319" spans="1:10" x14ac:dyDescent="0.25">
      <c r="A2319">
        <v>17</v>
      </c>
      <c r="B2319" s="1">
        <v>40445</v>
      </c>
      <c r="C2319">
        <v>0</v>
      </c>
      <c r="D2319">
        <v>58.39</v>
      </c>
      <c r="E2319">
        <v>2.8719999999999999</v>
      </c>
      <c r="F2319">
        <v>126.1900333</v>
      </c>
      <c r="G2319">
        <v>852876.29</v>
      </c>
      <c r="H2319" t="str">
        <f>TEXT(Ventas[[#This Row],[Fecha_venta]],"dd")</f>
        <v>24</v>
      </c>
      <c r="I2319" t="str">
        <f>TEXT(Ventas[[#This Row],[Fecha_venta]],"m")</f>
        <v>9</v>
      </c>
      <c r="J2319" t="str">
        <f>TEXT(Ventas[[#This Row],[Fecha_venta]],"yyyy")</f>
        <v>2010</v>
      </c>
    </row>
    <row r="2320" spans="1:10" x14ac:dyDescent="0.25">
      <c r="A2320">
        <v>17</v>
      </c>
      <c r="B2320" s="1">
        <v>40452</v>
      </c>
      <c r="C2320">
        <v>0</v>
      </c>
      <c r="D2320">
        <v>60.07</v>
      </c>
      <c r="E2320">
        <v>2.8530000000000002</v>
      </c>
      <c r="F2320">
        <v>126.2346</v>
      </c>
      <c r="G2320">
        <v>829207.27</v>
      </c>
      <c r="H2320" t="str">
        <f>TEXT(Ventas[[#This Row],[Fecha_venta]],"dd")</f>
        <v>01</v>
      </c>
      <c r="I2320" t="str">
        <f>TEXT(Ventas[[#This Row],[Fecha_venta]],"m")</f>
        <v>10</v>
      </c>
      <c r="J2320" t="str">
        <f>TEXT(Ventas[[#This Row],[Fecha_venta]],"yyyy")</f>
        <v>2010</v>
      </c>
    </row>
    <row r="2321" spans="1:10" x14ac:dyDescent="0.25">
      <c r="A2321">
        <v>17</v>
      </c>
      <c r="B2321" s="1">
        <v>40459</v>
      </c>
      <c r="C2321">
        <v>0</v>
      </c>
      <c r="D2321">
        <v>58.06</v>
      </c>
      <c r="E2321">
        <v>2.8410000000000002</v>
      </c>
      <c r="F2321">
        <v>126.2791667</v>
      </c>
      <c r="G2321">
        <v>827738.06</v>
      </c>
      <c r="H2321" t="str">
        <f>TEXT(Ventas[[#This Row],[Fecha_venta]],"dd")</f>
        <v>08</v>
      </c>
      <c r="I2321" t="str">
        <f>TEXT(Ventas[[#This Row],[Fecha_venta]],"m")</f>
        <v>10</v>
      </c>
      <c r="J2321" t="str">
        <f>TEXT(Ventas[[#This Row],[Fecha_venta]],"yyyy")</f>
        <v>2010</v>
      </c>
    </row>
    <row r="2322" spans="1:10" x14ac:dyDescent="0.25">
      <c r="A2322">
        <v>17</v>
      </c>
      <c r="B2322" s="1">
        <v>40466</v>
      </c>
      <c r="C2322">
        <v>0</v>
      </c>
      <c r="D2322">
        <v>47.35</v>
      </c>
      <c r="E2322">
        <v>2.8450000000000002</v>
      </c>
      <c r="F2322">
        <v>126.32667739999999</v>
      </c>
      <c r="G2322">
        <v>838297.32</v>
      </c>
      <c r="H2322" t="str">
        <f>TEXT(Ventas[[#This Row],[Fecha_venta]],"dd")</f>
        <v>15</v>
      </c>
      <c r="I2322" t="str">
        <f>TEXT(Ventas[[#This Row],[Fecha_venta]],"m")</f>
        <v>10</v>
      </c>
      <c r="J2322" t="str">
        <f>TEXT(Ventas[[#This Row],[Fecha_venta]],"yyyy")</f>
        <v>2010</v>
      </c>
    </row>
    <row r="2323" spans="1:10" x14ac:dyDescent="0.25">
      <c r="A2323">
        <v>17</v>
      </c>
      <c r="B2323" s="1">
        <v>40473</v>
      </c>
      <c r="C2323">
        <v>0</v>
      </c>
      <c r="D2323">
        <v>47.95</v>
      </c>
      <c r="E2323">
        <v>2.8490000000000002</v>
      </c>
      <c r="F2323">
        <v>126.3815484</v>
      </c>
      <c r="G2323">
        <v>815093.76000000001</v>
      </c>
      <c r="H2323" t="str">
        <f>TEXT(Ventas[[#This Row],[Fecha_venta]],"dd")</f>
        <v>22</v>
      </c>
      <c r="I2323" t="str">
        <f>TEXT(Ventas[[#This Row],[Fecha_venta]],"m")</f>
        <v>10</v>
      </c>
      <c r="J2323" t="str">
        <f>TEXT(Ventas[[#This Row],[Fecha_venta]],"yyyy")</f>
        <v>2010</v>
      </c>
    </row>
    <row r="2324" spans="1:10" x14ac:dyDescent="0.25">
      <c r="A2324">
        <v>17</v>
      </c>
      <c r="B2324" s="1">
        <v>40480</v>
      </c>
      <c r="C2324">
        <v>0</v>
      </c>
      <c r="D2324">
        <v>39.869999999999997</v>
      </c>
      <c r="E2324">
        <v>2.8410000000000002</v>
      </c>
      <c r="F2324">
        <v>126.43641940000001</v>
      </c>
      <c r="G2324">
        <v>861941.25</v>
      </c>
      <c r="H2324" t="str">
        <f>TEXT(Ventas[[#This Row],[Fecha_venta]],"dd")</f>
        <v>29</v>
      </c>
      <c r="I2324" t="str">
        <f>TEXT(Ventas[[#This Row],[Fecha_venta]],"m")</f>
        <v>10</v>
      </c>
      <c r="J2324" t="str">
        <f>TEXT(Ventas[[#This Row],[Fecha_venta]],"yyyy")</f>
        <v>2010</v>
      </c>
    </row>
    <row r="2325" spans="1:10" x14ac:dyDescent="0.25">
      <c r="A2325">
        <v>17</v>
      </c>
      <c r="B2325" s="1">
        <v>40487</v>
      </c>
      <c r="C2325">
        <v>0</v>
      </c>
      <c r="D2325">
        <v>42.54</v>
      </c>
      <c r="E2325">
        <v>2.831</v>
      </c>
      <c r="F2325">
        <v>126.4912903</v>
      </c>
      <c r="G2325">
        <v>818434.49</v>
      </c>
      <c r="H2325" t="str">
        <f>TEXT(Ventas[[#This Row],[Fecha_venta]],"dd")</f>
        <v>05</v>
      </c>
      <c r="I2325" t="str">
        <f>TEXT(Ventas[[#This Row],[Fecha_venta]],"m")</f>
        <v>11</v>
      </c>
      <c r="J2325" t="str">
        <f>TEXT(Ventas[[#This Row],[Fecha_venta]],"yyyy")</f>
        <v>2010</v>
      </c>
    </row>
    <row r="2326" spans="1:10" x14ac:dyDescent="0.25">
      <c r="A2326">
        <v>17</v>
      </c>
      <c r="B2326" s="1">
        <v>40494</v>
      </c>
      <c r="C2326">
        <v>0</v>
      </c>
      <c r="D2326">
        <v>36.32</v>
      </c>
      <c r="E2326">
        <v>2.831</v>
      </c>
      <c r="F2326">
        <v>126.54616129999999</v>
      </c>
      <c r="G2326">
        <v>855459.96</v>
      </c>
      <c r="H2326" t="str">
        <f>TEXT(Ventas[[#This Row],[Fecha_venta]],"dd")</f>
        <v>12</v>
      </c>
      <c r="I2326" t="str">
        <f>TEXT(Ventas[[#This Row],[Fecha_venta]],"m")</f>
        <v>11</v>
      </c>
      <c r="J2326" t="str">
        <f>TEXT(Ventas[[#This Row],[Fecha_venta]],"yyyy")</f>
        <v>2010</v>
      </c>
    </row>
    <row r="2327" spans="1:10" x14ac:dyDescent="0.25">
      <c r="A2327">
        <v>17</v>
      </c>
      <c r="B2327" s="1">
        <v>40501</v>
      </c>
      <c r="C2327">
        <v>0</v>
      </c>
      <c r="D2327">
        <v>36.31</v>
      </c>
      <c r="E2327">
        <v>2.8420000000000001</v>
      </c>
      <c r="F2327">
        <v>126.60720000000001</v>
      </c>
      <c r="G2327">
        <v>782252.57</v>
      </c>
      <c r="H2327" t="str">
        <f>TEXT(Ventas[[#This Row],[Fecha_venta]],"dd")</f>
        <v>19</v>
      </c>
      <c r="I2327" t="str">
        <f>TEXT(Ventas[[#This Row],[Fecha_venta]],"m")</f>
        <v>11</v>
      </c>
      <c r="J2327" t="str">
        <f>TEXT(Ventas[[#This Row],[Fecha_venta]],"yyyy")</f>
        <v>2010</v>
      </c>
    </row>
    <row r="2328" spans="1:10" x14ac:dyDescent="0.25">
      <c r="A2328">
        <v>17</v>
      </c>
      <c r="B2328" s="1">
        <v>40508</v>
      </c>
      <c r="C2328">
        <v>1</v>
      </c>
      <c r="D2328">
        <v>19.03</v>
      </c>
      <c r="E2328">
        <v>2.83</v>
      </c>
      <c r="F2328">
        <v>126.66926669999999</v>
      </c>
      <c r="G2328">
        <v>1005448.76</v>
      </c>
      <c r="H2328" t="str">
        <f>TEXT(Ventas[[#This Row],[Fecha_venta]],"dd")</f>
        <v>26</v>
      </c>
      <c r="I2328" t="str">
        <f>TEXT(Ventas[[#This Row],[Fecha_venta]],"m")</f>
        <v>11</v>
      </c>
      <c r="J2328" t="str">
        <f>TEXT(Ventas[[#This Row],[Fecha_venta]],"yyyy")</f>
        <v>2010</v>
      </c>
    </row>
    <row r="2329" spans="1:10" x14ac:dyDescent="0.25">
      <c r="A2329">
        <v>17</v>
      </c>
      <c r="B2329" s="1">
        <v>40515</v>
      </c>
      <c r="C2329">
        <v>0</v>
      </c>
      <c r="D2329">
        <v>22.47</v>
      </c>
      <c r="E2329">
        <v>2.8119999999999998</v>
      </c>
      <c r="F2329">
        <v>126.7313333</v>
      </c>
      <c r="G2329">
        <v>926573.81</v>
      </c>
      <c r="H2329" t="str">
        <f>TEXT(Ventas[[#This Row],[Fecha_venta]],"dd")</f>
        <v>03</v>
      </c>
      <c r="I2329" t="str">
        <f>TEXT(Ventas[[#This Row],[Fecha_venta]],"m")</f>
        <v>12</v>
      </c>
      <c r="J2329" t="str">
        <f>TEXT(Ventas[[#This Row],[Fecha_venta]],"yyyy")</f>
        <v>2010</v>
      </c>
    </row>
    <row r="2330" spans="1:10" x14ac:dyDescent="0.25">
      <c r="A2330">
        <v>17</v>
      </c>
      <c r="B2330" s="1">
        <v>40522</v>
      </c>
      <c r="C2330">
        <v>0</v>
      </c>
      <c r="D2330">
        <v>31.64</v>
      </c>
      <c r="E2330">
        <v>2.8170000000000002</v>
      </c>
      <c r="F2330">
        <v>126.79340000000001</v>
      </c>
      <c r="G2330">
        <v>962475.55</v>
      </c>
      <c r="H2330" t="str">
        <f>TEXT(Ventas[[#This Row],[Fecha_venta]],"dd")</f>
        <v>10</v>
      </c>
      <c r="I2330" t="str">
        <f>TEXT(Ventas[[#This Row],[Fecha_venta]],"m")</f>
        <v>12</v>
      </c>
      <c r="J2330" t="str">
        <f>TEXT(Ventas[[#This Row],[Fecha_venta]],"yyyy")</f>
        <v>2010</v>
      </c>
    </row>
    <row r="2331" spans="1:10" x14ac:dyDescent="0.25">
      <c r="A2331">
        <v>17</v>
      </c>
      <c r="B2331" s="1">
        <v>40529</v>
      </c>
      <c r="C2331">
        <v>0</v>
      </c>
      <c r="D2331">
        <v>25.13</v>
      </c>
      <c r="E2331">
        <v>2.8420000000000001</v>
      </c>
      <c r="F2331">
        <v>126.8794839</v>
      </c>
      <c r="G2331">
        <v>1049372.3799999999</v>
      </c>
      <c r="H2331" t="str">
        <f>TEXT(Ventas[[#This Row],[Fecha_venta]],"dd")</f>
        <v>17</v>
      </c>
      <c r="I2331" t="str">
        <f>TEXT(Ventas[[#This Row],[Fecha_venta]],"m")</f>
        <v>12</v>
      </c>
      <c r="J2331" t="str">
        <f>TEXT(Ventas[[#This Row],[Fecha_venta]],"yyyy")</f>
        <v>2010</v>
      </c>
    </row>
    <row r="2332" spans="1:10" x14ac:dyDescent="0.25">
      <c r="A2332">
        <v>17</v>
      </c>
      <c r="B2332" s="1">
        <v>40536</v>
      </c>
      <c r="C2332">
        <v>0</v>
      </c>
      <c r="D2332">
        <v>26.58</v>
      </c>
      <c r="E2332">
        <v>2.8460000000000001</v>
      </c>
      <c r="F2332">
        <v>126.9835806</v>
      </c>
      <c r="G2332">
        <v>1309226.79</v>
      </c>
      <c r="H2332" t="str">
        <f>TEXT(Ventas[[#This Row],[Fecha_venta]],"dd")</f>
        <v>24</v>
      </c>
      <c r="I2332" t="str">
        <f>TEXT(Ventas[[#This Row],[Fecha_venta]],"m")</f>
        <v>12</v>
      </c>
      <c r="J2332" t="str">
        <f>TEXT(Ventas[[#This Row],[Fecha_venta]],"yyyy")</f>
        <v>2010</v>
      </c>
    </row>
    <row r="2333" spans="1:10" x14ac:dyDescent="0.25">
      <c r="A2333">
        <v>17</v>
      </c>
      <c r="B2333" s="1">
        <v>40543</v>
      </c>
      <c r="C2333">
        <v>1</v>
      </c>
      <c r="D2333">
        <v>20.79</v>
      </c>
      <c r="E2333">
        <v>2.8679999999999999</v>
      </c>
      <c r="F2333">
        <v>127.0876774</v>
      </c>
      <c r="G2333">
        <v>635862.55000000005</v>
      </c>
      <c r="H2333" t="str">
        <f>TEXT(Ventas[[#This Row],[Fecha_venta]],"dd")</f>
        <v>31</v>
      </c>
      <c r="I2333" t="str">
        <f>TEXT(Ventas[[#This Row],[Fecha_venta]],"m")</f>
        <v>12</v>
      </c>
      <c r="J2333" t="str">
        <f>TEXT(Ventas[[#This Row],[Fecha_venta]],"yyyy")</f>
        <v>2010</v>
      </c>
    </row>
    <row r="2334" spans="1:10" x14ac:dyDescent="0.25">
      <c r="A2334">
        <v>17</v>
      </c>
      <c r="B2334" s="1">
        <v>40550</v>
      </c>
      <c r="C2334">
        <v>0</v>
      </c>
      <c r="D2334">
        <v>6.23</v>
      </c>
      <c r="E2334">
        <v>2.891</v>
      </c>
      <c r="F2334">
        <v>127.1917742</v>
      </c>
      <c r="G2334">
        <v>1083071.1399999999</v>
      </c>
      <c r="H2334" t="str">
        <f>TEXT(Ventas[[#This Row],[Fecha_venta]],"dd")</f>
        <v>07</v>
      </c>
      <c r="I2334" t="str">
        <f>TEXT(Ventas[[#This Row],[Fecha_venta]],"m")</f>
        <v>1</v>
      </c>
      <c r="J2334" t="str">
        <f>TEXT(Ventas[[#This Row],[Fecha_venta]],"yyyy")</f>
        <v>2011</v>
      </c>
    </row>
    <row r="2335" spans="1:10" x14ac:dyDescent="0.25">
      <c r="A2335">
        <v>17</v>
      </c>
      <c r="B2335" s="1">
        <v>40557</v>
      </c>
      <c r="C2335">
        <v>0</v>
      </c>
      <c r="D2335">
        <v>16.57</v>
      </c>
      <c r="E2335">
        <v>2.903</v>
      </c>
      <c r="F2335">
        <v>127.30093549999999</v>
      </c>
      <c r="G2335">
        <v>758510.36</v>
      </c>
      <c r="H2335" t="str">
        <f>TEXT(Ventas[[#This Row],[Fecha_venta]],"dd")</f>
        <v>14</v>
      </c>
      <c r="I2335" t="str">
        <f>TEXT(Ventas[[#This Row],[Fecha_venta]],"m")</f>
        <v>1</v>
      </c>
      <c r="J2335" t="str">
        <f>TEXT(Ventas[[#This Row],[Fecha_venta]],"yyyy")</f>
        <v>2011</v>
      </c>
    </row>
    <row r="2336" spans="1:10" x14ac:dyDescent="0.25">
      <c r="A2336">
        <v>17</v>
      </c>
      <c r="B2336" s="1">
        <v>40564</v>
      </c>
      <c r="C2336">
        <v>0</v>
      </c>
      <c r="D2336">
        <v>26.62</v>
      </c>
      <c r="E2336">
        <v>2.9340000000000002</v>
      </c>
      <c r="F2336">
        <v>127.4404839</v>
      </c>
      <c r="G2336">
        <v>755804.37</v>
      </c>
      <c r="H2336" t="str">
        <f>TEXT(Ventas[[#This Row],[Fecha_venta]],"dd")</f>
        <v>21</v>
      </c>
      <c r="I2336" t="str">
        <f>TEXT(Ventas[[#This Row],[Fecha_venta]],"m")</f>
        <v>1</v>
      </c>
      <c r="J2336" t="str">
        <f>TEXT(Ventas[[#This Row],[Fecha_venta]],"yyyy")</f>
        <v>2011</v>
      </c>
    </row>
    <row r="2337" spans="1:10" x14ac:dyDescent="0.25">
      <c r="A2337">
        <v>17</v>
      </c>
      <c r="B2337" s="1">
        <v>40571</v>
      </c>
      <c r="C2337">
        <v>0</v>
      </c>
      <c r="D2337">
        <v>22.16</v>
      </c>
      <c r="E2337">
        <v>2.96</v>
      </c>
      <c r="F2337">
        <v>127.5800323</v>
      </c>
      <c r="G2337">
        <v>736335.69</v>
      </c>
      <c r="H2337" t="str">
        <f>TEXT(Ventas[[#This Row],[Fecha_venta]],"dd")</f>
        <v>28</v>
      </c>
      <c r="I2337" t="str">
        <f>TEXT(Ventas[[#This Row],[Fecha_venta]],"m")</f>
        <v>1</v>
      </c>
      <c r="J2337" t="str">
        <f>TEXT(Ventas[[#This Row],[Fecha_venta]],"yyyy")</f>
        <v>2011</v>
      </c>
    </row>
    <row r="2338" spans="1:10" x14ac:dyDescent="0.25">
      <c r="A2338">
        <v>17</v>
      </c>
      <c r="B2338" s="1">
        <v>40578</v>
      </c>
      <c r="C2338">
        <v>0</v>
      </c>
      <c r="D2338">
        <v>11.29</v>
      </c>
      <c r="E2338">
        <v>2.9740000000000002</v>
      </c>
      <c r="F2338">
        <v>127.7195806</v>
      </c>
      <c r="G2338">
        <v>816603.05</v>
      </c>
      <c r="H2338" t="str">
        <f>TEXT(Ventas[[#This Row],[Fecha_venta]],"dd")</f>
        <v>04</v>
      </c>
      <c r="I2338" t="str">
        <f>TEXT(Ventas[[#This Row],[Fecha_venta]],"m")</f>
        <v>2</v>
      </c>
      <c r="J2338" t="str">
        <f>TEXT(Ventas[[#This Row],[Fecha_venta]],"yyyy")</f>
        <v>2011</v>
      </c>
    </row>
    <row r="2339" spans="1:10" x14ac:dyDescent="0.25">
      <c r="A2339">
        <v>17</v>
      </c>
      <c r="B2339" s="1">
        <v>40585</v>
      </c>
      <c r="C2339">
        <v>1</v>
      </c>
      <c r="D2339">
        <v>14.19</v>
      </c>
      <c r="E2339">
        <v>3.0339999999999998</v>
      </c>
      <c r="F2339">
        <v>127.859129</v>
      </c>
      <c r="G2339">
        <v>813211.46</v>
      </c>
      <c r="H2339" t="str">
        <f>TEXT(Ventas[[#This Row],[Fecha_venta]],"dd")</f>
        <v>11</v>
      </c>
      <c r="I2339" t="str">
        <f>TEXT(Ventas[[#This Row],[Fecha_venta]],"m")</f>
        <v>2</v>
      </c>
      <c r="J2339" t="str">
        <f>TEXT(Ventas[[#This Row],[Fecha_venta]],"yyyy")</f>
        <v>2011</v>
      </c>
    </row>
    <row r="2340" spans="1:10" x14ac:dyDescent="0.25">
      <c r="A2340">
        <v>17</v>
      </c>
      <c r="B2340" s="1">
        <v>40592</v>
      </c>
      <c r="C2340">
        <v>0</v>
      </c>
      <c r="D2340">
        <v>26.86</v>
      </c>
      <c r="E2340">
        <v>3.0619999999999998</v>
      </c>
      <c r="F2340">
        <v>127.99525</v>
      </c>
      <c r="G2340">
        <v>860962.91</v>
      </c>
      <c r="H2340" t="str">
        <f>TEXT(Ventas[[#This Row],[Fecha_venta]],"dd")</f>
        <v>18</v>
      </c>
      <c r="I2340" t="str">
        <f>TEXT(Ventas[[#This Row],[Fecha_venta]],"m")</f>
        <v>2</v>
      </c>
      <c r="J2340" t="str">
        <f>TEXT(Ventas[[#This Row],[Fecha_venta]],"yyyy")</f>
        <v>2011</v>
      </c>
    </row>
    <row r="2341" spans="1:10" x14ac:dyDescent="0.25">
      <c r="A2341">
        <v>17</v>
      </c>
      <c r="B2341" s="1">
        <v>40599</v>
      </c>
      <c r="C2341">
        <v>0</v>
      </c>
      <c r="D2341">
        <v>24.36</v>
      </c>
      <c r="E2341">
        <v>3.12</v>
      </c>
      <c r="F2341">
        <v>128.13</v>
      </c>
      <c r="G2341">
        <v>767256.53</v>
      </c>
      <c r="H2341" t="str">
        <f>TEXT(Ventas[[#This Row],[Fecha_venta]],"dd")</f>
        <v>25</v>
      </c>
      <c r="I2341" t="str">
        <f>TEXT(Ventas[[#This Row],[Fecha_venta]],"m")</f>
        <v>2</v>
      </c>
      <c r="J2341" t="str">
        <f>TEXT(Ventas[[#This Row],[Fecha_venta]],"yyyy")</f>
        <v>2011</v>
      </c>
    </row>
    <row r="2342" spans="1:10" x14ac:dyDescent="0.25">
      <c r="A2342">
        <v>17</v>
      </c>
      <c r="B2342" s="1">
        <v>40606</v>
      </c>
      <c r="C2342">
        <v>0</v>
      </c>
      <c r="D2342">
        <v>24.21</v>
      </c>
      <c r="E2342">
        <v>3.23</v>
      </c>
      <c r="F2342">
        <v>128.26474999999999</v>
      </c>
      <c r="G2342">
        <v>816138.33</v>
      </c>
      <c r="H2342" t="str">
        <f>TEXT(Ventas[[#This Row],[Fecha_venta]],"dd")</f>
        <v>04</v>
      </c>
      <c r="I2342" t="str">
        <f>TEXT(Ventas[[#This Row],[Fecha_venta]],"m")</f>
        <v>3</v>
      </c>
      <c r="J2342" t="str">
        <f>TEXT(Ventas[[#This Row],[Fecha_venta]],"yyyy")</f>
        <v>2011</v>
      </c>
    </row>
    <row r="2343" spans="1:10" x14ac:dyDescent="0.25">
      <c r="A2343">
        <v>17</v>
      </c>
      <c r="B2343" s="1">
        <v>40613</v>
      </c>
      <c r="C2343">
        <v>0</v>
      </c>
      <c r="D2343">
        <v>32.42</v>
      </c>
      <c r="E2343">
        <v>3.3460000000000001</v>
      </c>
      <c r="F2343">
        <v>128.39949999999999</v>
      </c>
      <c r="G2343">
        <v>779602.36</v>
      </c>
      <c r="H2343" t="str">
        <f>TEXT(Ventas[[#This Row],[Fecha_venta]],"dd")</f>
        <v>11</v>
      </c>
      <c r="I2343" t="str">
        <f>TEXT(Ventas[[#This Row],[Fecha_venta]],"m")</f>
        <v>3</v>
      </c>
      <c r="J2343" t="str">
        <f>TEXT(Ventas[[#This Row],[Fecha_venta]],"yyyy")</f>
        <v>2011</v>
      </c>
    </row>
    <row r="2344" spans="1:10" x14ac:dyDescent="0.25">
      <c r="A2344">
        <v>17</v>
      </c>
      <c r="B2344" s="1">
        <v>40620</v>
      </c>
      <c r="C2344">
        <v>0</v>
      </c>
      <c r="D2344">
        <v>34.479999999999997</v>
      </c>
      <c r="E2344">
        <v>3.407</v>
      </c>
      <c r="F2344">
        <v>128.5121935</v>
      </c>
      <c r="G2344">
        <v>778436.81</v>
      </c>
      <c r="H2344" t="str">
        <f>TEXT(Ventas[[#This Row],[Fecha_venta]],"dd")</f>
        <v>18</v>
      </c>
      <c r="I2344" t="str">
        <f>TEXT(Ventas[[#This Row],[Fecha_venta]],"m")</f>
        <v>3</v>
      </c>
      <c r="J2344" t="str">
        <f>TEXT(Ventas[[#This Row],[Fecha_venta]],"yyyy")</f>
        <v>2011</v>
      </c>
    </row>
    <row r="2345" spans="1:10" x14ac:dyDescent="0.25">
      <c r="A2345">
        <v>17</v>
      </c>
      <c r="B2345" s="1">
        <v>40627</v>
      </c>
      <c r="C2345">
        <v>0</v>
      </c>
      <c r="D2345">
        <v>36.71</v>
      </c>
      <c r="E2345">
        <v>3.4350000000000001</v>
      </c>
      <c r="F2345">
        <v>128.61606449999999</v>
      </c>
      <c r="G2345">
        <v>781267.76</v>
      </c>
      <c r="H2345" t="str">
        <f>TEXT(Ventas[[#This Row],[Fecha_venta]],"dd")</f>
        <v>25</v>
      </c>
      <c r="I2345" t="str">
        <f>TEXT(Ventas[[#This Row],[Fecha_venta]],"m")</f>
        <v>3</v>
      </c>
      <c r="J2345" t="str">
        <f>TEXT(Ventas[[#This Row],[Fecha_venta]],"yyyy")</f>
        <v>2011</v>
      </c>
    </row>
    <row r="2346" spans="1:10" x14ac:dyDescent="0.25">
      <c r="A2346">
        <v>17</v>
      </c>
      <c r="B2346" s="1">
        <v>40634</v>
      </c>
      <c r="C2346">
        <v>0</v>
      </c>
      <c r="D2346">
        <v>39.380000000000003</v>
      </c>
      <c r="E2346">
        <v>3.4870000000000001</v>
      </c>
      <c r="F2346">
        <v>128.71993549999999</v>
      </c>
      <c r="G2346">
        <v>795859.23</v>
      </c>
      <c r="H2346" t="str">
        <f>TEXT(Ventas[[#This Row],[Fecha_venta]],"dd")</f>
        <v>01</v>
      </c>
      <c r="I2346" t="str">
        <f>TEXT(Ventas[[#This Row],[Fecha_venta]],"m")</f>
        <v>4</v>
      </c>
      <c r="J2346" t="str">
        <f>TEXT(Ventas[[#This Row],[Fecha_venta]],"yyyy")</f>
        <v>2011</v>
      </c>
    </row>
    <row r="2347" spans="1:10" x14ac:dyDescent="0.25">
      <c r="A2347">
        <v>17</v>
      </c>
      <c r="B2347" s="1">
        <v>40641</v>
      </c>
      <c r="C2347">
        <v>0</v>
      </c>
      <c r="D2347">
        <v>39.159999999999997</v>
      </c>
      <c r="E2347">
        <v>3.5470000000000002</v>
      </c>
      <c r="F2347">
        <v>128.82380649999999</v>
      </c>
      <c r="G2347">
        <v>811855.72</v>
      </c>
      <c r="H2347" t="str">
        <f>TEXT(Ventas[[#This Row],[Fecha_venta]],"dd")</f>
        <v>08</v>
      </c>
      <c r="I2347" t="str">
        <f>TEXT(Ventas[[#This Row],[Fecha_venta]],"m")</f>
        <v>4</v>
      </c>
      <c r="J2347" t="str">
        <f>TEXT(Ventas[[#This Row],[Fecha_venta]],"yyyy")</f>
        <v>2011</v>
      </c>
    </row>
    <row r="2348" spans="1:10" x14ac:dyDescent="0.25">
      <c r="A2348">
        <v>17</v>
      </c>
      <c r="B2348" s="1">
        <v>40648</v>
      </c>
      <c r="C2348">
        <v>0</v>
      </c>
      <c r="D2348">
        <v>39.979999999999997</v>
      </c>
      <c r="E2348">
        <v>3.6160000000000001</v>
      </c>
      <c r="F2348">
        <v>128.9107333</v>
      </c>
      <c r="G2348">
        <v>825283.43</v>
      </c>
      <c r="H2348" t="str">
        <f>TEXT(Ventas[[#This Row],[Fecha_venta]],"dd")</f>
        <v>15</v>
      </c>
      <c r="I2348" t="str">
        <f>TEXT(Ventas[[#This Row],[Fecha_venta]],"m")</f>
        <v>4</v>
      </c>
      <c r="J2348" t="str">
        <f>TEXT(Ventas[[#This Row],[Fecha_venta]],"yyyy")</f>
        <v>2011</v>
      </c>
    </row>
    <row r="2349" spans="1:10" x14ac:dyDescent="0.25">
      <c r="A2349">
        <v>17</v>
      </c>
      <c r="B2349" s="1">
        <v>40655</v>
      </c>
      <c r="C2349">
        <v>0</v>
      </c>
      <c r="D2349">
        <v>42.24</v>
      </c>
      <c r="E2349">
        <v>3.6549999999999998</v>
      </c>
      <c r="F2349">
        <v>128.95529999999999</v>
      </c>
      <c r="G2349">
        <v>1060770.1100000001</v>
      </c>
      <c r="H2349" t="str">
        <f>TEXT(Ventas[[#This Row],[Fecha_venta]],"dd")</f>
        <v>22</v>
      </c>
      <c r="I2349" t="str">
        <f>TEXT(Ventas[[#This Row],[Fecha_venta]],"m")</f>
        <v>4</v>
      </c>
      <c r="J2349" t="str">
        <f>TEXT(Ventas[[#This Row],[Fecha_venta]],"yyyy")</f>
        <v>2011</v>
      </c>
    </row>
    <row r="2350" spans="1:10" x14ac:dyDescent="0.25">
      <c r="A2350">
        <v>17</v>
      </c>
      <c r="B2350" s="1">
        <v>40662</v>
      </c>
      <c r="C2350">
        <v>0</v>
      </c>
      <c r="D2350">
        <v>40.14</v>
      </c>
      <c r="E2350">
        <v>3.6829999999999998</v>
      </c>
      <c r="F2350">
        <v>128.99986670000001</v>
      </c>
      <c r="G2350">
        <v>806979.15</v>
      </c>
      <c r="H2350" t="str">
        <f>TEXT(Ventas[[#This Row],[Fecha_venta]],"dd")</f>
        <v>29</v>
      </c>
      <c r="I2350" t="str">
        <f>TEXT(Ventas[[#This Row],[Fecha_venta]],"m")</f>
        <v>4</v>
      </c>
      <c r="J2350" t="str">
        <f>TEXT(Ventas[[#This Row],[Fecha_venta]],"yyyy")</f>
        <v>2011</v>
      </c>
    </row>
    <row r="2351" spans="1:10" x14ac:dyDescent="0.25">
      <c r="A2351">
        <v>17</v>
      </c>
      <c r="B2351" s="1">
        <v>40669</v>
      </c>
      <c r="C2351">
        <v>0</v>
      </c>
      <c r="D2351">
        <v>45.66</v>
      </c>
      <c r="E2351">
        <v>3.7440000000000002</v>
      </c>
      <c r="F2351">
        <v>129.04443330000001</v>
      </c>
      <c r="G2351">
        <v>882132.28</v>
      </c>
      <c r="H2351" t="str">
        <f>TEXT(Ventas[[#This Row],[Fecha_venta]],"dd")</f>
        <v>06</v>
      </c>
      <c r="I2351" t="str">
        <f>TEXT(Ventas[[#This Row],[Fecha_venta]],"m")</f>
        <v>5</v>
      </c>
      <c r="J2351" t="str">
        <f>TEXT(Ventas[[#This Row],[Fecha_venta]],"yyyy")</f>
        <v>2011</v>
      </c>
    </row>
    <row r="2352" spans="1:10" x14ac:dyDescent="0.25">
      <c r="A2352">
        <v>17</v>
      </c>
      <c r="B2352" s="1">
        <v>40676</v>
      </c>
      <c r="C2352">
        <v>0</v>
      </c>
      <c r="D2352">
        <v>49.26</v>
      </c>
      <c r="E2352">
        <v>3.77</v>
      </c>
      <c r="F2352">
        <v>129.089</v>
      </c>
      <c r="G2352">
        <v>870625.49</v>
      </c>
      <c r="H2352" t="str">
        <f>TEXT(Ventas[[#This Row],[Fecha_venta]],"dd")</f>
        <v>13</v>
      </c>
      <c r="I2352" t="str">
        <f>TEXT(Ventas[[#This Row],[Fecha_venta]],"m")</f>
        <v>5</v>
      </c>
      <c r="J2352" t="str">
        <f>TEXT(Ventas[[#This Row],[Fecha_venta]],"yyyy")</f>
        <v>2011</v>
      </c>
    </row>
    <row r="2353" spans="1:10" x14ac:dyDescent="0.25">
      <c r="A2353">
        <v>17</v>
      </c>
      <c r="B2353" s="1">
        <v>40683</v>
      </c>
      <c r="C2353">
        <v>0</v>
      </c>
      <c r="D2353">
        <v>51.93</v>
      </c>
      <c r="E2353">
        <v>3.802</v>
      </c>
      <c r="F2353">
        <v>129.07567739999999</v>
      </c>
      <c r="G2353">
        <v>844443.35</v>
      </c>
      <c r="H2353" t="str">
        <f>TEXT(Ventas[[#This Row],[Fecha_venta]],"dd")</f>
        <v>20</v>
      </c>
      <c r="I2353" t="str">
        <f>TEXT(Ventas[[#This Row],[Fecha_venta]],"m")</f>
        <v>5</v>
      </c>
      <c r="J2353" t="str">
        <f>TEXT(Ventas[[#This Row],[Fecha_venta]],"yyyy")</f>
        <v>2011</v>
      </c>
    </row>
    <row r="2354" spans="1:10" x14ac:dyDescent="0.25">
      <c r="A2354">
        <v>17</v>
      </c>
      <c r="B2354" s="1">
        <v>40690</v>
      </c>
      <c r="C2354">
        <v>0</v>
      </c>
      <c r="D2354">
        <v>51.04</v>
      </c>
      <c r="E2354">
        <v>3.778</v>
      </c>
      <c r="F2354">
        <v>129.06235480000001</v>
      </c>
      <c r="G2354">
        <v>892056.64</v>
      </c>
      <c r="H2354" t="str">
        <f>TEXT(Ventas[[#This Row],[Fecha_venta]],"dd")</f>
        <v>27</v>
      </c>
      <c r="I2354" t="str">
        <f>TEXT(Ventas[[#This Row],[Fecha_venta]],"m")</f>
        <v>5</v>
      </c>
      <c r="J2354" t="str">
        <f>TEXT(Ventas[[#This Row],[Fecha_venta]],"yyyy")</f>
        <v>2011</v>
      </c>
    </row>
    <row r="2355" spans="1:10" x14ac:dyDescent="0.25">
      <c r="A2355">
        <v>17</v>
      </c>
      <c r="B2355" s="1">
        <v>40697</v>
      </c>
      <c r="C2355">
        <v>0</v>
      </c>
      <c r="D2355">
        <v>49.61</v>
      </c>
      <c r="E2355">
        <v>3.7519999999999998</v>
      </c>
      <c r="F2355">
        <v>129.04903229999999</v>
      </c>
      <c r="G2355">
        <v>895020.48</v>
      </c>
      <c r="H2355" t="str">
        <f>TEXT(Ventas[[#This Row],[Fecha_venta]],"dd")</f>
        <v>03</v>
      </c>
      <c r="I2355" t="str">
        <f>TEXT(Ventas[[#This Row],[Fecha_venta]],"m")</f>
        <v>6</v>
      </c>
      <c r="J2355" t="str">
        <f>TEXT(Ventas[[#This Row],[Fecha_venta]],"yyyy")</f>
        <v>2011</v>
      </c>
    </row>
    <row r="2356" spans="1:10" x14ac:dyDescent="0.25">
      <c r="A2356">
        <v>17</v>
      </c>
      <c r="B2356" s="1">
        <v>40704</v>
      </c>
      <c r="C2356">
        <v>0</v>
      </c>
      <c r="D2356">
        <v>54.57</v>
      </c>
      <c r="E2356">
        <v>3.7320000000000002</v>
      </c>
      <c r="F2356">
        <v>129.03570970000001</v>
      </c>
      <c r="G2356">
        <v>881190.46</v>
      </c>
      <c r="H2356" t="str">
        <f>TEXT(Ventas[[#This Row],[Fecha_venta]],"dd")</f>
        <v>10</v>
      </c>
      <c r="I2356" t="str">
        <f>TEXT(Ventas[[#This Row],[Fecha_venta]],"m")</f>
        <v>6</v>
      </c>
      <c r="J2356" t="str">
        <f>TEXT(Ventas[[#This Row],[Fecha_venta]],"yyyy")</f>
        <v>2011</v>
      </c>
    </row>
    <row r="2357" spans="1:10" x14ac:dyDescent="0.25">
      <c r="A2357">
        <v>17</v>
      </c>
      <c r="B2357" s="1">
        <v>40711</v>
      </c>
      <c r="C2357">
        <v>0</v>
      </c>
      <c r="D2357">
        <v>56.61</v>
      </c>
      <c r="E2357">
        <v>3.7040000000000002</v>
      </c>
      <c r="F2357">
        <v>129.04320000000001</v>
      </c>
      <c r="G2357">
        <v>894686.67</v>
      </c>
      <c r="H2357" t="str">
        <f>TEXT(Ventas[[#This Row],[Fecha_venta]],"dd")</f>
        <v>17</v>
      </c>
      <c r="I2357" t="str">
        <f>TEXT(Ventas[[#This Row],[Fecha_venta]],"m")</f>
        <v>6</v>
      </c>
      <c r="J2357" t="str">
        <f>TEXT(Ventas[[#This Row],[Fecha_venta]],"yyyy")</f>
        <v>2011</v>
      </c>
    </row>
    <row r="2358" spans="1:10" x14ac:dyDescent="0.25">
      <c r="A2358">
        <v>17</v>
      </c>
      <c r="B2358" s="1">
        <v>40718</v>
      </c>
      <c r="C2358">
        <v>0</v>
      </c>
      <c r="D2358">
        <v>60.99</v>
      </c>
      <c r="E2358">
        <v>3.6680000000000001</v>
      </c>
      <c r="F2358">
        <v>129.06630000000001</v>
      </c>
      <c r="G2358">
        <v>920719.98</v>
      </c>
      <c r="H2358" t="str">
        <f>TEXT(Ventas[[#This Row],[Fecha_venta]],"dd")</f>
        <v>24</v>
      </c>
      <c r="I2358" t="str">
        <f>TEXT(Ventas[[#This Row],[Fecha_venta]],"m")</f>
        <v>6</v>
      </c>
      <c r="J2358" t="str">
        <f>TEXT(Ventas[[#This Row],[Fecha_venta]],"yyyy")</f>
        <v>2011</v>
      </c>
    </row>
    <row r="2359" spans="1:10" x14ac:dyDescent="0.25">
      <c r="A2359">
        <v>17</v>
      </c>
      <c r="B2359" s="1">
        <v>40725</v>
      </c>
      <c r="C2359">
        <v>0</v>
      </c>
      <c r="D2359">
        <v>67.39</v>
      </c>
      <c r="E2359">
        <v>3.613</v>
      </c>
      <c r="F2359">
        <v>129.08940000000001</v>
      </c>
      <c r="G2359">
        <v>940554.34</v>
      </c>
      <c r="H2359" t="str">
        <f>TEXT(Ventas[[#This Row],[Fecha_venta]],"dd")</f>
        <v>01</v>
      </c>
      <c r="I2359" t="str">
        <f>TEXT(Ventas[[#This Row],[Fecha_venta]],"m")</f>
        <v>7</v>
      </c>
      <c r="J2359" t="str">
        <f>TEXT(Ventas[[#This Row],[Fecha_venta]],"yyyy")</f>
        <v>2011</v>
      </c>
    </row>
    <row r="2360" spans="1:10" x14ac:dyDescent="0.25">
      <c r="A2360">
        <v>17</v>
      </c>
      <c r="B2360" s="1">
        <v>40732</v>
      </c>
      <c r="C2360">
        <v>0</v>
      </c>
      <c r="D2360">
        <v>70.599999999999994</v>
      </c>
      <c r="E2360">
        <v>3.5630000000000002</v>
      </c>
      <c r="F2360">
        <v>129.11250000000001</v>
      </c>
      <c r="G2360">
        <v>915064.22</v>
      </c>
      <c r="H2360" t="str">
        <f>TEXT(Ventas[[#This Row],[Fecha_venta]],"dd")</f>
        <v>08</v>
      </c>
      <c r="I2360" t="str">
        <f>TEXT(Ventas[[#This Row],[Fecha_venta]],"m")</f>
        <v>7</v>
      </c>
      <c r="J2360" t="str">
        <f>TEXT(Ventas[[#This Row],[Fecha_venta]],"yyyy")</f>
        <v>2011</v>
      </c>
    </row>
    <row r="2361" spans="1:10" x14ac:dyDescent="0.25">
      <c r="A2361">
        <v>17</v>
      </c>
      <c r="B2361" s="1">
        <v>40739</v>
      </c>
      <c r="C2361">
        <v>0</v>
      </c>
      <c r="D2361">
        <v>67.930000000000007</v>
      </c>
      <c r="E2361">
        <v>3.5529999999999999</v>
      </c>
      <c r="F2361">
        <v>129.13383870000001</v>
      </c>
      <c r="G2361">
        <v>902727.76</v>
      </c>
      <c r="H2361" t="str">
        <f>TEXT(Ventas[[#This Row],[Fecha_venta]],"dd")</f>
        <v>15</v>
      </c>
      <c r="I2361" t="str">
        <f>TEXT(Ventas[[#This Row],[Fecha_venta]],"m")</f>
        <v>7</v>
      </c>
      <c r="J2361" t="str">
        <f>TEXT(Ventas[[#This Row],[Fecha_venta]],"yyyy")</f>
        <v>2011</v>
      </c>
    </row>
    <row r="2362" spans="1:10" x14ac:dyDescent="0.25">
      <c r="A2362">
        <v>17</v>
      </c>
      <c r="B2362" s="1">
        <v>40746</v>
      </c>
      <c r="C2362">
        <v>0</v>
      </c>
      <c r="D2362">
        <v>69.819999999999993</v>
      </c>
      <c r="E2362">
        <v>3.5630000000000002</v>
      </c>
      <c r="F2362">
        <v>129.1507742</v>
      </c>
      <c r="G2362">
        <v>899044.34</v>
      </c>
      <c r="H2362" t="str">
        <f>TEXT(Ventas[[#This Row],[Fecha_venta]],"dd")</f>
        <v>22</v>
      </c>
      <c r="I2362" t="str">
        <f>TEXT(Ventas[[#This Row],[Fecha_venta]],"m")</f>
        <v>7</v>
      </c>
      <c r="J2362" t="str">
        <f>TEXT(Ventas[[#This Row],[Fecha_venta]],"yyyy")</f>
        <v>2011</v>
      </c>
    </row>
    <row r="2363" spans="1:10" x14ac:dyDescent="0.25">
      <c r="A2363">
        <v>17</v>
      </c>
      <c r="B2363" s="1">
        <v>40753</v>
      </c>
      <c r="C2363">
        <v>0</v>
      </c>
      <c r="D2363">
        <v>68.59</v>
      </c>
      <c r="E2363">
        <v>3.5739999999999998</v>
      </c>
      <c r="F2363">
        <v>129.16770969999999</v>
      </c>
      <c r="G2363">
        <v>861894.77</v>
      </c>
      <c r="H2363" t="str">
        <f>TEXT(Ventas[[#This Row],[Fecha_venta]],"dd")</f>
        <v>29</v>
      </c>
      <c r="I2363" t="str">
        <f>TEXT(Ventas[[#This Row],[Fecha_venta]],"m")</f>
        <v>7</v>
      </c>
      <c r="J2363" t="str">
        <f>TEXT(Ventas[[#This Row],[Fecha_venta]],"yyyy")</f>
        <v>2011</v>
      </c>
    </row>
    <row r="2364" spans="1:10" x14ac:dyDescent="0.25">
      <c r="A2364">
        <v>17</v>
      </c>
      <c r="B2364" s="1">
        <v>40760</v>
      </c>
      <c r="C2364">
        <v>0</v>
      </c>
      <c r="D2364">
        <v>65.709999999999994</v>
      </c>
      <c r="E2364">
        <v>3.5950000000000002</v>
      </c>
      <c r="F2364">
        <v>129.18464520000001</v>
      </c>
      <c r="G2364">
        <v>866184.92</v>
      </c>
      <c r="H2364" t="str">
        <f>TEXT(Ventas[[#This Row],[Fecha_venta]],"dd")</f>
        <v>05</v>
      </c>
      <c r="I2364" t="str">
        <f>TEXT(Ventas[[#This Row],[Fecha_venta]],"m")</f>
        <v>8</v>
      </c>
      <c r="J2364" t="str">
        <f>TEXT(Ventas[[#This Row],[Fecha_venta]],"yyyy")</f>
        <v>2011</v>
      </c>
    </row>
    <row r="2365" spans="1:10" x14ac:dyDescent="0.25">
      <c r="A2365">
        <v>17</v>
      </c>
      <c r="B2365" s="1">
        <v>40767</v>
      </c>
      <c r="C2365">
        <v>0</v>
      </c>
      <c r="D2365">
        <v>64.790000000000006</v>
      </c>
      <c r="E2365">
        <v>3.6059999999999999</v>
      </c>
      <c r="F2365">
        <v>129.2015806</v>
      </c>
      <c r="G2365">
        <v>800819.79</v>
      </c>
      <c r="H2365" t="str">
        <f>TEXT(Ventas[[#This Row],[Fecha_venta]],"dd")</f>
        <v>12</v>
      </c>
      <c r="I2365" t="str">
        <f>TEXT(Ventas[[#This Row],[Fecha_venta]],"m")</f>
        <v>8</v>
      </c>
      <c r="J2365" t="str">
        <f>TEXT(Ventas[[#This Row],[Fecha_venta]],"yyyy")</f>
        <v>2011</v>
      </c>
    </row>
    <row r="2366" spans="1:10" x14ac:dyDescent="0.25">
      <c r="A2366">
        <v>17</v>
      </c>
      <c r="B2366" s="1">
        <v>40774</v>
      </c>
      <c r="C2366">
        <v>0</v>
      </c>
      <c r="D2366">
        <v>67.59</v>
      </c>
      <c r="E2366">
        <v>3.5779999999999998</v>
      </c>
      <c r="F2366">
        <v>129.24058059999999</v>
      </c>
      <c r="G2366">
        <v>797523.04</v>
      </c>
      <c r="H2366" t="str">
        <f>TEXT(Ventas[[#This Row],[Fecha_venta]],"dd")</f>
        <v>19</v>
      </c>
      <c r="I2366" t="str">
        <f>TEXT(Ventas[[#This Row],[Fecha_venta]],"m")</f>
        <v>8</v>
      </c>
      <c r="J2366" t="str">
        <f>TEXT(Ventas[[#This Row],[Fecha_venta]],"yyyy")</f>
        <v>2011</v>
      </c>
    </row>
    <row r="2367" spans="1:10" x14ac:dyDescent="0.25">
      <c r="A2367">
        <v>17</v>
      </c>
      <c r="B2367" s="1">
        <v>40781</v>
      </c>
      <c r="C2367">
        <v>0</v>
      </c>
      <c r="D2367">
        <v>72.040000000000006</v>
      </c>
      <c r="E2367">
        <v>3.57</v>
      </c>
      <c r="F2367">
        <v>129.28325810000001</v>
      </c>
      <c r="G2367">
        <v>837390.79</v>
      </c>
      <c r="H2367" t="str">
        <f>TEXT(Ventas[[#This Row],[Fecha_venta]],"dd")</f>
        <v>26</v>
      </c>
      <c r="I2367" t="str">
        <f>TEXT(Ventas[[#This Row],[Fecha_venta]],"m")</f>
        <v>8</v>
      </c>
      <c r="J2367" t="str">
        <f>TEXT(Ventas[[#This Row],[Fecha_venta]],"yyyy")</f>
        <v>2011</v>
      </c>
    </row>
    <row r="2368" spans="1:10" x14ac:dyDescent="0.25">
      <c r="A2368">
        <v>17</v>
      </c>
      <c r="B2368" s="1">
        <v>40788</v>
      </c>
      <c r="C2368">
        <v>0</v>
      </c>
      <c r="D2368">
        <v>69.31</v>
      </c>
      <c r="E2368">
        <v>3.58</v>
      </c>
      <c r="F2368">
        <v>129.32593550000001</v>
      </c>
      <c r="G2368">
        <v>847380.07</v>
      </c>
      <c r="H2368" t="str">
        <f>TEXT(Ventas[[#This Row],[Fecha_venta]],"dd")</f>
        <v>02</v>
      </c>
      <c r="I2368" t="str">
        <f>TEXT(Ventas[[#This Row],[Fecha_venta]],"m")</f>
        <v>9</v>
      </c>
      <c r="J2368" t="str">
        <f>TEXT(Ventas[[#This Row],[Fecha_venta]],"yyyy")</f>
        <v>2011</v>
      </c>
    </row>
    <row r="2369" spans="1:10" x14ac:dyDescent="0.25">
      <c r="A2369">
        <v>17</v>
      </c>
      <c r="B2369" s="1">
        <v>40795</v>
      </c>
      <c r="C2369">
        <v>1</v>
      </c>
      <c r="D2369">
        <v>61.94</v>
      </c>
      <c r="E2369">
        <v>3.6190000000000002</v>
      </c>
      <c r="F2369">
        <v>129.36861289999999</v>
      </c>
      <c r="G2369">
        <v>1161900.18</v>
      </c>
      <c r="H2369" t="str">
        <f>TEXT(Ventas[[#This Row],[Fecha_venta]],"dd")</f>
        <v>09</v>
      </c>
      <c r="I2369" t="str">
        <f>TEXT(Ventas[[#This Row],[Fecha_venta]],"m")</f>
        <v>9</v>
      </c>
      <c r="J2369" t="str">
        <f>TEXT(Ventas[[#This Row],[Fecha_venta]],"yyyy")</f>
        <v>2011</v>
      </c>
    </row>
    <row r="2370" spans="1:10" x14ac:dyDescent="0.25">
      <c r="A2370">
        <v>17</v>
      </c>
      <c r="B2370" s="1">
        <v>40802</v>
      </c>
      <c r="C2370">
        <v>0</v>
      </c>
      <c r="D2370">
        <v>61.48</v>
      </c>
      <c r="E2370">
        <v>3.641</v>
      </c>
      <c r="F2370">
        <v>129.4306</v>
      </c>
      <c r="G2370">
        <v>1051116.95</v>
      </c>
      <c r="H2370" t="str">
        <f>TEXT(Ventas[[#This Row],[Fecha_venta]],"dd")</f>
        <v>16</v>
      </c>
      <c r="I2370" t="str">
        <f>TEXT(Ventas[[#This Row],[Fecha_venta]],"m")</f>
        <v>9</v>
      </c>
      <c r="J2370" t="str">
        <f>TEXT(Ventas[[#This Row],[Fecha_venta]],"yyyy")</f>
        <v>2011</v>
      </c>
    </row>
    <row r="2371" spans="1:10" x14ac:dyDescent="0.25">
      <c r="A2371">
        <v>17</v>
      </c>
      <c r="B2371" s="1">
        <v>40809</v>
      </c>
      <c r="C2371">
        <v>0</v>
      </c>
      <c r="D2371">
        <v>56.96</v>
      </c>
      <c r="E2371">
        <v>3.6480000000000001</v>
      </c>
      <c r="F2371">
        <v>129.51833329999999</v>
      </c>
      <c r="G2371">
        <v>895535.31</v>
      </c>
      <c r="H2371" t="str">
        <f>TEXT(Ventas[[#This Row],[Fecha_venta]],"dd")</f>
        <v>23</v>
      </c>
      <c r="I2371" t="str">
        <f>TEXT(Ventas[[#This Row],[Fecha_venta]],"m")</f>
        <v>9</v>
      </c>
      <c r="J2371" t="str">
        <f>TEXT(Ventas[[#This Row],[Fecha_venta]],"yyyy")</f>
        <v>2011</v>
      </c>
    </row>
    <row r="2372" spans="1:10" x14ac:dyDescent="0.25">
      <c r="A2372">
        <v>17</v>
      </c>
      <c r="B2372" s="1">
        <v>40816</v>
      </c>
      <c r="C2372">
        <v>0</v>
      </c>
      <c r="D2372">
        <v>61.4</v>
      </c>
      <c r="E2372">
        <v>3.6230000000000002</v>
      </c>
      <c r="F2372">
        <v>129.60606670000001</v>
      </c>
      <c r="G2372">
        <v>868191.05</v>
      </c>
      <c r="H2372" t="str">
        <f>TEXT(Ventas[[#This Row],[Fecha_venta]],"dd")</f>
        <v>30</v>
      </c>
      <c r="I2372" t="str">
        <f>TEXT(Ventas[[#This Row],[Fecha_venta]],"m")</f>
        <v>9</v>
      </c>
      <c r="J2372" t="str">
        <f>TEXT(Ventas[[#This Row],[Fecha_venta]],"yyyy")</f>
        <v>2011</v>
      </c>
    </row>
    <row r="2373" spans="1:10" x14ac:dyDescent="0.25">
      <c r="A2373">
        <v>17</v>
      </c>
      <c r="B2373" s="1">
        <v>40823</v>
      </c>
      <c r="C2373">
        <v>0</v>
      </c>
      <c r="D2373">
        <v>54.4</v>
      </c>
      <c r="E2373">
        <v>3.5920000000000001</v>
      </c>
      <c r="F2373">
        <v>129.69380000000001</v>
      </c>
      <c r="G2373">
        <v>918006.9</v>
      </c>
      <c r="H2373" t="str">
        <f>TEXT(Ventas[[#This Row],[Fecha_venta]],"dd")</f>
        <v>07</v>
      </c>
      <c r="I2373" t="str">
        <f>TEXT(Ventas[[#This Row],[Fecha_venta]],"m")</f>
        <v>10</v>
      </c>
      <c r="J2373" t="str">
        <f>TEXT(Ventas[[#This Row],[Fecha_venta]],"yyyy")</f>
        <v>2011</v>
      </c>
    </row>
    <row r="2374" spans="1:10" x14ac:dyDescent="0.25">
      <c r="A2374">
        <v>17</v>
      </c>
      <c r="B2374" s="1">
        <v>40830</v>
      </c>
      <c r="C2374">
        <v>0</v>
      </c>
      <c r="D2374">
        <v>47.69</v>
      </c>
      <c r="E2374">
        <v>3.5670000000000002</v>
      </c>
      <c r="F2374">
        <v>129.77064519999999</v>
      </c>
      <c r="G2374">
        <v>884042.63</v>
      </c>
      <c r="H2374" t="str">
        <f>TEXT(Ventas[[#This Row],[Fecha_venta]],"dd")</f>
        <v>14</v>
      </c>
      <c r="I2374" t="str">
        <f>TEXT(Ventas[[#This Row],[Fecha_venta]],"m")</f>
        <v>10</v>
      </c>
      <c r="J2374" t="str">
        <f>TEXT(Ventas[[#This Row],[Fecha_venta]],"yyyy")</f>
        <v>2011</v>
      </c>
    </row>
    <row r="2375" spans="1:10" x14ac:dyDescent="0.25">
      <c r="A2375">
        <v>17</v>
      </c>
      <c r="B2375" s="1">
        <v>40837</v>
      </c>
      <c r="C2375">
        <v>0</v>
      </c>
      <c r="D2375">
        <v>47.27</v>
      </c>
      <c r="E2375">
        <v>3.5790000000000002</v>
      </c>
      <c r="F2375">
        <v>129.78216130000001</v>
      </c>
      <c r="G2375">
        <v>877380.22</v>
      </c>
      <c r="H2375" t="str">
        <f>TEXT(Ventas[[#This Row],[Fecha_venta]],"dd")</f>
        <v>21</v>
      </c>
      <c r="I2375" t="str">
        <f>TEXT(Ventas[[#This Row],[Fecha_venta]],"m")</f>
        <v>10</v>
      </c>
      <c r="J2375" t="str">
        <f>TEXT(Ventas[[#This Row],[Fecha_venta]],"yyyy")</f>
        <v>2011</v>
      </c>
    </row>
    <row r="2376" spans="1:10" x14ac:dyDescent="0.25">
      <c r="A2376">
        <v>17</v>
      </c>
      <c r="B2376" s="1">
        <v>40844</v>
      </c>
      <c r="C2376">
        <v>0</v>
      </c>
      <c r="D2376">
        <v>41.89</v>
      </c>
      <c r="E2376">
        <v>3.5670000000000002</v>
      </c>
      <c r="F2376">
        <v>129.79367740000001</v>
      </c>
      <c r="G2376">
        <v>936508.43</v>
      </c>
      <c r="H2376" t="str">
        <f>TEXT(Ventas[[#This Row],[Fecha_venta]],"dd")</f>
        <v>28</v>
      </c>
      <c r="I2376" t="str">
        <f>TEXT(Ventas[[#This Row],[Fecha_venta]],"m")</f>
        <v>10</v>
      </c>
      <c r="J2376" t="str">
        <f>TEXT(Ventas[[#This Row],[Fecha_venta]],"yyyy")</f>
        <v>2011</v>
      </c>
    </row>
    <row r="2377" spans="1:10" x14ac:dyDescent="0.25">
      <c r="A2377">
        <v>17</v>
      </c>
      <c r="B2377" s="1">
        <v>40851</v>
      </c>
      <c r="C2377">
        <v>0</v>
      </c>
      <c r="D2377">
        <v>37.520000000000003</v>
      </c>
      <c r="E2377">
        <v>3.5379999999999998</v>
      </c>
      <c r="F2377">
        <v>129.8051935</v>
      </c>
      <c r="G2377">
        <v>927657.63</v>
      </c>
      <c r="H2377" t="str">
        <f>TEXT(Ventas[[#This Row],[Fecha_venta]],"dd")</f>
        <v>04</v>
      </c>
      <c r="I2377" t="str">
        <f>TEXT(Ventas[[#This Row],[Fecha_venta]],"m")</f>
        <v>11</v>
      </c>
      <c r="J2377" t="str">
        <f>TEXT(Ventas[[#This Row],[Fecha_venta]],"yyyy")</f>
        <v>2011</v>
      </c>
    </row>
    <row r="2378" spans="1:10" x14ac:dyDescent="0.25">
      <c r="A2378">
        <v>17</v>
      </c>
      <c r="B2378" s="1">
        <v>40858</v>
      </c>
      <c r="C2378">
        <v>0</v>
      </c>
      <c r="D2378">
        <v>27.61</v>
      </c>
      <c r="E2378">
        <v>3.5129999999999999</v>
      </c>
      <c r="F2378">
        <v>129.81670969999999</v>
      </c>
      <c r="G2378">
        <v>914759.2</v>
      </c>
      <c r="H2378" t="str">
        <f>TEXT(Ventas[[#This Row],[Fecha_venta]],"dd")</f>
        <v>11</v>
      </c>
      <c r="I2378" t="str">
        <f>TEXT(Ventas[[#This Row],[Fecha_venta]],"m")</f>
        <v>11</v>
      </c>
      <c r="J2378" t="str">
        <f>TEXT(Ventas[[#This Row],[Fecha_venta]],"yyyy")</f>
        <v>2011</v>
      </c>
    </row>
    <row r="2379" spans="1:10" x14ac:dyDescent="0.25">
      <c r="A2379">
        <v>17</v>
      </c>
      <c r="B2379" s="1">
        <v>40865</v>
      </c>
      <c r="C2379">
        <v>0</v>
      </c>
      <c r="D2379">
        <v>32.93</v>
      </c>
      <c r="E2379">
        <v>3.4889999999999999</v>
      </c>
      <c r="F2379">
        <v>129.8268333</v>
      </c>
      <c r="G2379">
        <v>877724.31</v>
      </c>
      <c r="H2379" t="str">
        <f>TEXT(Ventas[[#This Row],[Fecha_venta]],"dd")</f>
        <v>18</v>
      </c>
      <c r="I2379" t="str">
        <f>TEXT(Ventas[[#This Row],[Fecha_venta]],"m")</f>
        <v>11</v>
      </c>
      <c r="J2379" t="str">
        <f>TEXT(Ventas[[#This Row],[Fecha_venta]],"yyyy")</f>
        <v>2011</v>
      </c>
    </row>
    <row r="2380" spans="1:10" x14ac:dyDescent="0.25">
      <c r="A2380">
        <v>17</v>
      </c>
      <c r="B2380" s="1">
        <v>40872</v>
      </c>
      <c r="C2380">
        <v>1</v>
      </c>
      <c r="D2380">
        <v>32.81</v>
      </c>
      <c r="E2380">
        <v>3.4449999999999998</v>
      </c>
      <c r="F2380">
        <v>129.8364</v>
      </c>
      <c r="G2380">
        <v>1225700.28</v>
      </c>
      <c r="H2380" t="str">
        <f>TEXT(Ventas[[#This Row],[Fecha_venta]],"dd")</f>
        <v>25</v>
      </c>
      <c r="I2380" t="str">
        <f>TEXT(Ventas[[#This Row],[Fecha_venta]],"m")</f>
        <v>11</v>
      </c>
      <c r="J2380" t="str">
        <f>TEXT(Ventas[[#This Row],[Fecha_venta]],"yyyy")</f>
        <v>2011</v>
      </c>
    </row>
    <row r="2381" spans="1:10" x14ac:dyDescent="0.25">
      <c r="A2381">
        <v>17</v>
      </c>
      <c r="B2381" s="1">
        <v>40879</v>
      </c>
      <c r="C2381">
        <v>0</v>
      </c>
      <c r="D2381">
        <v>26.47</v>
      </c>
      <c r="E2381">
        <v>3.3889999999999998</v>
      </c>
      <c r="F2381">
        <v>129.84596669999999</v>
      </c>
      <c r="G2381">
        <v>945267.68</v>
      </c>
      <c r="H2381" t="str">
        <f>TEXT(Ventas[[#This Row],[Fecha_venta]],"dd")</f>
        <v>02</v>
      </c>
      <c r="I2381" t="str">
        <f>TEXT(Ventas[[#This Row],[Fecha_venta]],"m")</f>
        <v>12</v>
      </c>
      <c r="J2381" t="str">
        <f>TEXT(Ventas[[#This Row],[Fecha_venta]],"yyyy")</f>
        <v>2011</v>
      </c>
    </row>
    <row r="2382" spans="1:10" x14ac:dyDescent="0.25">
      <c r="A2382">
        <v>17</v>
      </c>
      <c r="B2382" s="1">
        <v>40886</v>
      </c>
      <c r="C2382">
        <v>0</v>
      </c>
      <c r="D2382">
        <v>17.559999999999999</v>
      </c>
      <c r="E2382">
        <v>3.3410000000000002</v>
      </c>
      <c r="F2382">
        <v>129.85553329999999</v>
      </c>
      <c r="G2382">
        <v>976522.93</v>
      </c>
      <c r="H2382" t="str">
        <f>TEXT(Ventas[[#This Row],[Fecha_venta]],"dd")</f>
        <v>09</v>
      </c>
      <c r="I2382" t="str">
        <f>TEXT(Ventas[[#This Row],[Fecha_venta]],"m")</f>
        <v>12</v>
      </c>
      <c r="J2382" t="str">
        <f>TEXT(Ventas[[#This Row],[Fecha_venta]],"yyyy")</f>
        <v>2011</v>
      </c>
    </row>
    <row r="2383" spans="1:10" x14ac:dyDescent="0.25">
      <c r="A2383">
        <v>17</v>
      </c>
      <c r="B2383" s="1">
        <v>40893</v>
      </c>
      <c r="C2383">
        <v>0</v>
      </c>
      <c r="D2383">
        <v>21.07</v>
      </c>
      <c r="E2383">
        <v>3.282</v>
      </c>
      <c r="F2383">
        <v>129.8980645</v>
      </c>
      <c r="G2383">
        <v>1067754.06</v>
      </c>
      <c r="H2383" t="str">
        <f>TEXT(Ventas[[#This Row],[Fecha_venta]],"dd")</f>
        <v>16</v>
      </c>
      <c r="I2383" t="str">
        <f>TEXT(Ventas[[#This Row],[Fecha_venta]],"m")</f>
        <v>12</v>
      </c>
      <c r="J2383" t="str">
        <f>TEXT(Ventas[[#This Row],[Fecha_venta]],"yyyy")</f>
        <v>2011</v>
      </c>
    </row>
    <row r="2384" spans="1:10" x14ac:dyDescent="0.25">
      <c r="A2384">
        <v>17</v>
      </c>
      <c r="B2384" s="1">
        <v>40900</v>
      </c>
      <c r="C2384">
        <v>0</v>
      </c>
      <c r="D2384">
        <v>18.760000000000002</v>
      </c>
      <c r="E2384">
        <v>3.1859999999999999</v>
      </c>
      <c r="F2384">
        <v>129.98454839999999</v>
      </c>
      <c r="G2384">
        <v>1289156.8999999999</v>
      </c>
      <c r="H2384" t="str">
        <f>TEXT(Ventas[[#This Row],[Fecha_venta]],"dd")</f>
        <v>23</v>
      </c>
      <c r="I2384" t="str">
        <f>TEXT(Ventas[[#This Row],[Fecha_venta]],"m")</f>
        <v>12</v>
      </c>
      <c r="J2384" t="str">
        <f>TEXT(Ventas[[#This Row],[Fecha_venta]],"yyyy")</f>
        <v>2011</v>
      </c>
    </row>
    <row r="2385" spans="1:10" x14ac:dyDescent="0.25">
      <c r="A2385">
        <v>17</v>
      </c>
      <c r="B2385" s="1">
        <v>40907</v>
      </c>
      <c r="C2385">
        <v>1</v>
      </c>
      <c r="D2385">
        <v>26.73</v>
      </c>
      <c r="E2385">
        <v>3.1190000000000002</v>
      </c>
      <c r="F2385">
        <v>130.07103230000001</v>
      </c>
      <c r="G2385">
        <v>777207.3</v>
      </c>
      <c r="H2385" t="str">
        <f>TEXT(Ventas[[#This Row],[Fecha_venta]],"dd")</f>
        <v>30</v>
      </c>
      <c r="I2385" t="str">
        <f>TEXT(Ventas[[#This Row],[Fecha_venta]],"m")</f>
        <v>12</v>
      </c>
      <c r="J2385" t="str">
        <f>TEXT(Ventas[[#This Row],[Fecha_venta]],"yyyy")</f>
        <v>2011</v>
      </c>
    </row>
    <row r="2386" spans="1:10" x14ac:dyDescent="0.25">
      <c r="A2386">
        <v>17</v>
      </c>
      <c r="B2386" s="1">
        <v>40914</v>
      </c>
      <c r="C2386">
        <v>0</v>
      </c>
      <c r="D2386">
        <v>27.64</v>
      </c>
      <c r="E2386">
        <v>3.08</v>
      </c>
      <c r="F2386">
        <v>130.15751610000001</v>
      </c>
      <c r="G2386">
        <v>1198104.22</v>
      </c>
      <c r="H2386" t="str">
        <f>TEXT(Ventas[[#This Row],[Fecha_venta]],"dd")</f>
        <v>06</v>
      </c>
      <c r="I2386" t="str">
        <f>TEXT(Ventas[[#This Row],[Fecha_venta]],"m")</f>
        <v>1</v>
      </c>
      <c r="J2386" t="str">
        <f>TEXT(Ventas[[#This Row],[Fecha_venta]],"yyyy")</f>
        <v>2012</v>
      </c>
    </row>
    <row r="2387" spans="1:10" x14ac:dyDescent="0.25">
      <c r="A2387">
        <v>17</v>
      </c>
      <c r="B2387" s="1">
        <v>40921</v>
      </c>
      <c r="C2387">
        <v>0</v>
      </c>
      <c r="D2387">
        <v>20.28</v>
      </c>
      <c r="E2387">
        <v>3.056</v>
      </c>
      <c r="F2387">
        <v>130.244</v>
      </c>
      <c r="G2387">
        <v>873576.95999999996</v>
      </c>
      <c r="H2387" t="str">
        <f>TEXT(Ventas[[#This Row],[Fecha_venta]],"dd")</f>
        <v>13</v>
      </c>
      <c r="I2387" t="str">
        <f>TEXT(Ventas[[#This Row],[Fecha_venta]],"m")</f>
        <v>1</v>
      </c>
      <c r="J2387" t="str">
        <f>TEXT(Ventas[[#This Row],[Fecha_venta]],"yyyy")</f>
        <v>2012</v>
      </c>
    </row>
    <row r="2388" spans="1:10" x14ac:dyDescent="0.25">
      <c r="A2388">
        <v>17</v>
      </c>
      <c r="B2388" s="1">
        <v>40928</v>
      </c>
      <c r="C2388">
        <v>0</v>
      </c>
      <c r="D2388">
        <v>27.26</v>
      </c>
      <c r="E2388">
        <v>3.0470000000000002</v>
      </c>
      <c r="F2388">
        <v>130.27922580000001</v>
      </c>
      <c r="G2388">
        <v>809272.65</v>
      </c>
      <c r="H2388" t="str">
        <f>TEXT(Ventas[[#This Row],[Fecha_venta]],"dd")</f>
        <v>20</v>
      </c>
      <c r="I2388" t="str">
        <f>TEXT(Ventas[[#This Row],[Fecha_venta]],"m")</f>
        <v>1</v>
      </c>
      <c r="J2388" t="str">
        <f>TEXT(Ventas[[#This Row],[Fecha_venta]],"yyyy")</f>
        <v>2012</v>
      </c>
    </row>
    <row r="2389" spans="1:10" x14ac:dyDescent="0.25">
      <c r="A2389">
        <v>17</v>
      </c>
      <c r="B2389" s="1">
        <v>40935</v>
      </c>
      <c r="C2389">
        <v>0</v>
      </c>
      <c r="D2389">
        <v>29.99</v>
      </c>
      <c r="E2389">
        <v>3.0579999999999998</v>
      </c>
      <c r="F2389">
        <v>130.31445160000001</v>
      </c>
      <c r="G2389">
        <v>769522.33</v>
      </c>
      <c r="H2389" t="str">
        <f>TEXT(Ventas[[#This Row],[Fecha_venta]],"dd")</f>
        <v>27</v>
      </c>
      <c r="I2389" t="str">
        <f>TEXT(Ventas[[#This Row],[Fecha_venta]],"m")</f>
        <v>1</v>
      </c>
      <c r="J2389" t="str">
        <f>TEXT(Ventas[[#This Row],[Fecha_venta]],"yyyy")</f>
        <v>2012</v>
      </c>
    </row>
    <row r="2390" spans="1:10" x14ac:dyDescent="0.25">
      <c r="A2390">
        <v>17</v>
      </c>
      <c r="B2390" s="1">
        <v>40942</v>
      </c>
      <c r="C2390">
        <v>0</v>
      </c>
      <c r="D2390">
        <v>26.26</v>
      </c>
      <c r="E2390">
        <v>3.077</v>
      </c>
      <c r="F2390">
        <v>130.34967739999999</v>
      </c>
      <c r="G2390">
        <v>864852.85</v>
      </c>
      <c r="H2390" t="str">
        <f>TEXT(Ventas[[#This Row],[Fecha_venta]],"dd")</f>
        <v>03</v>
      </c>
      <c r="I2390" t="str">
        <f>TEXT(Ventas[[#This Row],[Fecha_venta]],"m")</f>
        <v>2</v>
      </c>
      <c r="J2390" t="str">
        <f>TEXT(Ventas[[#This Row],[Fecha_venta]],"yyyy")</f>
        <v>2012</v>
      </c>
    </row>
    <row r="2391" spans="1:10" x14ac:dyDescent="0.25">
      <c r="A2391">
        <v>17</v>
      </c>
      <c r="B2391" s="1">
        <v>40949</v>
      </c>
      <c r="C2391">
        <v>1</v>
      </c>
      <c r="D2391">
        <v>23.63</v>
      </c>
      <c r="E2391">
        <v>3.1160000000000001</v>
      </c>
      <c r="F2391">
        <v>130.3849032</v>
      </c>
      <c r="G2391">
        <v>880165.7</v>
      </c>
      <c r="H2391" t="str">
        <f>TEXT(Ventas[[#This Row],[Fecha_venta]],"dd")</f>
        <v>10</v>
      </c>
      <c r="I2391" t="str">
        <f>TEXT(Ventas[[#This Row],[Fecha_venta]],"m")</f>
        <v>2</v>
      </c>
      <c r="J2391" t="str">
        <f>TEXT(Ventas[[#This Row],[Fecha_venta]],"yyyy")</f>
        <v>2012</v>
      </c>
    </row>
    <row r="2392" spans="1:10" x14ac:dyDescent="0.25">
      <c r="A2392">
        <v>17</v>
      </c>
      <c r="B2392" s="1">
        <v>40956</v>
      </c>
      <c r="C2392">
        <v>0</v>
      </c>
      <c r="D2392">
        <v>30.76</v>
      </c>
      <c r="E2392">
        <v>3.1190000000000002</v>
      </c>
      <c r="F2392">
        <v>130.45462069999999</v>
      </c>
      <c r="G2392">
        <v>927084.65</v>
      </c>
      <c r="H2392" t="str">
        <f>TEXT(Ventas[[#This Row],[Fecha_venta]],"dd")</f>
        <v>17</v>
      </c>
      <c r="I2392" t="str">
        <f>TEXT(Ventas[[#This Row],[Fecha_venta]],"m")</f>
        <v>2</v>
      </c>
      <c r="J2392" t="str">
        <f>TEXT(Ventas[[#This Row],[Fecha_venta]],"yyyy")</f>
        <v>2012</v>
      </c>
    </row>
    <row r="2393" spans="1:10" x14ac:dyDescent="0.25">
      <c r="A2393">
        <v>17</v>
      </c>
      <c r="B2393" s="1">
        <v>40963</v>
      </c>
      <c r="C2393">
        <v>0</v>
      </c>
      <c r="D2393">
        <v>30.01</v>
      </c>
      <c r="E2393">
        <v>3.145</v>
      </c>
      <c r="F2393">
        <v>130.55020690000001</v>
      </c>
      <c r="G2393">
        <v>843864.43</v>
      </c>
      <c r="H2393" t="str">
        <f>TEXT(Ventas[[#This Row],[Fecha_venta]],"dd")</f>
        <v>24</v>
      </c>
      <c r="I2393" t="str">
        <f>TEXT(Ventas[[#This Row],[Fecha_venta]],"m")</f>
        <v>2</v>
      </c>
      <c r="J2393" t="str">
        <f>TEXT(Ventas[[#This Row],[Fecha_venta]],"yyyy")</f>
        <v>2012</v>
      </c>
    </row>
    <row r="2394" spans="1:10" x14ac:dyDescent="0.25">
      <c r="A2394">
        <v>17</v>
      </c>
      <c r="B2394" s="1">
        <v>40970</v>
      </c>
      <c r="C2394">
        <v>0</v>
      </c>
      <c r="D2394">
        <v>26.28</v>
      </c>
      <c r="E2394">
        <v>3.242</v>
      </c>
      <c r="F2394">
        <v>130.64579309999999</v>
      </c>
      <c r="G2394">
        <v>856178.47</v>
      </c>
      <c r="H2394" t="str">
        <f>TEXT(Ventas[[#This Row],[Fecha_venta]],"dd")</f>
        <v>02</v>
      </c>
      <c r="I2394" t="str">
        <f>TEXT(Ventas[[#This Row],[Fecha_venta]],"m")</f>
        <v>3</v>
      </c>
      <c r="J2394" t="str">
        <f>TEXT(Ventas[[#This Row],[Fecha_venta]],"yyyy")</f>
        <v>2012</v>
      </c>
    </row>
    <row r="2395" spans="1:10" x14ac:dyDescent="0.25">
      <c r="A2395">
        <v>17</v>
      </c>
      <c r="B2395" s="1">
        <v>40977</v>
      </c>
      <c r="C2395">
        <v>0</v>
      </c>
      <c r="D2395">
        <v>32.020000000000003</v>
      </c>
      <c r="E2395">
        <v>3.38</v>
      </c>
      <c r="F2395">
        <v>130.74137930000001</v>
      </c>
      <c r="G2395">
        <v>860224.98</v>
      </c>
      <c r="H2395" t="str">
        <f>TEXT(Ventas[[#This Row],[Fecha_venta]],"dd")</f>
        <v>09</v>
      </c>
      <c r="I2395" t="str">
        <f>TEXT(Ventas[[#This Row],[Fecha_venta]],"m")</f>
        <v>3</v>
      </c>
      <c r="J2395" t="str">
        <f>TEXT(Ventas[[#This Row],[Fecha_venta]],"yyyy")</f>
        <v>2012</v>
      </c>
    </row>
    <row r="2396" spans="1:10" x14ac:dyDescent="0.25">
      <c r="A2396">
        <v>17</v>
      </c>
      <c r="B2396" s="1">
        <v>40984</v>
      </c>
      <c r="C2396">
        <v>0</v>
      </c>
      <c r="D2396">
        <v>43.69</v>
      </c>
      <c r="E2396">
        <v>3.5289999999999999</v>
      </c>
      <c r="F2396">
        <v>130.82619349999999</v>
      </c>
      <c r="G2396">
        <v>853136.46</v>
      </c>
      <c r="H2396" t="str">
        <f>TEXT(Ventas[[#This Row],[Fecha_venta]],"dd")</f>
        <v>16</v>
      </c>
      <c r="I2396" t="str">
        <f>TEXT(Ventas[[#This Row],[Fecha_venta]],"m")</f>
        <v>3</v>
      </c>
      <c r="J2396" t="str">
        <f>TEXT(Ventas[[#This Row],[Fecha_venta]],"yyyy")</f>
        <v>2012</v>
      </c>
    </row>
    <row r="2397" spans="1:10" x14ac:dyDescent="0.25">
      <c r="A2397">
        <v>17</v>
      </c>
      <c r="B2397" s="1">
        <v>40991</v>
      </c>
      <c r="C2397">
        <v>0</v>
      </c>
      <c r="D2397">
        <v>40.69</v>
      </c>
      <c r="E2397">
        <v>3.6709999999999998</v>
      </c>
      <c r="F2397">
        <v>130.89664519999999</v>
      </c>
      <c r="G2397">
        <v>851762.28</v>
      </c>
      <c r="H2397" t="str">
        <f>TEXT(Ventas[[#This Row],[Fecha_venta]],"dd")</f>
        <v>23</v>
      </c>
      <c r="I2397" t="str">
        <f>TEXT(Ventas[[#This Row],[Fecha_venta]],"m")</f>
        <v>3</v>
      </c>
      <c r="J2397" t="str">
        <f>TEXT(Ventas[[#This Row],[Fecha_venta]],"yyyy")</f>
        <v>2012</v>
      </c>
    </row>
    <row r="2398" spans="1:10" x14ac:dyDescent="0.25">
      <c r="A2398">
        <v>17</v>
      </c>
      <c r="B2398" s="1">
        <v>40998</v>
      </c>
      <c r="C2398">
        <v>0</v>
      </c>
      <c r="D2398">
        <v>45.29</v>
      </c>
      <c r="E2398">
        <v>3.734</v>
      </c>
      <c r="F2398">
        <v>130.96709680000001</v>
      </c>
      <c r="G2398">
        <v>872469.03</v>
      </c>
      <c r="H2398" t="str">
        <f>TEXT(Ventas[[#This Row],[Fecha_venta]],"dd")</f>
        <v>30</v>
      </c>
      <c r="I2398" t="str">
        <f>TEXT(Ventas[[#This Row],[Fecha_venta]],"m")</f>
        <v>3</v>
      </c>
      <c r="J2398" t="str">
        <f>TEXT(Ventas[[#This Row],[Fecha_venta]],"yyyy")</f>
        <v>2012</v>
      </c>
    </row>
    <row r="2399" spans="1:10" x14ac:dyDescent="0.25">
      <c r="A2399">
        <v>17</v>
      </c>
      <c r="B2399" s="1">
        <v>41005</v>
      </c>
      <c r="C2399">
        <v>0</v>
      </c>
      <c r="D2399">
        <v>43.92</v>
      </c>
      <c r="E2399">
        <v>3.7930000000000001</v>
      </c>
      <c r="F2399">
        <v>131.03754839999999</v>
      </c>
      <c r="G2399">
        <v>986922.62</v>
      </c>
      <c r="H2399" t="str">
        <f>TEXT(Ventas[[#This Row],[Fecha_venta]],"dd")</f>
        <v>06</v>
      </c>
      <c r="I2399" t="str">
        <f>TEXT(Ventas[[#This Row],[Fecha_venta]],"m")</f>
        <v>4</v>
      </c>
      <c r="J2399" t="str">
        <f>TEXT(Ventas[[#This Row],[Fecha_venta]],"yyyy")</f>
        <v>2012</v>
      </c>
    </row>
    <row r="2400" spans="1:10" x14ac:dyDescent="0.25">
      <c r="A2400">
        <v>17</v>
      </c>
      <c r="B2400" s="1">
        <v>41012</v>
      </c>
      <c r="C2400">
        <v>0</v>
      </c>
      <c r="D2400">
        <v>46.94</v>
      </c>
      <c r="E2400">
        <v>3.8330000000000002</v>
      </c>
      <c r="F2400">
        <v>131.108</v>
      </c>
      <c r="G2400">
        <v>877055.32</v>
      </c>
      <c r="H2400" t="str">
        <f>TEXT(Ventas[[#This Row],[Fecha_venta]],"dd")</f>
        <v>13</v>
      </c>
      <c r="I2400" t="str">
        <f>TEXT(Ventas[[#This Row],[Fecha_venta]],"m")</f>
        <v>4</v>
      </c>
      <c r="J2400" t="str">
        <f>TEXT(Ventas[[#This Row],[Fecha_venta]],"yyyy")</f>
        <v>2012</v>
      </c>
    </row>
    <row r="2401" spans="1:10" x14ac:dyDescent="0.25">
      <c r="A2401">
        <v>17</v>
      </c>
      <c r="B2401" s="1">
        <v>41019</v>
      </c>
      <c r="C2401">
        <v>0</v>
      </c>
      <c r="D2401">
        <v>47.69</v>
      </c>
      <c r="E2401">
        <v>3.8450000000000002</v>
      </c>
      <c r="F2401">
        <v>131.11733330000001</v>
      </c>
      <c r="G2401">
        <v>1119979.98</v>
      </c>
      <c r="H2401" t="str">
        <f>TEXT(Ventas[[#This Row],[Fecha_venta]],"dd")</f>
        <v>20</v>
      </c>
      <c r="I2401" t="str">
        <f>TEXT(Ventas[[#This Row],[Fecha_venta]],"m")</f>
        <v>4</v>
      </c>
      <c r="J2401" t="str">
        <f>TEXT(Ventas[[#This Row],[Fecha_venta]],"yyyy")</f>
        <v>2012</v>
      </c>
    </row>
    <row r="2402" spans="1:10" x14ac:dyDescent="0.25">
      <c r="A2402">
        <v>17</v>
      </c>
      <c r="B2402" s="1">
        <v>41026</v>
      </c>
      <c r="C2402">
        <v>0</v>
      </c>
      <c r="D2402">
        <v>59.11</v>
      </c>
      <c r="E2402">
        <v>3.8420000000000001</v>
      </c>
      <c r="F2402">
        <v>131.12666669999999</v>
      </c>
      <c r="G2402">
        <v>925916.65</v>
      </c>
      <c r="H2402" t="str">
        <f>TEXT(Ventas[[#This Row],[Fecha_venta]],"dd")</f>
        <v>27</v>
      </c>
      <c r="I2402" t="str">
        <f>TEXT(Ventas[[#This Row],[Fecha_venta]],"m")</f>
        <v>4</v>
      </c>
      <c r="J2402" t="str">
        <f>TEXT(Ventas[[#This Row],[Fecha_venta]],"yyyy")</f>
        <v>2012</v>
      </c>
    </row>
    <row r="2403" spans="1:10" x14ac:dyDescent="0.25">
      <c r="A2403">
        <v>17</v>
      </c>
      <c r="B2403" s="1">
        <v>41033</v>
      </c>
      <c r="C2403">
        <v>0</v>
      </c>
      <c r="D2403">
        <v>48.86</v>
      </c>
      <c r="E2403">
        <v>3.831</v>
      </c>
      <c r="F2403">
        <v>131.136</v>
      </c>
      <c r="G2403">
        <v>930121.14</v>
      </c>
      <c r="H2403" t="str">
        <f>TEXT(Ventas[[#This Row],[Fecha_venta]],"dd")</f>
        <v>04</v>
      </c>
      <c r="I2403" t="str">
        <f>TEXT(Ventas[[#This Row],[Fecha_venta]],"m")</f>
        <v>5</v>
      </c>
      <c r="J2403" t="str">
        <f>TEXT(Ventas[[#This Row],[Fecha_venta]],"yyyy")</f>
        <v>2012</v>
      </c>
    </row>
    <row r="2404" spans="1:10" x14ac:dyDescent="0.25">
      <c r="A2404">
        <v>17</v>
      </c>
      <c r="B2404" s="1">
        <v>41040</v>
      </c>
      <c r="C2404">
        <v>0</v>
      </c>
      <c r="D2404">
        <v>49.96</v>
      </c>
      <c r="E2404">
        <v>3.8090000000000002</v>
      </c>
      <c r="F2404">
        <v>131.1453333</v>
      </c>
      <c r="G2404">
        <v>944100.3</v>
      </c>
      <c r="H2404" t="str">
        <f>TEXT(Ventas[[#This Row],[Fecha_venta]],"dd")</f>
        <v>11</v>
      </c>
      <c r="I2404" t="str">
        <f>TEXT(Ventas[[#This Row],[Fecha_venta]],"m")</f>
        <v>5</v>
      </c>
      <c r="J2404" t="str">
        <f>TEXT(Ventas[[#This Row],[Fecha_venta]],"yyyy")</f>
        <v>2012</v>
      </c>
    </row>
    <row r="2405" spans="1:10" x14ac:dyDescent="0.25">
      <c r="A2405">
        <v>17</v>
      </c>
      <c r="B2405" s="1">
        <v>41047</v>
      </c>
      <c r="C2405">
        <v>0</v>
      </c>
      <c r="D2405">
        <v>59.67</v>
      </c>
      <c r="E2405">
        <v>3.8079999999999998</v>
      </c>
      <c r="F2405">
        <v>131.09832259999999</v>
      </c>
      <c r="G2405">
        <v>968816.33</v>
      </c>
      <c r="H2405" t="str">
        <f>TEXT(Ventas[[#This Row],[Fecha_venta]],"dd")</f>
        <v>18</v>
      </c>
      <c r="I2405" t="str">
        <f>TEXT(Ventas[[#This Row],[Fecha_venta]],"m")</f>
        <v>5</v>
      </c>
      <c r="J2405" t="str">
        <f>TEXT(Ventas[[#This Row],[Fecha_venta]],"yyyy")</f>
        <v>2012</v>
      </c>
    </row>
    <row r="2406" spans="1:10" x14ac:dyDescent="0.25">
      <c r="A2406">
        <v>17</v>
      </c>
      <c r="B2406" s="1">
        <v>41054</v>
      </c>
      <c r="C2406">
        <v>0</v>
      </c>
      <c r="D2406">
        <v>55.69</v>
      </c>
      <c r="E2406">
        <v>3.8010000000000002</v>
      </c>
      <c r="F2406">
        <v>131.02877419999999</v>
      </c>
      <c r="G2406">
        <v>984881.59</v>
      </c>
      <c r="H2406" t="str">
        <f>TEXT(Ventas[[#This Row],[Fecha_venta]],"dd")</f>
        <v>25</v>
      </c>
      <c r="I2406" t="str">
        <f>TEXT(Ventas[[#This Row],[Fecha_venta]],"m")</f>
        <v>5</v>
      </c>
      <c r="J2406" t="str">
        <f>TEXT(Ventas[[#This Row],[Fecha_venta]],"yyyy")</f>
        <v>2012</v>
      </c>
    </row>
    <row r="2407" spans="1:10" x14ac:dyDescent="0.25">
      <c r="A2407">
        <v>17</v>
      </c>
      <c r="B2407" s="1">
        <v>41061</v>
      </c>
      <c r="C2407">
        <v>0</v>
      </c>
      <c r="D2407">
        <v>54.13</v>
      </c>
      <c r="E2407">
        <v>3.7879999999999998</v>
      </c>
      <c r="F2407">
        <v>130.95922580000001</v>
      </c>
      <c r="G2407">
        <v>938914.28</v>
      </c>
      <c r="H2407" t="str">
        <f>TEXT(Ventas[[#This Row],[Fecha_venta]],"dd")</f>
        <v>01</v>
      </c>
      <c r="I2407" t="str">
        <f>TEXT(Ventas[[#This Row],[Fecha_venta]],"m")</f>
        <v>6</v>
      </c>
      <c r="J2407" t="str">
        <f>TEXT(Ventas[[#This Row],[Fecha_venta]],"yyyy")</f>
        <v>2012</v>
      </c>
    </row>
    <row r="2408" spans="1:10" x14ac:dyDescent="0.25">
      <c r="A2408">
        <v>17</v>
      </c>
      <c r="B2408" s="1">
        <v>41068</v>
      </c>
      <c r="C2408">
        <v>0</v>
      </c>
      <c r="D2408">
        <v>60.51</v>
      </c>
      <c r="E2408">
        <v>3.7759999999999998</v>
      </c>
      <c r="F2408">
        <v>130.88967740000001</v>
      </c>
      <c r="G2408">
        <v>987990.24</v>
      </c>
      <c r="H2408" t="str">
        <f>TEXT(Ventas[[#This Row],[Fecha_venta]],"dd")</f>
        <v>08</v>
      </c>
      <c r="I2408" t="str">
        <f>TEXT(Ventas[[#This Row],[Fecha_venta]],"m")</f>
        <v>6</v>
      </c>
      <c r="J2408" t="str">
        <f>TEXT(Ventas[[#This Row],[Fecha_venta]],"yyyy")</f>
        <v>2012</v>
      </c>
    </row>
    <row r="2409" spans="1:10" x14ac:dyDescent="0.25">
      <c r="A2409">
        <v>17</v>
      </c>
      <c r="B2409" s="1">
        <v>41075</v>
      </c>
      <c r="C2409">
        <v>0</v>
      </c>
      <c r="D2409">
        <v>56.67</v>
      </c>
      <c r="E2409">
        <v>3.7559999999999998</v>
      </c>
      <c r="F2409">
        <v>130.82953330000001</v>
      </c>
      <c r="G2409">
        <v>964169.67</v>
      </c>
      <c r="H2409" t="str">
        <f>TEXT(Ventas[[#This Row],[Fecha_venta]],"dd")</f>
        <v>15</v>
      </c>
      <c r="I2409" t="str">
        <f>TEXT(Ventas[[#This Row],[Fecha_venta]],"m")</f>
        <v>6</v>
      </c>
      <c r="J2409" t="str">
        <f>TEXT(Ventas[[#This Row],[Fecha_venta]],"yyyy")</f>
        <v>2012</v>
      </c>
    </row>
    <row r="2410" spans="1:10" x14ac:dyDescent="0.25">
      <c r="A2410">
        <v>17</v>
      </c>
      <c r="B2410" s="1">
        <v>41082</v>
      </c>
      <c r="C2410">
        <v>0</v>
      </c>
      <c r="D2410">
        <v>62.9</v>
      </c>
      <c r="E2410">
        <v>3.7370000000000001</v>
      </c>
      <c r="F2410">
        <v>130.7929</v>
      </c>
      <c r="G2410">
        <v>981210.57</v>
      </c>
      <c r="H2410" t="str">
        <f>TEXT(Ventas[[#This Row],[Fecha_venta]],"dd")</f>
        <v>22</v>
      </c>
      <c r="I2410" t="str">
        <f>TEXT(Ventas[[#This Row],[Fecha_venta]],"m")</f>
        <v>6</v>
      </c>
      <c r="J2410" t="str">
        <f>TEXT(Ventas[[#This Row],[Fecha_venta]],"yyyy")</f>
        <v>2012</v>
      </c>
    </row>
    <row r="2411" spans="1:10" x14ac:dyDescent="0.25">
      <c r="A2411">
        <v>17</v>
      </c>
      <c r="B2411" s="1">
        <v>41089</v>
      </c>
      <c r="C2411">
        <v>0</v>
      </c>
      <c r="D2411">
        <v>71.14</v>
      </c>
      <c r="E2411">
        <v>3.681</v>
      </c>
      <c r="F2411">
        <v>130.7562667</v>
      </c>
      <c r="G2411">
        <v>982322.24</v>
      </c>
      <c r="H2411" t="str">
        <f>TEXT(Ventas[[#This Row],[Fecha_venta]],"dd")</f>
        <v>29</v>
      </c>
      <c r="I2411" t="str">
        <f>TEXT(Ventas[[#This Row],[Fecha_venta]],"m")</f>
        <v>6</v>
      </c>
      <c r="J2411" t="str">
        <f>TEXT(Ventas[[#This Row],[Fecha_venta]],"yyyy")</f>
        <v>2012</v>
      </c>
    </row>
    <row r="2412" spans="1:10" x14ac:dyDescent="0.25">
      <c r="A2412">
        <v>17</v>
      </c>
      <c r="B2412" s="1">
        <v>41096</v>
      </c>
      <c r="C2412">
        <v>0</v>
      </c>
      <c r="D2412">
        <v>68.91</v>
      </c>
      <c r="E2412">
        <v>3.63</v>
      </c>
      <c r="F2412">
        <v>130.7196333</v>
      </c>
      <c r="G2412">
        <v>1046782.52</v>
      </c>
      <c r="H2412" t="str">
        <f>TEXT(Ventas[[#This Row],[Fecha_venta]],"dd")</f>
        <v>06</v>
      </c>
      <c r="I2412" t="str">
        <f>TEXT(Ventas[[#This Row],[Fecha_venta]],"m")</f>
        <v>7</v>
      </c>
      <c r="J2412" t="str">
        <f>TEXT(Ventas[[#This Row],[Fecha_venta]],"yyyy")</f>
        <v>2012</v>
      </c>
    </row>
    <row r="2413" spans="1:10" x14ac:dyDescent="0.25">
      <c r="A2413">
        <v>17</v>
      </c>
      <c r="B2413" s="1">
        <v>41103</v>
      </c>
      <c r="C2413">
        <v>0</v>
      </c>
      <c r="D2413">
        <v>72.94</v>
      </c>
      <c r="E2413">
        <v>3.5950000000000002</v>
      </c>
      <c r="F2413">
        <v>130.68299999999999</v>
      </c>
      <c r="G2413">
        <v>960746.04</v>
      </c>
      <c r="H2413" t="str">
        <f>TEXT(Ventas[[#This Row],[Fecha_venta]],"dd")</f>
        <v>13</v>
      </c>
      <c r="I2413" t="str">
        <f>TEXT(Ventas[[#This Row],[Fecha_venta]],"m")</f>
        <v>7</v>
      </c>
      <c r="J2413" t="str">
        <f>TEXT(Ventas[[#This Row],[Fecha_venta]],"yyyy")</f>
        <v>2012</v>
      </c>
    </row>
    <row r="2414" spans="1:10" x14ac:dyDescent="0.25">
      <c r="A2414">
        <v>17</v>
      </c>
      <c r="B2414" s="1">
        <v>41110</v>
      </c>
      <c r="C2414">
        <v>0</v>
      </c>
      <c r="D2414">
        <v>70.59</v>
      </c>
      <c r="E2414">
        <v>3.556</v>
      </c>
      <c r="F2414">
        <v>130.70129030000001</v>
      </c>
      <c r="G2414">
        <v>944698.7</v>
      </c>
      <c r="H2414" t="str">
        <f>TEXT(Ventas[[#This Row],[Fecha_venta]],"dd")</f>
        <v>20</v>
      </c>
      <c r="I2414" t="str">
        <f>TEXT(Ventas[[#This Row],[Fecha_venta]],"m")</f>
        <v>7</v>
      </c>
      <c r="J2414" t="str">
        <f>TEXT(Ventas[[#This Row],[Fecha_venta]],"yyyy")</f>
        <v>2012</v>
      </c>
    </row>
    <row r="2415" spans="1:10" x14ac:dyDescent="0.25">
      <c r="A2415">
        <v>17</v>
      </c>
      <c r="B2415" s="1">
        <v>41117</v>
      </c>
      <c r="C2415">
        <v>0</v>
      </c>
      <c r="D2415">
        <v>74.2</v>
      </c>
      <c r="E2415">
        <v>3.5369999999999999</v>
      </c>
      <c r="F2415">
        <v>130.7195806</v>
      </c>
      <c r="G2415">
        <v>907493.24</v>
      </c>
      <c r="H2415" t="str">
        <f>TEXT(Ventas[[#This Row],[Fecha_venta]],"dd")</f>
        <v>27</v>
      </c>
      <c r="I2415" t="str">
        <f>TEXT(Ventas[[#This Row],[Fecha_venta]],"m")</f>
        <v>7</v>
      </c>
      <c r="J2415" t="str">
        <f>TEXT(Ventas[[#This Row],[Fecha_venta]],"yyyy")</f>
        <v>2012</v>
      </c>
    </row>
    <row r="2416" spans="1:10" x14ac:dyDescent="0.25">
      <c r="A2416">
        <v>17</v>
      </c>
      <c r="B2416" s="1">
        <v>41124</v>
      </c>
      <c r="C2416">
        <v>0</v>
      </c>
      <c r="D2416">
        <v>72.94</v>
      </c>
      <c r="E2416">
        <v>3.512</v>
      </c>
      <c r="F2416">
        <v>130.73787100000001</v>
      </c>
      <c r="G2416">
        <v>877813.33</v>
      </c>
      <c r="H2416" t="str">
        <f>TEXT(Ventas[[#This Row],[Fecha_venta]],"dd")</f>
        <v>03</v>
      </c>
      <c r="I2416" t="str">
        <f>TEXT(Ventas[[#This Row],[Fecha_venta]],"m")</f>
        <v>8</v>
      </c>
      <c r="J2416" t="str">
        <f>TEXT(Ventas[[#This Row],[Fecha_venta]],"yyyy")</f>
        <v>2012</v>
      </c>
    </row>
    <row r="2417" spans="1:10" x14ac:dyDescent="0.25">
      <c r="A2417">
        <v>17</v>
      </c>
      <c r="B2417" s="1">
        <v>41131</v>
      </c>
      <c r="C2417">
        <v>0</v>
      </c>
      <c r="D2417">
        <v>73.290000000000006</v>
      </c>
      <c r="E2417">
        <v>3.5089999999999999</v>
      </c>
      <c r="F2417">
        <v>130.7561613</v>
      </c>
      <c r="G2417">
        <v>849074.04</v>
      </c>
      <c r="H2417" t="str">
        <f>TEXT(Ventas[[#This Row],[Fecha_venta]],"dd")</f>
        <v>10</v>
      </c>
      <c r="I2417" t="str">
        <f>TEXT(Ventas[[#This Row],[Fecha_venta]],"m")</f>
        <v>8</v>
      </c>
      <c r="J2417" t="str">
        <f>TEXT(Ventas[[#This Row],[Fecha_venta]],"yyyy")</f>
        <v>2012</v>
      </c>
    </row>
    <row r="2418" spans="1:10" x14ac:dyDescent="0.25">
      <c r="A2418">
        <v>17</v>
      </c>
      <c r="B2418" s="1">
        <v>41138</v>
      </c>
      <c r="C2418">
        <v>0</v>
      </c>
      <c r="D2418">
        <v>70.98</v>
      </c>
      <c r="E2418">
        <v>3.5449999999999999</v>
      </c>
      <c r="F2418">
        <v>130.79096770000001</v>
      </c>
      <c r="G2418">
        <v>844928.17</v>
      </c>
      <c r="H2418" t="str">
        <f>TEXT(Ventas[[#This Row],[Fecha_venta]],"dd")</f>
        <v>17</v>
      </c>
      <c r="I2418" t="str">
        <f>TEXT(Ventas[[#This Row],[Fecha_venta]],"m")</f>
        <v>8</v>
      </c>
      <c r="J2418" t="str">
        <f>TEXT(Ventas[[#This Row],[Fecha_venta]],"yyyy")</f>
        <v>2012</v>
      </c>
    </row>
    <row r="2419" spans="1:10" x14ac:dyDescent="0.25">
      <c r="A2419">
        <v>17</v>
      </c>
      <c r="B2419" s="1">
        <v>41145</v>
      </c>
      <c r="C2419">
        <v>0</v>
      </c>
      <c r="D2419">
        <v>68.89</v>
      </c>
      <c r="E2419">
        <v>3.5819999999999999</v>
      </c>
      <c r="F2419">
        <v>130.8381613</v>
      </c>
      <c r="G2419">
        <v>924299.78</v>
      </c>
      <c r="H2419" t="str">
        <f>TEXT(Ventas[[#This Row],[Fecha_venta]],"dd")</f>
        <v>24</v>
      </c>
      <c r="I2419" t="str">
        <f>TEXT(Ventas[[#This Row],[Fecha_venta]],"m")</f>
        <v>8</v>
      </c>
      <c r="J2419" t="str">
        <f>TEXT(Ventas[[#This Row],[Fecha_venta]],"yyyy")</f>
        <v>2012</v>
      </c>
    </row>
    <row r="2420" spans="1:10" x14ac:dyDescent="0.25">
      <c r="A2420">
        <v>17</v>
      </c>
      <c r="B2420" s="1">
        <v>41152</v>
      </c>
      <c r="C2420">
        <v>0</v>
      </c>
      <c r="D2420">
        <v>68.069999999999993</v>
      </c>
      <c r="E2420">
        <v>3.6240000000000001</v>
      </c>
      <c r="F2420">
        <v>130.88535479999999</v>
      </c>
      <c r="G2420">
        <v>865924.2</v>
      </c>
      <c r="H2420" t="str">
        <f>TEXT(Ventas[[#This Row],[Fecha_venta]],"dd")</f>
        <v>31</v>
      </c>
      <c r="I2420" t="str">
        <f>TEXT(Ventas[[#This Row],[Fecha_venta]],"m")</f>
        <v>8</v>
      </c>
      <c r="J2420" t="str">
        <f>TEXT(Ventas[[#This Row],[Fecha_venta]],"yyyy")</f>
        <v>2012</v>
      </c>
    </row>
    <row r="2421" spans="1:10" x14ac:dyDescent="0.25">
      <c r="A2421">
        <v>17</v>
      </c>
      <c r="B2421" s="1">
        <v>41159</v>
      </c>
      <c r="C2421">
        <v>1</v>
      </c>
      <c r="D2421">
        <v>61.99</v>
      </c>
      <c r="E2421">
        <v>3.6890000000000001</v>
      </c>
      <c r="F2421">
        <v>130.9325484</v>
      </c>
      <c r="G2421">
        <v>1255633.29</v>
      </c>
      <c r="H2421" t="str">
        <f>TEXT(Ventas[[#This Row],[Fecha_venta]],"dd")</f>
        <v>07</v>
      </c>
      <c r="I2421" t="str">
        <f>TEXT(Ventas[[#This Row],[Fecha_venta]],"m")</f>
        <v>9</v>
      </c>
      <c r="J2421" t="str">
        <f>TEXT(Ventas[[#This Row],[Fecha_venta]],"yyyy")</f>
        <v>2012</v>
      </c>
    </row>
    <row r="2422" spans="1:10" x14ac:dyDescent="0.25">
      <c r="A2422">
        <v>17</v>
      </c>
      <c r="B2422" s="1">
        <v>41166</v>
      </c>
      <c r="C2422">
        <v>0</v>
      </c>
      <c r="D2422">
        <v>59.64</v>
      </c>
      <c r="E2422">
        <v>3.7490000000000001</v>
      </c>
      <c r="F2422">
        <v>130.97766669999999</v>
      </c>
      <c r="G2422">
        <v>1071040.22</v>
      </c>
      <c r="H2422" t="str">
        <f>TEXT(Ventas[[#This Row],[Fecha_venta]],"dd")</f>
        <v>14</v>
      </c>
      <c r="I2422" t="str">
        <f>TEXT(Ventas[[#This Row],[Fecha_venta]],"m")</f>
        <v>9</v>
      </c>
      <c r="J2422" t="str">
        <f>TEXT(Ventas[[#This Row],[Fecha_venta]],"yyyy")</f>
        <v>2012</v>
      </c>
    </row>
    <row r="2423" spans="1:10" x14ac:dyDescent="0.25">
      <c r="A2423">
        <v>17</v>
      </c>
      <c r="B2423" s="1">
        <v>41173</v>
      </c>
      <c r="C2423">
        <v>0</v>
      </c>
      <c r="D2423">
        <v>58.43</v>
      </c>
      <c r="E2423">
        <v>3.8210000000000002</v>
      </c>
      <c r="F2423">
        <v>131.01033330000001</v>
      </c>
      <c r="G2423">
        <v>938303.28</v>
      </c>
      <c r="H2423" t="str">
        <f>TEXT(Ventas[[#This Row],[Fecha_venta]],"dd")</f>
        <v>21</v>
      </c>
      <c r="I2423" t="str">
        <f>TEXT(Ventas[[#This Row],[Fecha_venta]],"m")</f>
        <v>9</v>
      </c>
      <c r="J2423" t="str">
        <f>TEXT(Ventas[[#This Row],[Fecha_venta]],"yyyy")</f>
        <v>2012</v>
      </c>
    </row>
    <row r="2424" spans="1:10" x14ac:dyDescent="0.25">
      <c r="A2424">
        <v>17</v>
      </c>
      <c r="B2424" s="1">
        <v>41180</v>
      </c>
      <c r="C2424">
        <v>0</v>
      </c>
      <c r="D2424">
        <v>57.77</v>
      </c>
      <c r="E2424">
        <v>3.8210000000000002</v>
      </c>
      <c r="F2424">
        <v>131.04300000000001</v>
      </c>
      <c r="G2424">
        <v>972716.24</v>
      </c>
      <c r="H2424" t="str">
        <f>TEXT(Ventas[[#This Row],[Fecha_venta]],"dd")</f>
        <v>28</v>
      </c>
      <c r="I2424" t="str">
        <f>TEXT(Ventas[[#This Row],[Fecha_venta]],"m")</f>
        <v>9</v>
      </c>
      <c r="J2424" t="str">
        <f>TEXT(Ventas[[#This Row],[Fecha_venta]],"yyyy")</f>
        <v>2012</v>
      </c>
    </row>
    <row r="2425" spans="1:10" x14ac:dyDescent="0.25">
      <c r="A2425">
        <v>17</v>
      </c>
      <c r="B2425" s="1">
        <v>41187</v>
      </c>
      <c r="C2425">
        <v>0</v>
      </c>
      <c r="D2425">
        <v>52.81</v>
      </c>
      <c r="E2425">
        <v>3.8149999999999999</v>
      </c>
      <c r="F2425">
        <v>131.0756667</v>
      </c>
      <c r="G2425">
        <v>952609.17</v>
      </c>
      <c r="H2425" t="str">
        <f>TEXT(Ventas[[#This Row],[Fecha_venta]],"dd")</f>
        <v>05</v>
      </c>
      <c r="I2425" t="str">
        <f>TEXT(Ventas[[#This Row],[Fecha_venta]],"m")</f>
        <v>10</v>
      </c>
      <c r="J2425" t="str">
        <f>TEXT(Ventas[[#This Row],[Fecha_venta]],"yyyy")</f>
        <v>2012</v>
      </c>
    </row>
    <row r="2426" spans="1:10" x14ac:dyDescent="0.25">
      <c r="A2426">
        <v>17</v>
      </c>
      <c r="B2426" s="1">
        <v>41194</v>
      </c>
      <c r="C2426">
        <v>0</v>
      </c>
      <c r="D2426">
        <v>44.82</v>
      </c>
      <c r="E2426">
        <v>3.7970000000000002</v>
      </c>
      <c r="F2426">
        <v>131.1083333</v>
      </c>
      <c r="G2426">
        <v>919878.34</v>
      </c>
      <c r="H2426" t="str">
        <f>TEXT(Ventas[[#This Row],[Fecha_venta]],"dd")</f>
        <v>12</v>
      </c>
      <c r="I2426" t="str">
        <f>TEXT(Ventas[[#This Row],[Fecha_venta]],"m")</f>
        <v>10</v>
      </c>
      <c r="J2426" t="str">
        <f>TEXT(Ventas[[#This Row],[Fecha_venta]],"yyyy")</f>
        <v>2012</v>
      </c>
    </row>
    <row r="2427" spans="1:10" x14ac:dyDescent="0.25">
      <c r="A2427">
        <v>17</v>
      </c>
      <c r="B2427" s="1">
        <v>41201</v>
      </c>
      <c r="C2427">
        <v>0</v>
      </c>
      <c r="D2427">
        <v>48.16</v>
      </c>
      <c r="E2427">
        <v>3.7810000000000001</v>
      </c>
      <c r="F2427">
        <v>131.14996769999999</v>
      </c>
      <c r="G2427">
        <v>957356.84</v>
      </c>
      <c r="H2427" t="str">
        <f>TEXT(Ventas[[#This Row],[Fecha_venta]],"dd")</f>
        <v>19</v>
      </c>
      <c r="I2427" t="str">
        <f>TEXT(Ventas[[#This Row],[Fecha_venta]],"m")</f>
        <v>10</v>
      </c>
      <c r="J2427" t="str">
        <f>TEXT(Ventas[[#This Row],[Fecha_venta]],"yyyy")</f>
        <v>2012</v>
      </c>
    </row>
    <row r="2428" spans="1:10" x14ac:dyDescent="0.25">
      <c r="A2428">
        <v>17</v>
      </c>
      <c r="B2428" s="1">
        <v>41208</v>
      </c>
      <c r="C2428">
        <v>0</v>
      </c>
      <c r="D2428">
        <v>39.94</v>
      </c>
      <c r="E2428">
        <v>3.7549999999999999</v>
      </c>
      <c r="F2428">
        <v>131.19309680000001</v>
      </c>
      <c r="G2428">
        <v>943465.29</v>
      </c>
      <c r="H2428" t="str">
        <f>TEXT(Ventas[[#This Row],[Fecha_venta]],"dd")</f>
        <v>26</v>
      </c>
      <c r="I2428" t="str">
        <f>TEXT(Ventas[[#This Row],[Fecha_venta]],"m")</f>
        <v>10</v>
      </c>
      <c r="J2428" t="str">
        <f>TEXT(Ventas[[#This Row],[Fecha_venta]],"yyyy")</f>
        <v>2012</v>
      </c>
    </row>
    <row r="2429" spans="1:10" x14ac:dyDescent="0.25">
      <c r="A2429">
        <v>18</v>
      </c>
      <c r="B2429" s="1">
        <v>40214</v>
      </c>
      <c r="C2429">
        <v>0</v>
      </c>
      <c r="D2429">
        <v>21.33</v>
      </c>
      <c r="E2429">
        <v>2.7879999999999998</v>
      </c>
      <c r="F2429">
        <v>131.5279032</v>
      </c>
      <c r="G2429">
        <v>1205307.5</v>
      </c>
      <c r="H2429" t="str">
        <f>TEXT(Ventas[[#This Row],[Fecha_venta]],"dd")</f>
        <v>05</v>
      </c>
      <c r="I2429" t="str">
        <f>TEXT(Ventas[[#This Row],[Fecha_venta]],"m")</f>
        <v>2</v>
      </c>
      <c r="J2429" t="str">
        <f>TEXT(Ventas[[#This Row],[Fecha_venta]],"yyyy")</f>
        <v>2010</v>
      </c>
    </row>
    <row r="2430" spans="1:10" x14ac:dyDescent="0.25">
      <c r="A2430">
        <v>18</v>
      </c>
      <c r="B2430" s="1">
        <v>40221</v>
      </c>
      <c r="C2430">
        <v>1</v>
      </c>
      <c r="D2430">
        <v>26.41</v>
      </c>
      <c r="E2430">
        <v>2.7709999999999999</v>
      </c>
      <c r="F2430">
        <v>131.58661290000001</v>
      </c>
      <c r="G2430">
        <v>1187880.7</v>
      </c>
      <c r="H2430" t="str">
        <f>TEXT(Ventas[[#This Row],[Fecha_venta]],"dd")</f>
        <v>12</v>
      </c>
      <c r="I2430" t="str">
        <f>TEXT(Ventas[[#This Row],[Fecha_venta]],"m")</f>
        <v>2</v>
      </c>
      <c r="J2430" t="str">
        <f>TEXT(Ventas[[#This Row],[Fecha_venta]],"yyyy")</f>
        <v>2010</v>
      </c>
    </row>
    <row r="2431" spans="1:10" x14ac:dyDescent="0.25">
      <c r="A2431">
        <v>18</v>
      </c>
      <c r="B2431" s="1">
        <v>40228</v>
      </c>
      <c r="C2431">
        <v>0</v>
      </c>
      <c r="D2431">
        <v>30.91</v>
      </c>
      <c r="E2431">
        <v>2.7469999999999999</v>
      </c>
      <c r="F2431">
        <v>131.637</v>
      </c>
      <c r="G2431">
        <v>1150663.42</v>
      </c>
      <c r="H2431" t="str">
        <f>TEXT(Ventas[[#This Row],[Fecha_venta]],"dd")</f>
        <v>19</v>
      </c>
      <c r="I2431" t="str">
        <f>TEXT(Ventas[[#This Row],[Fecha_venta]],"m")</f>
        <v>2</v>
      </c>
      <c r="J2431" t="str">
        <f>TEXT(Ventas[[#This Row],[Fecha_venta]],"yyyy")</f>
        <v>2010</v>
      </c>
    </row>
    <row r="2432" spans="1:10" x14ac:dyDescent="0.25">
      <c r="A2432">
        <v>18</v>
      </c>
      <c r="B2432" s="1">
        <v>40235</v>
      </c>
      <c r="C2432">
        <v>0</v>
      </c>
      <c r="D2432">
        <v>35.42</v>
      </c>
      <c r="E2432">
        <v>2.7530000000000001</v>
      </c>
      <c r="F2432">
        <v>131.68600000000001</v>
      </c>
      <c r="G2432">
        <v>1068157.45</v>
      </c>
      <c r="H2432" t="str">
        <f>TEXT(Ventas[[#This Row],[Fecha_venta]],"dd")</f>
        <v>26</v>
      </c>
      <c r="I2432" t="str">
        <f>TEXT(Ventas[[#This Row],[Fecha_venta]],"m")</f>
        <v>2</v>
      </c>
      <c r="J2432" t="str">
        <f>TEXT(Ventas[[#This Row],[Fecha_venta]],"yyyy")</f>
        <v>2010</v>
      </c>
    </row>
    <row r="2433" spans="1:10" x14ac:dyDescent="0.25">
      <c r="A2433">
        <v>18</v>
      </c>
      <c r="B2433" s="1">
        <v>40242</v>
      </c>
      <c r="C2433">
        <v>0</v>
      </c>
      <c r="D2433">
        <v>37.17</v>
      </c>
      <c r="E2433">
        <v>2.766</v>
      </c>
      <c r="F2433">
        <v>131.73500000000001</v>
      </c>
      <c r="G2433">
        <v>1179738.5</v>
      </c>
      <c r="H2433" t="str">
        <f>TEXT(Ventas[[#This Row],[Fecha_venta]],"dd")</f>
        <v>05</v>
      </c>
      <c r="I2433" t="str">
        <f>TEXT(Ventas[[#This Row],[Fecha_venta]],"m")</f>
        <v>3</v>
      </c>
      <c r="J2433" t="str">
        <f>TEXT(Ventas[[#This Row],[Fecha_venta]],"yyyy")</f>
        <v>2010</v>
      </c>
    </row>
    <row r="2434" spans="1:10" x14ac:dyDescent="0.25">
      <c r="A2434">
        <v>18</v>
      </c>
      <c r="B2434" s="1">
        <v>40249</v>
      </c>
      <c r="C2434">
        <v>0</v>
      </c>
      <c r="D2434">
        <v>42.39</v>
      </c>
      <c r="E2434">
        <v>2.8050000000000002</v>
      </c>
      <c r="F2434">
        <v>131.78399999999999</v>
      </c>
      <c r="G2434">
        <v>1138800.32</v>
      </c>
      <c r="H2434" t="str">
        <f>TEXT(Ventas[[#This Row],[Fecha_venta]],"dd")</f>
        <v>12</v>
      </c>
      <c r="I2434" t="str">
        <f>TEXT(Ventas[[#This Row],[Fecha_venta]],"m")</f>
        <v>3</v>
      </c>
      <c r="J2434" t="str">
        <f>TEXT(Ventas[[#This Row],[Fecha_venta]],"yyyy")</f>
        <v>2010</v>
      </c>
    </row>
    <row r="2435" spans="1:10" x14ac:dyDescent="0.25">
      <c r="A2435">
        <v>18</v>
      </c>
      <c r="B2435" s="1">
        <v>40256</v>
      </c>
      <c r="C2435">
        <v>0</v>
      </c>
      <c r="D2435">
        <v>45.42</v>
      </c>
      <c r="E2435">
        <v>2.8340000000000001</v>
      </c>
      <c r="F2435">
        <v>131.8242903</v>
      </c>
      <c r="G2435">
        <v>1087507.47</v>
      </c>
      <c r="H2435" t="str">
        <f>TEXT(Ventas[[#This Row],[Fecha_venta]],"dd")</f>
        <v>19</v>
      </c>
      <c r="I2435" t="str">
        <f>TEXT(Ventas[[#This Row],[Fecha_venta]],"m")</f>
        <v>3</v>
      </c>
      <c r="J2435" t="str">
        <f>TEXT(Ventas[[#This Row],[Fecha_venta]],"yyyy")</f>
        <v>2010</v>
      </c>
    </row>
    <row r="2436" spans="1:10" x14ac:dyDescent="0.25">
      <c r="A2436">
        <v>18</v>
      </c>
      <c r="B2436" s="1">
        <v>40263</v>
      </c>
      <c r="C2436">
        <v>0</v>
      </c>
      <c r="D2436">
        <v>47.55</v>
      </c>
      <c r="E2436">
        <v>2.831</v>
      </c>
      <c r="F2436">
        <v>131.86312899999999</v>
      </c>
      <c r="G2436">
        <v>1092704.0900000001</v>
      </c>
      <c r="H2436" t="str">
        <f>TEXT(Ventas[[#This Row],[Fecha_venta]],"dd")</f>
        <v>26</v>
      </c>
      <c r="I2436" t="str">
        <f>TEXT(Ventas[[#This Row],[Fecha_venta]],"m")</f>
        <v>3</v>
      </c>
      <c r="J2436" t="str">
        <f>TEXT(Ventas[[#This Row],[Fecha_venta]],"yyyy")</f>
        <v>2010</v>
      </c>
    </row>
    <row r="2437" spans="1:10" x14ac:dyDescent="0.25">
      <c r="A2437">
        <v>18</v>
      </c>
      <c r="B2437" s="1">
        <v>40270</v>
      </c>
      <c r="C2437">
        <v>0</v>
      </c>
      <c r="D2437">
        <v>45.63</v>
      </c>
      <c r="E2437">
        <v>2.8260000000000001</v>
      </c>
      <c r="F2437">
        <v>131.9019677</v>
      </c>
      <c r="G2437">
        <v>1254107.8400000001</v>
      </c>
      <c r="H2437" t="str">
        <f>TEXT(Ventas[[#This Row],[Fecha_venta]],"dd")</f>
        <v>02</v>
      </c>
      <c r="I2437" t="str">
        <f>TEXT(Ventas[[#This Row],[Fecha_venta]],"m")</f>
        <v>4</v>
      </c>
      <c r="J2437" t="str">
        <f>TEXT(Ventas[[#This Row],[Fecha_venta]],"yyyy")</f>
        <v>2010</v>
      </c>
    </row>
    <row r="2438" spans="1:10" x14ac:dyDescent="0.25">
      <c r="A2438">
        <v>18</v>
      </c>
      <c r="B2438" s="1">
        <v>40277</v>
      </c>
      <c r="C2438">
        <v>0</v>
      </c>
      <c r="D2438">
        <v>59.91</v>
      </c>
      <c r="E2438">
        <v>2.8490000000000002</v>
      </c>
      <c r="F2438">
        <v>131.94080650000001</v>
      </c>
      <c r="G2438">
        <v>1174447.55</v>
      </c>
      <c r="H2438" t="str">
        <f>TEXT(Ventas[[#This Row],[Fecha_venta]],"dd")</f>
        <v>09</v>
      </c>
      <c r="I2438" t="str">
        <f>TEXT(Ventas[[#This Row],[Fecha_venta]],"m")</f>
        <v>4</v>
      </c>
      <c r="J2438" t="str">
        <f>TEXT(Ventas[[#This Row],[Fecha_venta]],"yyyy")</f>
        <v>2010</v>
      </c>
    </row>
    <row r="2439" spans="1:10" x14ac:dyDescent="0.25">
      <c r="A2439">
        <v>18</v>
      </c>
      <c r="B2439" s="1">
        <v>40284</v>
      </c>
      <c r="C2439">
        <v>0</v>
      </c>
      <c r="D2439">
        <v>50.26</v>
      </c>
      <c r="E2439">
        <v>2.8849999999999998</v>
      </c>
      <c r="F2439">
        <v>131.98089999999999</v>
      </c>
      <c r="G2439">
        <v>1135577.6200000001</v>
      </c>
      <c r="H2439" t="str">
        <f>TEXT(Ventas[[#This Row],[Fecha_venta]],"dd")</f>
        <v>16</v>
      </c>
      <c r="I2439" t="str">
        <f>TEXT(Ventas[[#This Row],[Fecha_venta]],"m")</f>
        <v>4</v>
      </c>
      <c r="J2439" t="str">
        <f>TEXT(Ventas[[#This Row],[Fecha_venta]],"yyyy")</f>
        <v>2010</v>
      </c>
    </row>
    <row r="2440" spans="1:10" x14ac:dyDescent="0.25">
      <c r="A2440">
        <v>18</v>
      </c>
      <c r="B2440" s="1">
        <v>40291</v>
      </c>
      <c r="C2440">
        <v>0</v>
      </c>
      <c r="D2440">
        <v>50.3</v>
      </c>
      <c r="E2440">
        <v>2.895</v>
      </c>
      <c r="F2440">
        <v>132.0226667</v>
      </c>
      <c r="G2440">
        <v>1132433.55</v>
      </c>
      <c r="H2440" t="str">
        <f>TEXT(Ventas[[#This Row],[Fecha_venta]],"dd")</f>
        <v>23</v>
      </c>
      <c r="I2440" t="str">
        <f>TEXT(Ventas[[#This Row],[Fecha_venta]],"m")</f>
        <v>4</v>
      </c>
      <c r="J2440" t="str">
        <f>TEXT(Ventas[[#This Row],[Fecha_venta]],"yyyy")</f>
        <v>2010</v>
      </c>
    </row>
    <row r="2441" spans="1:10" x14ac:dyDescent="0.25">
      <c r="A2441">
        <v>18</v>
      </c>
      <c r="B2441" s="1">
        <v>40298</v>
      </c>
      <c r="C2441">
        <v>0</v>
      </c>
      <c r="D2441">
        <v>51.12</v>
      </c>
      <c r="E2441">
        <v>2.9350000000000001</v>
      </c>
      <c r="F2441">
        <v>132.06443329999999</v>
      </c>
      <c r="G2441">
        <v>1060446.1599999999</v>
      </c>
      <c r="H2441" t="str">
        <f>TEXT(Ventas[[#This Row],[Fecha_venta]],"dd")</f>
        <v>30</v>
      </c>
      <c r="I2441" t="str">
        <f>TEXT(Ventas[[#This Row],[Fecha_venta]],"m")</f>
        <v>4</v>
      </c>
      <c r="J2441" t="str">
        <f>TEXT(Ventas[[#This Row],[Fecha_venta]],"yyyy")</f>
        <v>2010</v>
      </c>
    </row>
    <row r="2442" spans="1:10" x14ac:dyDescent="0.25">
      <c r="A2442">
        <v>18</v>
      </c>
      <c r="B2442" s="1">
        <v>40305</v>
      </c>
      <c r="C2442">
        <v>0</v>
      </c>
      <c r="D2442">
        <v>65.64</v>
      </c>
      <c r="E2442">
        <v>2.9809999999999999</v>
      </c>
      <c r="F2442">
        <v>132.1062</v>
      </c>
      <c r="G2442">
        <v>1222255.47</v>
      </c>
      <c r="H2442" t="str">
        <f>TEXT(Ventas[[#This Row],[Fecha_venta]],"dd")</f>
        <v>07</v>
      </c>
      <c r="I2442" t="str">
        <f>TEXT(Ventas[[#This Row],[Fecha_venta]],"m")</f>
        <v>5</v>
      </c>
      <c r="J2442" t="str">
        <f>TEXT(Ventas[[#This Row],[Fecha_venta]],"yyyy")</f>
        <v>2010</v>
      </c>
    </row>
    <row r="2443" spans="1:10" x14ac:dyDescent="0.25">
      <c r="A2443">
        <v>18</v>
      </c>
      <c r="B2443" s="1">
        <v>40312</v>
      </c>
      <c r="C2443">
        <v>0</v>
      </c>
      <c r="D2443">
        <v>49.9</v>
      </c>
      <c r="E2443">
        <v>2.9830000000000001</v>
      </c>
      <c r="F2443">
        <v>132.152129</v>
      </c>
      <c r="G2443">
        <v>1092616.49</v>
      </c>
      <c r="H2443" t="str">
        <f>TEXT(Ventas[[#This Row],[Fecha_venta]],"dd")</f>
        <v>14</v>
      </c>
      <c r="I2443" t="str">
        <f>TEXT(Ventas[[#This Row],[Fecha_venta]],"m")</f>
        <v>5</v>
      </c>
      <c r="J2443" t="str">
        <f>TEXT(Ventas[[#This Row],[Fecha_venta]],"yyyy")</f>
        <v>2010</v>
      </c>
    </row>
    <row r="2444" spans="1:10" x14ac:dyDescent="0.25">
      <c r="A2444">
        <v>18</v>
      </c>
      <c r="B2444" s="1">
        <v>40319</v>
      </c>
      <c r="C2444">
        <v>0</v>
      </c>
      <c r="D2444">
        <v>60.27</v>
      </c>
      <c r="E2444">
        <v>2.9609999999999999</v>
      </c>
      <c r="F2444">
        <v>132.2230323</v>
      </c>
      <c r="G2444">
        <v>1101621.3600000001</v>
      </c>
      <c r="H2444" t="str">
        <f>TEXT(Ventas[[#This Row],[Fecha_venta]],"dd")</f>
        <v>21</v>
      </c>
      <c r="I2444" t="str">
        <f>TEXT(Ventas[[#This Row],[Fecha_venta]],"m")</f>
        <v>5</v>
      </c>
      <c r="J2444" t="str">
        <f>TEXT(Ventas[[#This Row],[Fecha_venta]],"yyyy")</f>
        <v>2010</v>
      </c>
    </row>
    <row r="2445" spans="1:10" x14ac:dyDescent="0.25">
      <c r="A2445">
        <v>18</v>
      </c>
      <c r="B2445" s="1">
        <v>40326</v>
      </c>
      <c r="C2445">
        <v>0</v>
      </c>
      <c r="D2445">
        <v>69.12</v>
      </c>
      <c r="E2445">
        <v>2.9060000000000001</v>
      </c>
      <c r="F2445">
        <v>132.2939355</v>
      </c>
      <c r="G2445">
        <v>1256282.79</v>
      </c>
      <c r="H2445" t="str">
        <f>TEXT(Ventas[[#This Row],[Fecha_venta]],"dd")</f>
        <v>28</v>
      </c>
      <c r="I2445" t="str">
        <f>TEXT(Ventas[[#This Row],[Fecha_venta]],"m")</f>
        <v>5</v>
      </c>
      <c r="J2445" t="str">
        <f>TEXT(Ventas[[#This Row],[Fecha_venta]],"yyyy")</f>
        <v>2010</v>
      </c>
    </row>
    <row r="2446" spans="1:10" x14ac:dyDescent="0.25">
      <c r="A2446">
        <v>18</v>
      </c>
      <c r="B2446" s="1">
        <v>40333</v>
      </c>
      <c r="C2446">
        <v>0</v>
      </c>
      <c r="D2446">
        <v>70.28</v>
      </c>
      <c r="E2446">
        <v>2.8570000000000002</v>
      </c>
      <c r="F2446">
        <v>132.36483870000001</v>
      </c>
      <c r="G2446">
        <v>1271311.76</v>
      </c>
      <c r="H2446" t="str">
        <f>TEXT(Ventas[[#This Row],[Fecha_venta]],"dd")</f>
        <v>04</v>
      </c>
      <c r="I2446" t="str">
        <f>TEXT(Ventas[[#This Row],[Fecha_venta]],"m")</f>
        <v>6</v>
      </c>
      <c r="J2446" t="str">
        <f>TEXT(Ventas[[#This Row],[Fecha_venta]],"yyyy")</f>
        <v>2010</v>
      </c>
    </row>
    <row r="2447" spans="1:10" x14ac:dyDescent="0.25">
      <c r="A2447">
        <v>18</v>
      </c>
      <c r="B2447" s="1">
        <v>40340</v>
      </c>
      <c r="C2447">
        <v>0</v>
      </c>
      <c r="D2447">
        <v>64.08</v>
      </c>
      <c r="E2447">
        <v>2.83</v>
      </c>
      <c r="F2447">
        <v>132.43574190000001</v>
      </c>
      <c r="G2447">
        <v>1173521.82</v>
      </c>
      <c r="H2447" t="str">
        <f>TEXT(Ventas[[#This Row],[Fecha_venta]],"dd")</f>
        <v>11</v>
      </c>
      <c r="I2447" t="str">
        <f>TEXT(Ventas[[#This Row],[Fecha_venta]],"m")</f>
        <v>6</v>
      </c>
      <c r="J2447" t="str">
        <f>TEXT(Ventas[[#This Row],[Fecha_venta]],"yyyy")</f>
        <v>2010</v>
      </c>
    </row>
    <row r="2448" spans="1:10" x14ac:dyDescent="0.25">
      <c r="A2448">
        <v>18</v>
      </c>
      <c r="B2448" s="1">
        <v>40347</v>
      </c>
      <c r="C2448">
        <v>0</v>
      </c>
      <c r="D2448">
        <v>65.959999999999994</v>
      </c>
      <c r="E2448">
        <v>2.8050000000000002</v>
      </c>
      <c r="F2448">
        <v>132.47333330000001</v>
      </c>
      <c r="G2448">
        <v>1183225.92</v>
      </c>
      <c r="H2448" t="str">
        <f>TEXT(Ventas[[#This Row],[Fecha_venta]],"dd")</f>
        <v>18</v>
      </c>
      <c r="I2448" t="str">
        <f>TEXT(Ventas[[#This Row],[Fecha_venta]],"m")</f>
        <v>6</v>
      </c>
      <c r="J2448" t="str">
        <f>TEXT(Ventas[[#This Row],[Fecha_venta]],"yyyy")</f>
        <v>2010</v>
      </c>
    </row>
    <row r="2449" spans="1:10" x14ac:dyDescent="0.25">
      <c r="A2449">
        <v>18</v>
      </c>
      <c r="B2449" s="1">
        <v>40354</v>
      </c>
      <c r="C2449">
        <v>0</v>
      </c>
      <c r="D2449">
        <v>74.040000000000006</v>
      </c>
      <c r="E2449">
        <v>2.81</v>
      </c>
      <c r="F2449">
        <v>132.49760000000001</v>
      </c>
      <c r="G2449">
        <v>1220983.17</v>
      </c>
      <c r="H2449" t="str">
        <f>TEXT(Ventas[[#This Row],[Fecha_venta]],"dd")</f>
        <v>25</v>
      </c>
      <c r="I2449" t="str">
        <f>TEXT(Ventas[[#This Row],[Fecha_venta]],"m")</f>
        <v>6</v>
      </c>
      <c r="J2449" t="str">
        <f>TEXT(Ventas[[#This Row],[Fecha_venta]],"yyyy")</f>
        <v>2010</v>
      </c>
    </row>
    <row r="2450" spans="1:10" x14ac:dyDescent="0.25">
      <c r="A2450">
        <v>18</v>
      </c>
      <c r="B2450" s="1">
        <v>40361</v>
      </c>
      <c r="C2450">
        <v>0</v>
      </c>
      <c r="D2450">
        <v>71.22</v>
      </c>
      <c r="E2450">
        <v>2.8149999999999999</v>
      </c>
      <c r="F2450">
        <v>132.5218667</v>
      </c>
      <c r="G2450">
        <v>1257928.3500000001</v>
      </c>
      <c r="H2450" t="str">
        <f>TEXT(Ventas[[#This Row],[Fecha_venta]],"dd")</f>
        <v>02</v>
      </c>
      <c r="I2450" t="str">
        <f>TEXT(Ventas[[#This Row],[Fecha_venta]],"m")</f>
        <v>7</v>
      </c>
      <c r="J2450" t="str">
        <f>TEXT(Ventas[[#This Row],[Fecha_venta]],"yyyy")</f>
        <v>2010</v>
      </c>
    </row>
    <row r="2451" spans="1:10" x14ac:dyDescent="0.25">
      <c r="A2451">
        <v>18</v>
      </c>
      <c r="B2451" s="1">
        <v>40368</v>
      </c>
      <c r="C2451">
        <v>0</v>
      </c>
      <c r="D2451">
        <v>79.75</v>
      </c>
      <c r="E2451">
        <v>2.806</v>
      </c>
      <c r="F2451">
        <v>132.54613330000001</v>
      </c>
      <c r="G2451">
        <v>1171391.4099999999</v>
      </c>
      <c r="H2451" t="str">
        <f>TEXT(Ventas[[#This Row],[Fecha_venta]],"dd")</f>
        <v>09</v>
      </c>
      <c r="I2451" t="str">
        <f>TEXT(Ventas[[#This Row],[Fecha_venta]],"m")</f>
        <v>7</v>
      </c>
      <c r="J2451" t="str">
        <f>TEXT(Ventas[[#This Row],[Fecha_venta]],"yyyy")</f>
        <v>2010</v>
      </c>
    </row>
    <row r="2452" spans="1:10" x14ac:dyDescent="0.25">
      <c r="A2452">
        <v>18</v>
      </c>
      <c r="B2452" s="1">
        <v>40375</v>
      </c>
      <c r="C2452">
        <v>0</v>
      </c>
      <c r="D2452">
        <v>76.900000000000006</v>
      </c>
      <c r="E2452">
        <v>2.7959999999999998</v>
      </c>
      <c r="F2452">
        <v>132.5667742</v>
      </c>
      <c r="G2452">
        <v>1115514.6100000001</v>
      </c>
      <c r="H2452" t="str">
        <f>TEXT(Ventas[[#This Row],[Fecha_venta]],"dd")</f>
        <v>16</v>
      </c>
      <c r="I2452" t="str">
        <f>TEXT(Ventas[[#This Row],[Fecha_venta]],"m")</f>
        <v>7</v>
      </c>
      <c r="J2452" t="str">
        <f>TEXT(Ventas[[#This Row],[Fecha_venta]],"yyyy")</f>
        <v>2010</v>
      </c>
    </row>
    <row r="2453" spans="1:10" x14ac:dyDescent="0.25">
      <c r="A2453">
        <v>18</v>
      </c>
      <c r="B2453" s="1">
        <v>40382</v>
      </c>
      <c r="C2453">
        <v>0</v>
      </c>
      <c r="D2453">
        <v>75.709999999999994</v>
      </c>
      <c r="E2453">
        <v>2.7839999999999998</v>
      </c>
      <c r="F2453">
        <v>132.5825806</v>
      </c>
      <c r="G2453">
        <v>1032908.23</v>
      </c>
      <c r="H2453" t="str">
        <f>TEXT(Ventas[[#This Row],[Fecha_venta]],"dd")</f>
        <v>23</v>
      </c>
      <c r="I2453" t="str">
        <f>TEXT(Ventas[[#This Row],[Fecha_venta]],"m")</f>
        <v>7</v>
      </c>
      <c r="J2453" t="str">
        <f>TEXT(Ventas[[#This Row],[Fecha_venta]],"yyyy")</f>
        <v>2010</v>
      </c>
    </row>
    <row r="2454" spans="1:10" x14ac:dyDescent="0.25">
      <c r="A2454">
        <v>18</v>
      </c>
      <c r="B2454" s="1">
        <v>40389</v>
      </c>
      <c r="C2454">
        <v>0</v>
      </c>
      <c r="D2454">
        <v>75.790000000000006</v>
      </c>
      <c r="E2454">
        <v>2.7919999999999998</v>
      </c>
      <c r="F2454">
        <v>132.5983871</v>
      </c>
      <c r="G2454">
        <v>1078557.6200000001</v>
      </c>
      <c r="H2454" t="str">
        <f>TEXT(Ventas[[#This Row],[Fecha_venta]],"dd")</f>
        <v>30</v>
      </c>
      <c r="I2454" t="str">
        <f>TEXT(Ventas[[#This Row],[Fecha_venta]],"m")</f>
        <v>7</v>
      </c>
      <c r="J2454" t="str">
        <f>TEXT(Ventas[[#This Row],[Fecha_venta]],"yyyy")</f>
        <v>2010</v>
      </c>
    </row>
    <row r="2455" spans="1:10" x14ac:dyDescent="0.25">
      <c r="A2455">
        <v>18</v>
      </c>
      <c r="B2455" s="1">
        <v>40396</v>
      </c>
      <c r="C2455">
        <v>0</v>
      </c>
      <c r="D2455">
        <v>73.67</v>
      </c>
      <c r="E2455">
        <v>2.7919999999999998</v>
      </c>
      <c r="F2455">
        <v>132.6141935</v>
      </c>
      <c r="G2455">
        <v>1166117.8500000001</v>
      </c>
      <c r="H2455" t="str">
        <f>TEXT(Ventas[[#This Row],[Fecha_venta]],"dd")</f>
        <v>06</v>
      </c>
      <c r="I2455" t="str">
        <f>TEXT(Ventas[[#This Row],[Fecha_venta]],"m")</f>
        <v>8</v>
      </c>
      <c r="J2455" t="str">
        <f>TEXT(Ventas[[#This Row],[Fecha_venta]],"yyyy")</f>
        <v>2010</v>
      </c>
    </row>
    <row r="2456" spans="1:10" x14ac:dyDescent="0.25">
      <c r="A2456">
        <v>18</v>
      </c>
      <c r="B2456" s="1">
        <v>40403</v>
      </c>
      <c r="C2456">
        <v>0</v>
      </c>
      <c r="D2456">
        <v>74.19</v>
      </c>
      <c r="E2456">
        <v>2.81</v>
      </c>
      <c r="F2456">
        <v>132.63</v>
      </c>
      <c r="G2456">
        <v>1084722.78</v>
      </c>
      <c r="H2456" t="str">
        <f>TEXT(Ventas[[#This Row],[Fecha_venta]],"dd")</f>
        <v>13</v>
      </c>
      <c r="I2456" t="str">
        <f>TEXT(Ventas[[#This Row],[Fecha_venta]],"m")</f>
        <v>8</v>
      </c>
      <c r="J2456" t="str">
        <f>TEXT(Ventas[[#This Row],[Fecha_venta]],"yyyy")</f>
        <v>2010</v>
      </c>
    </row>
    <row r="2457" spans="1:10" x14ac:dyDescent="0.25">
      <c r="A2457">
        <v>18</v>
      </c>
      <c r="B2457" s="1">
        <v>40410</v>
      </c>
      <c r="C2457">
        <v>0</v>
      </c>
      <c r="D2457">
        <v>71.760000000000005</v>
      </c>
      <c r="E2457">
        <v>2.7959999999999998</v>
      </c>
      <c r="F2457">
        <v>32.661612900000002</v>
      </c>
      <c r="G2457">
        <v>1141860.67</v>
      </c>
      <c r="H2457" t="str">
        <f>TEXT(Ventas[[#This Row],[Fecha_venta]],"dd")</f>
        <v>20</v>
      </c>
      <c r="I2457" t="str">
        <f>TEXT(Ventas[[#This Row],[Fecha_venta]],"m")</f>
        <v>8</v>
      </c>
      <c r="J2457" t="str">
        <f>TEXT(Ventas[[#This Row],[Fecha_venta]],"yyyy")</f>
        <v>2010</v>
      </c>
    </row>
    <row r="2458" spans="1:10" x14ac:dyDescent="0.25">
      <c r="A2458">
        <v>18</v>
      </c>
      <c r="B2458" s="1">
        <v>40417</v>
      </c>
      <c r="C2458">
        <v>0</v>
      </c>
      <c r="D2458">
        <v>67.05</v>
      </c>
      <c r="E2458">
        <v>2.77</v>
      </c>
      <c r="F2458">
        <v>132.69322579999999</v>
      </c>
      <c r="G2458">
        <v>1214302.76</v>
      </c>
      <c r="H2458" t="str">
        <f>TEXT(Ventas[[#This Row],[Fecha_venta]],"dd")</f>
        <v>27</v>
      </c>
      <c r="I2458" t="str">
        <f>TEXT(Ventas[[#This Row],[Fecha_venta]],"m")</f>
        <v>8</v>
      </c>
      <c r="J2458" t="str">
        <f>TEXT(Ventas[[#This Row],[Fecha_venta]],"yyyy")</f>
        <v>2010</v>
      </c>
    </row>
    <row r="2459" spans="1:10" x14ac:dyDescent="0.25">
      <c r="A2459">
        <v>18</v>
      </c>
      <c r="B2459" s="1">
        <v>40424</v>
      </c>
      <c r="C2459">
        <v>0</v>
      </c>
      <c r="D2459">
        <v>75.42</v>
      </c>
      <c r="E2459">
        <v>2.7349999999999999</v>
      </c>
      <c r="F2459">
        <v>132.72483869999999</v>
      </c>
      <c r="G2459">
        <v>1187359.77</v>
      </c>
      <c r="H2459" t="str">
        <f>TEXT(Ventas[[#This Row],[Fecha_venta]],"dd")</f>
        <v>03</v>
      </c>
      <c r="I2459" t="str">
        <f>TEXT(Ventas[[#This Row],[Fecha_venta]],"m")</f>
        <v>9</v>
      </c>
      <c r="J2459" t="str">
        <f>TEXT(Ventas[[#This Row],[Fecha_venta]],"yyyy")</f>
        <v>2010</v>
      </c>
    </row>
    <row r="2460" spans="1:10" x14ac:dyDescent="0.25">
      <c r="A2460">
        <v>18</v>
      </c>
      <c r="B2460" s="1">
        <v>40431</v>
      </c>
      <c r="C2460">
        <v>1</v>
      </c>
      <c r="D2460">
        <v>67.09</v>
      </c>
      <c r="E2460">
        <v>2.7170000000000001</v>
      </c>
      <c r="F2460">
        <v>132.75645159999999</v>
      </c>
      <c r="G2460">
        <v>1011201.12</v>
      </c>
      <c r="H2460" t="str">
        <f>TEXT(Ventas[[#This Row],[Fecha_venta]],"dd")</f>
        <v>10</v>
      </c>
      <c r="I2460" t="str">
        <f>TEXT(Ventas[[#This Row],[Fecha_venta]],"m")</f>
        <v>9</v>
      </c>
      <c r="J2460" t="str">
        <f>TEXT(Ventas[[#This Row],[Fecha_venta]],"yyyy")</f>
        <v>2010</v>
      </c>
    </row>
    <row r="2461" spans="1:10" x14ac:dyDescent="0.25">
      <c r="A2461">
        <v>18</v>
      </c>
      <c r="B2461" s="1">
        <v>40438</v>
      </c>
      <c r="C2461">
        <v>0</v>
      </c>
      <c r="D2461">
        <v>60.94</v>
      </c>
      <c r="E2461">
        <v>2.7160000000000002</v>
      </c>
      <c r="F2461">
        <v>132.76706669999999</v>
      </c>
      <c r="G2461">
        <v>997998.21</v>
      </c>
      <c r="H2461" t="str">
        <f>TEXT(Ventas[[#This Row],[Fecha_venta]],"dd")</f>
        <v>17</v>
      </c>
      <c r="I2461" t="str">
        <f>TEXT(Ventas[[#This Row],[Fecha_venta]],"m")</f>
        <v>9</v>
      </c>
      <c r="J2461" t="str">
        <f>TEXT(Ventas[[#This Row],[Fecha_venta]],"yyyy")</f>
        <v>2010</v>
      </c>
    </row>
    <row r="2462" spans="1:10" x14ac:dyDescent="0.25">
      <c r="A2462">
        <v>18</v>
      </c>
      <c r="B2462" s="1">
        <v>40445</v>
      </c>
      <c r="C2462">
        <v>0</v>
      </c>
      <c r="D2462">
        <v>64.819999999999993</v>
      </c>
      <c r="E2462">
        <v>2.718</v>
      </c>
      <c r="F2462">
        <v>132.76193330000001</v>
      </c>
      <c r="G2462">
        <v>950862.92</v>
      </c>
      <c r="H2462" t="str">
        <f>TEXT(Ventas[[#This Row],[Fecha_venta]],"dd")</f>
        <v>24</v>
      </c>
      <c r="I2462" t="str">
        <f>TEXT(Ventas[[#This Row],[Fecha_venta]],"m")</f>
        <v>9</v>
      </c>
      <c r="J2462" t="str">
        <f>TEXT(Ventas[[#This Row],[Fecha_venta]],"yyyy")</f>
        <v>2010</v>
      </c>
    </row>
    <row r="2463" spans="1:10" x14ac:dyDescent="0.25">
      <c r="A2463">
        <v>18</v>
      </c>
      <c r="B2463" s="1">
        <v>40452</v>
      </c>
      <c r="C2463">
        <v>0</v>
      </c>
      <c r="D2463">
        <v>67.760000000000005</v>
      </c>
      <c r="E2463">
        <v>2.7170000000000001</v>
      </c>
      <c r="F2463">
        <v>132.7568</v>
      </c>
      <c r="G2463">
        <v>948977.5</v>
      </c>
      <c r="H2463" t="str">
        <f>TEXT(Ventas[[#This Row],[Fecha_venta]],"dd")</f>
        <v>01</v>
      </c>
      <c r="I2463" t="str">
        <f>TEXT(Ventas[[#This Row],[Fecha_venta]],"m")</f>
        <v>10</v>
      </c>
      <c r="J2463" t="str">
        <f>TEXT(Ventas[[#This Row],[Fecha_venta]],"yyyy")</f>
        <v>2010</v>
      </c>
    </row>
    <row r="2464" spans="1:10" x14ac:dyDescent="0.25">
      <c r="A2464">
        <v>18</v>
      </c>
      <c r="B2464" s="1">
        <v>40459</v>
      </c>
      <c r="C2464">
        <v>0</v>
      </c>
      <c r="D2464">
        <v>54.73</v>
      </c>
      <c r="E2464">
        <v>2.7759999999999998</v>
      </c>
      <c r="F2464">
        <v>132.75166669999999</v>
      </c>
      <c r="G2464">
        <v>1107432.71</v>
      </c>
      <c r="H2464" t="str">
        <f>TEXT(Ventas[[#This Row],[Fecha_venta]],"dd")</f>
        <v>08</v>
      </c>
      <c r="I2464" t="str">
        <f>TEXT(Ventas[[#This Row],[Fecha_venta]],"m")</f>
        <v>10</v>
      </c>
      <c r="J2464" t="str">
        <f>TEXT(Ventas[[#This Row],[Fecha_venta]],"yyyy")</f>
        <v>2010</v>
      </c>
    </row>
    <row r="2465" spans="1:10" x14ac:dyDescent="0.25">
      <c r="A2465">
        <v>18</v>
      </c>
      <c r="B2465" s="1">
        <v>40466</v>
      </c>
      <c r="C2465">
        <v>0</v>
      </c>
      <c r="D2465">
        <v>52.02</v>
      </c>
      <c r="E2465">
        <v>2.8780000000000001</v>
      </c>
      <c r="F2465">
        <v>132.7633548</v>
      </c>
      <c r="G2465">
        <v>1029618.1</v>
      </c>
      <c r="H2465" t="str">
        <f>TEXT(Ventas[[#This Row],[Fecha_venta]],"dd")</f>
        <v>15</v>
      </c>
      <c r="I2465" t="str">
        <f>TEXT(Ventas[[#This Row],[Fecha_venta]],"m")</f>
        <v>10</v>
      </c>
      <c r="J2465" t="str">
        <f>TEXT(Ventas[[#This Row],[Fecha_venta]],"yyyy")</f>
        <v>2010</v>
      </c>
    </row>
    <row r="2466" spans="1:10" x14ac:dyDescent="0.25">
      <c r="A2466">
        <v>18</v>
      </c>
      <c r="B2466" s="1">
        <v>40473</v>
      </c>
      <c r="C2466">
        <v>0</v>
      </c>
      <c r="D2466">
        <v>47.12</v>
      </c>
      <c r="E2466">
        <v>2.919</v>
      </c>
      <c r="F2466">
        <v>132.8170968</v>
      </c>
      <c r="G2466">
        <v>1052120.43</v>
      </c>
      <c r="H2466" t="str">
        <f>TEXT(Ventas[[#This Row],[Fecha_venta]],"dd")</f>
        <v>22</v>
      </c>
      <c r="I2466" t="str">
        <f>TEXT(Ventas[[#This Row],[Fecha_venta]],"m")</f>
        <v>10</v>
      </c>
      <c r="J2466" t="str">
        <f>TEXT(Ventas[[#This Row],[Fecha_venta]],"yyyy")</f>
        <v>2010</v>
      </c>
    </row>
    <row r="2467" spans="1:10" x14ac:dyDescent="0.25">
      <c r="A2467">
        <v>18</v>
      </c>
      <c r="B2467" s="1">
        <v>40480</v>
      </c>
      <c r="C2467">
        <v>0</v>
      </c>
      <c r="D2467">
        <v>55.85</v>
      </c>
      <c r="E2467">
        <v>2.9380000000000002</v>
      </c>
      <c r="F2467">
        <v>132.87083870000001</v>
      </c>
      <c r="G2467">
        <v>1038576.54</v>
      </c>
      <c r="H2467" t="str">
        <f>TEXT(Ventas[[#This Row],[Fecha_venta]],"dd")</f>
        <v>29</v>
      </c>
      <c r="I2467" t="str">
        <f>TEXT(Ventas[[#This Row],[Fecha_venta]],"m")</f>
        <v>10</v>
      </c>
      <c r="J2467" t="str">
        <f>TEXT(Ventas[[#This Row],[Fecha_venta]],"yyyy")</f>
        <v>2010</v>
      </c>
    </row>
    <row r="2468" spans="1:10" x14ac:dyDescent="0.25">
      <c r="A2468">
        <v>18</v>
      </c>
      <c r="B2468" s="1">
        <v>40487</v>
      </c>
      <c r="C2468">
        <v>0</v>
      </c>
      <c r="D2468">
        <v>42.05</v>
      </c>
      <c r="E2468">
        <v>2.9380000000000002</v>
      </c>
      <c r="F2468">
        <v>55.924580599999999</v>
      </c>
      <c r="G2468">
        <v>1089530.94</v>
      </c>
      <c r="H2468" t="str">
        <f>TEXT(Ventas[[#This Row],[Fecha_venta]],"dd")</f>
        <v>05</v>
      </c>
      <c r="I2468" t="str">
        <f>TEXT(Ventas[[#This Row],[Fecha_venta]],"m")</f>
        <v>11</v>
      </c>
      <c r="J2468" t="str">
        <f>TEXT(Ventas[[#This Row],[Fecha_venta]],"yyyy")</f>
        <v>2010</v>
      </c>
    </row>
    <row r="2469" spans="1:10" x14ac:dyDescent="0.25">
      <c r="A2469">
        <v>18</v>
      </c>
      <c r="B2469" s="1">
        <v>40494</v>
      </c>
      <c r="C2469">
        <v>0</v>
      </c>
      <c r="D2469">
        <v>43.17</v>
      </c>
      <c r="E2469">
        <v>2.9609999999999999</v>
      </c>
      <c r="F2469">
        <v>132.97832260000001</v>
      </c>
      <c r="G2469">
        <v>1081322.1200000001</v>
      </c>
      <c r="H2469" t="str">
        <f>TEXT(Ventas[[#This Row],[Fecha_venta]],"dd")</f>
        <v>12</v>
      </c>
      <c r="I2469" t="str">
        <f>TEXT(Ventas[[#This Row],[Fecha_venta]],"m")</f>
        <v>11</v>
      </c>
      <c r="J2469" t="str">
        <f>TEXT(Ventas[[#This Row],[Fecha_venta]],"yyyy")</f>
        <v>2010</v>
      </c>
    </row>
    <row r="2470" spans="1:10" x14ac:dyDescent="0.25">
      <c r="A2470">
        <v>18</v>
      </c>
      <c r="B2470" s="1">
        <v>40501</v>
      </c>
      <c r="C2470">
        <v>0</v>
      </c>
      <c r="D2470">
        <v>45.26</v>
      </c>
      <c r="E2470">
        <v>3.03</v>
      </c>
      <c r="F2470">
        <v>132.91720000000001</v>
      </c>
      <c r="G2470">
        <v>1045722.37</v>
      </c>
      <c r="H2470" t="str">
        <f>TEXT(Ventas[[#This Row],[Fecha_venta]],"dd")</f>
        <v>19</v>
      </c>
      <c r="I2470" t="str">
        <f>TEXT(Ventas[[#This Row],[Fecha_venta]],"m")</f>
        <v>11</v>
      </c>
      <c r="J2470" t="str">
        <f>TEXT(Ventas[[#This Row],[Fecha_venta]],"yyyy")</f>
        <v>2010</v>
      </c>
    </row>
    <row r="2471" spans="1:10" x14ac:dyDescent="0.25">
      <c r="A2471">
        <v>18</v>
      </c>
      <c r="B2471" s="1">
        <v>40508</v>
      </c>
      <c r="C2471">
        <v>1</v>
      </c>
      <c r="D2471">
        <v>40.81</v>
      </c>
      <c r="E2471">
        <v>3.07</v>
      </c>
      <c r="F2471">
        <v>132.8369333</v>
      </c>
      <c r="G2471">
        <v>1653759.36</v>
      </c>
      <c r="H2471" t="str">
        <f>TEXT(Ventas[[#This Row],[Fecha_venta]],"dd")</f>
        <v>26</v>
      </c>
      <c r="I2471" t="str">
        <f>TEXT(Ventas[[#This Row],[Fecha_venta]],"m")</f>
        <v>11</v>
      </c>
      <c r="J2471" t="str">
        <f>TEXT(Ventas[[#This Row],[Fecha_venta]],"yyyy")</f>
        <v>2010</v>
      </c>
    </row>
    <row r="2472" spans="1:10" x14ac:dyDescent="0.25">
      <c r="A2472">
        <v>18</v>
      </c>
      <c r="B2472" s="1">
        <v>40515</v>
      </c>
      <c r="C2472">
        <v>0</v>
      </c>
      <c r="D2472">
        <v>37.090000000000003</v>
      </c>
      <c r="E2472">
        <v>3.0649999999999999</v>
      </c>
      <c r="F2472">
        <v>132.75666670000001</v>
      </c>
      <c r="G2472">
        <v>1211026.1299999999</v>
      </c>
      <c r="H2472" t="str">
        <f>TEXT(Ventas[[#This Row],[Fecha_venta]],"dd")</f>
        <v>03</v>
      </c>
      <c r="I2472" t="str">
        <f>TEXT(Ventas[[#This Row],[Fecha_venta]],"m")</f>
        <v>12</v>
      </c>
      <c r="J2472" t="str">
        <f>TEXT(Ventas[[#This Row],[Fecha_venta]],"yyyy")</f>
        <v>2010</v>
      </c>
    </row>
    <row r="2473" spans="1:10" x14ac:dyDescent="0.25">
      <c r="A2473">
        <v>18</v>
      </c>
      <c r="B2473" s="1">
        <v>40522</v>
      </c>
      <c r="C2473">
        <v>0</v>
      </c>
      <c r="D2473">
        <v>25.64</v>
      </c>
      <c r="E2473">
        <v>3.1320000000000001</v>
      </c>
      <c r="F2473">
        <v>132.6764</v>
      </c>
      <c r="G2473">
        <v>1416168.98</v>
      </c>
      <c r="H2473" t="str">
        <f>TEXT(Ventas[[#This Row],[Fecha_venta]],"dd")</f>
        <v>10</v>
      </c>
      <c r="I2473" t="str">
        <f>TEXT(Ventas[[#This Row],[Fecha_venta]],"m")</f>
        <v>12</v>
      </c>
      <c r="J2473" t="str">
        <f>TEXT(Ventas[[#This Row],[Fecha_venta]],"yyyy")</f>
        <v>2010</v>
      </c>
    </row>
    <row r="2474" spans="1:10" x14ac:dyDescent="0.25">
      <c r="A2474">
        <v>18</v>
      </c>
      <c r="B2474" s="1">
        <v>40529</v>
      </c>
      <c r="C2474">
        <v>0</v>
      </c>
      <c r="D2474">
        <v>27.4</v>
      </c>
      <c r="E2474">
        <v>3.1389999999999998</v>
      </c>
      <c r="F2474">
        <v>132.6804516</v>
      </c>
      <c r="G2474">
        <v>1588430.71</v>
      </c>
      <c r="H2474" t="str">
        <f>TEXT(Ventas[[#This Row],[Fecha_venta]],"dd")</f>
        <v>17</v>
      </c>
      <c r="I2474" t="str">
        <f>TEXT(Ventas[[#This Row],[Fecha_venta]],"m")</f>
        <v>12</v>
      </c>
      <c r="J2474" t="str">
        <f>TEXT(Ventas[[#This Row],[Fecha_venta]],"yyyy")</f>
        <v>2010</v>
      </c>
    </row>
    <row r="2475" spans="1:10" x14ac:dyDescent="0.25">
      <c r="A2475">
        <v>18</v>
      </c>
      <c r="B2475" s="1">
        <v>40536</v>
      </c>
      <c r="C2475">
        <v>0</v>
      </c>
      <c r="D2475">
        <v>28.16</v>
      </c>
      <c r="E2475">
        <v>3.15</v>
      </c>
      <c r="F2475">
        <v>132.74774189999999</v>
      </c>
      <c r="G2475">
        <v>2027507.15</v>
      </c>
      <c r="H2475" t="str">
        <f>TEXT(Ventas[[#This Row],[Fecha_venta]],"dd")</f>
        <v>24</v>
      </c>
      <c r="I2475" t="str">
        <f>TEXT(Ventas[[#This Row],[Fecha_venta]],"m")</f>
        <v>12</v>
      </c>
      <c r="J2475" t="str">
        <f>TEXT(Ventas[[#This Row],[Fecha_venta]],"yyyy")</f>
        <v>2010</v>
      </c>
    </row>
    <row r="2476" spans="1:10" x14ac:dyDescent="0.25">
      <c r="A2476">
        <v>18</v>
      </c>
      <c r="B2476" s="1">
        <v>40543</v>
      </c>
      <c r="C2476">
        <v>1</v>
      </c>
      <c r="D2476">
        <v>26.1</v>
      </c>
      <c r="E2476">
        <v>3.177</v>
      </c>
      <c r="F2476">
        <v>132.81503230000001</v>
      </c>
      <c r="G2476">
        <v>887907.01</v>
      </c>
      <c r="H2476" t="str">
        <f>TEXT(Ventas[[#This Row],[Fecha_venta]],"dd")</f>
        <v>31</v>
      </c>
      <c r="I2476" t="str">
        <f>TEXT(Ventas[[#This Row],[Fecha_venta]],"m")</f>
        <v>12</v>
      </c>
      <c r="J2476" t="str">
        <f>TEXT(Ventas[[#This Row],[Fecha_venta]],"yyyy")</f>
        <v>2010</v>
      </c>
    </row>
    <row r="2477" spans="1:10" x14ac:dyDescent="0.25">
      <c r="A2477">
        <v>18</v>
      </c>
      <c r="B2477" s="1">
        <v>40550</v>
      </c>
      <c r="C2477">
        <v>0</v>
      </c>
      <c r="D2477">
        <v>30.1</v>
      </c>
      <c r="E2477">
        <v>3.1930000000000001</v>
      </c>
      <c r="F2477">
        <v>132.88232260000001</v>
      </c>
      <c r="G2477">
        <v>933960.3</v>
      </c>
      <c r="H2477" t="str">
        <f>TEXT(Ventas[[#This Row],[Fecha_venta]],"dd")</f>
        <v>07</v>
      </c>
      <c r="I2477" t="str">
        <f>TEXT(Ventas[[#This Row],[Fecha_venta]],"m")</f>
        <v>1</v>
      </c>
      <c r="J2477" t="str">
        <f>TEXT(Ventas[[#This Row],[Fecha_venta]],"yyyy")</f>
        <v>2011</v>
      </c>
    </row>
    <row r="2478" spans="1:10" x14ac:dyDescent="0.25">
      <c r="A2478">
        <v>18</v>
      </c>
      <c r="B2478" s="1">
        <v>40557</v>
      </c>
      <c r="C2478">
        <v>0</v>
      </c>
      <c r="D2478">
        <v>22.69</v>
      </c>
      <c r="E2478">
        <v>3.2149999999999999</v>
      </c>
      <c r="F2478">
        <v>132.9510645</v>
      </c>
      <c r="G2478">
        <v>777175.28</v>
      </c>
      <c r="H2478" t="str">
        <f>TEXT(Ventas[[#This Row],[Fecha_venta]],"dd")</f>
        <v>14</v>
      </c>
      <c r="I2478" t="str">
        <f>TEXT(Ventas[[#This Row],[Fecha_venta]],"m")</f>
        <v>1</v>
      </c>
      <c r="J2478" t="str">
        <f>TEXT(Ventas[[#This Row],[Fecha_venta]],"yyyy")</f>
        <v>2011</v>
      </c>
    </row>
    <row r="2479" spans="1:10" x14ac:dyDescent="0.25">
      <c r="A2479">
        <v>18</v>
      </c>
      <c r="B2479" s="1">
        <v>40564</v>
      </c>
      <c r="C2479">
        <v>0</v>
      </c>
      <c r="D2479">
        <v>22.55</v>
      </c>
      <c r="E2479">
        <v>3.2320000000000002</v>
      </c>
      <c r="F2479">
        <v>133.02851609999999</v>
      </c>
      <c r="G2479">
        <v>891148.55</v>
      </c>
      <c r="H2479" t="str">
        <f>TEXT(Ventas[[#This Row],[Fecha_venta]],"dd")</f>
        <v>21</v>
      </c>
      <c r="I2479" t="str">
        <f>TEXT(Ventas[[#This Row],[Fecha_venta]],"m")</f>
        <v>1</v>
      </c>
      <c r="J2479" t="str">
        <f>TEXT(Ventas[[#This Row],[Fecha_venta]],"yyyy")</f>
        <v>2011</v>
      </c>
    </row>
    <row r="2480" spans="1:10" x14ac:dyDescent="0.25">
      <c r="A2480">
        <v>18</v>
      </c>
      <c r="B2480" s="1">
        <v>40571</v>
      </c>
      <c r="C2480">
        <v>0</v>
      </c>
      <c r="D2480">
        <v>14.84</v>
      </c>
      <c r="E2480">
        <v>3.2429999999999999</v>
      </c>
      <c r="F2480">
        <v>133.10596770000001</v>
      </c>
      <c r="G2480">
        <v>849540.85</v>
      </c>
      <c r="H2480" t="str">
        <f>TEXT(Ventas[[#This Row],[Fecha_venta]],"dd")</f>
        <v>28</v>
      </c>
      <c r="I2480" t="str">
        <f>TEXT(Ventas[[#This Row],[Fecha_venta]],"m")</f>
        <v>1</v>
      </c>
      <c r="J2480" t="str">
        <f>TEXT(Ventas[[#This Row],[Fecha_venta]],"yyyy")</f>
        <v>2011</v>
      </c>
    </row>
    <row r="2481" spans="1:10" x14ac:dyDescent="0.25">
      <c r="A2481">
        <v>18</v>
      </c>
      <c r="B2481" s="1">
        <v>40578</v>
      </c>
      <c r="C2481">
        <v>0</v>
      </c>
      <c r="D2481">
        <v>20.79</v>
      </c>
      <c r="E2481">
        <v>3.24</v>
      </c>
      <c r="F2481">
        <v>133.18341939999999</v>
      </c>
      <c r="G2481">
        <v>1055841.24</v>
      </c>
      <c r="H2481" t="str">
        <f>TEXT(Ventas[[#This Row],[Fecha_venta]],"dd")</f>
        <v>04</v>
      </c>
      <c r="I2481" t="str">
        <f>TEXT(Ventas[[#This Row],[Fecha_venta]],"m")</f>
        <v>2</v>
      </c>
      <c r="J2481" t="str">
        <f>TEXT(Ventas[[#This Row],[Fecha_venta]],"yyyy")</f>
        <v>2011</v>
      </c>
    </row>
    <row r="2482" spans="1:10" x14ac:dyDescent="0.25">
      <c r="A2482">
        <v>18</v>
      </c>
      <c r="B2482" s="1">
        <v>40585</v>
      </c>
      <c r="C2482">
        <v>1</v>
      </c>
      <c r="D2482">
        <v>24.3</v>
      </c>
      <c r="E2482">
        <v>3.2549999999999999</v>
      </c>
      <c r="F2482">
        <v>133.26087100000001</v>
      </c>
      <c r="G2482">
        <v>1122053.58</v>
      </c>
      <c r="H2482" t="str">
        <f>TEXT(Ventas[[#This Row],[Fecha_venta]],"dd")</f>
        <v>11</v>
      </c>
      <c r="I2482" t="str">
        <f>TEXT(Ventas[[#This Row],[Fecha_venta]],"m")</f>
        <v>2</v>
      </c>
      <c r="J2482" t="str">
        <f>TEXT(Ventas[[#This Row],[Fecha_venta]],"yyyy")</f>
        <v>2011</v>
      </c>
    </row>
    <row r="2483" spans="1:10" x14ac:dyDescent="0.25">
      <c r="A2483">
        <v>18</v>
      </c>
      <c r="B2483" s="1">
        <v>40592</v>
      </c>
      <c r="C2483">
        <v>0</v>
      </c>
      <c r="D2483">
        <v>31.59</v>
      </c>
      <c r="E2483">
        <v>3.2629999999999999</v>
      </c>
      <c r="F2483">
        <v>133.37014289999999</v>
      </c>
      <c r="G2483">
        <v>1095058.57</v>
      </c>
      <c r="H2483" t="str">
        <f>TEXT(Ventas[[#This Row],[Fecha_venta]],"dd")</f>
        <v>18</v>
      </c>
      <c r="I2483" t="str">
        <f>TEXT(Ventas[[#This Row],[Fecha_venta]],"m")</f>
        <v>2</v>
      </c>
      <c r="J2483" t="str">
        <f>TEXT(Ventas[[#This Row],[Fecha_venta]],"yyyy")</f>
        <v>2011</v>
      </c>
    </row>
    <row r="2484" spans="1:10" x14ac:dyDescent="0.25">
      <c r="A2484">
        <v>18</v>
      </c>
      <c r="B2484" s="1">
        <v>40599</v>
      </c>
      <c r="C2484">
        <v>0</v>
      </c>
      <c r="D2484">
        <v>26.15</v>
      </c>
      <c r="E2484">
        <v>3.2810000000000001</v>
      </c>
      <c r="F2484">
        <v>133.4921429</v>
      </c>
      <c r="G2484">
        <v>1005983.31</v>
      </c>
      <c r="H2484" t="str">
        <f>TEXT(Ventas[[#This Row],[Fecha_venta]],"dd")</f>
        <v>25</v>
      </c>
      <c r="I2484" t="str">
        <f>TEXT(Ventas[[#This Row],[Fecha_venta]],"m")</f>
        <v>2</v>
      </c>
      <c r="J2484" t="str">
        <f>TEXT(Ventas[[#This Row],[Fecha_venta]],"yyyy")</f>
        <v>2011</v>
      </c>
    </row>
    <row r="2485" spans="1:10" x14ac:dyDescent="0.25">
      <c r="A2485">
        <v>18</v>
      </c>
      <c r="B2485" s="1">
        <v>40606</v>
      </c>
      <c r="C2485">
        <v>0</v>
      </c>
      <c r="D2485">
        <v>28.49</v>
      </c>
      <c r="E2485">
        <v>3.4369999999999998</v>
      </c>
      <c r="F2485">
        <v>133.61414289999999</v>
      </c>
      <c r="G2485">
        <v>1063310.6200000001</v>
      </c>
      <c r="H2485" t="str">
        <f>TEXT(Ventas[[#This Row],[Fecha_venta]],"dd")</f>
        <v>04</v>
      </c>
      <c r="I2485" t="str">
        <f>TEXT(Ventas[[#This Row],[Fecha_venta]],"m")</f>
        <v>3</v>
      </c>
      <c r="J2485" t="str">
        <f>TEXT(Ventas[[#This Row],[Fecha_venta]],"yyyy")</f>
        <v>2011</v>
      </c>
    </row>
    <row r="2486" spans="1:10" x14ac:dyDescent="0.25">
      <c r="A2486">
        <v>18</v>
      </c>
      <c r="B2486" s="1">
        <v>40613</v>
      </c>
      <c r="C2486">
        <v>0</v>
      </c>
      <c r="D2486">
        <v>38.4</v>
      </c>
      <c r="E2486">
        <v>3.6</v>
      </c>
      <c r="F2486">
        <v>133.7361429</v>
      </c>
      <c r="G2486">
        <v>1002714.25</v>
      </c>
      <c r="H2486" t="str">
        <f>TEXT(Ventas[[#This Row],[Fecha_venta]],"dd")</f>
        <v>11</v>
      </c>
      <c r="I2486" t="str">
        <f>TEXT(Ventas[[#This Row],[Fecha_venta]],"m")</f>
        <v>3</v>
      </c>
      <c r="J2486" t="str">
        <f>TEXT(Ventas[[#This Row],[Fecha_venta]],"yyyy")</f>
        <v>2011</v>
      </c>
    </row>
    <row r="2487" spans="1:10" x14ac:dyDescent="0.25">
      <c r="A2487">
        <v>18</v>
      </c>
      <c r="B2487" s="1">
        <v>40620</v>
      </c>
      <c r="C2487">
        <v>0</v>
      </c>
      <c r="D2487">
        <v>41.12</v>
      </c>
      <c r="E2487">
        <v>3.6339999999999999</v>
      </c>
      <c r="F2487">
        <v>133.8492258</v>
      </c>
      <c r="G2487">
        <v>945889.59</v>
      </c>
      <c r="H2487" t="str">
        <f>TEXT(Ventas[[#This Row],[Fecha_venta]],"dd")</f>
        <v>18</v>
      </c>
      <c r="I2487" t="str">
        <f>TEXT(Ventas[[#This Row],[Fecha_venta]],"m")</f>
        <v>3</v>
      </c>
      <c r="J2487" t="str">
        <f>TEXT(Ventas[[#This Row],[Fecha_venta]],"yyyy")</f>
        <v>2011</v>
      </c>
    </row>
    <row r="2488" spans="1:10" x14ac:dyDescent="0.25">
      <c r="A2488">
        <v>18</v>
      </c>
      <c r="B2488" s="1">
        <v>40627</v>
      </c>
      <c r="C2488">
        <v>0</v>
      </c>
      <c r="D2488">
        <v>36.65</v>
      </c>
      <c r="E2488">
        <v>3.6240000000000001</v>
      </c>
      <c r="F2488">
        <v>133.95874190000001</v>
      </c>
      <c r="G2488">
        <v>944523.3</v>
      </c>
      <c r="H2488" t="str">
        <f>TEXT(Ventas[[#This Row],[Fecha_venta]],"dd")</f>
        <v>25</v>
      </c>
      <c r="I2488" t="str">
        <f>TEXT(Ventas[[#This Row],[Fecha_venta]],"m")</f>
        <v>3</v>
      </c>
      <c r="J2488" t="str">
        <f>TEXT(Ventas[[#This Row],[Fecha_venta]],"yyyy")</f>
        <v>2011</v>
      </c>
    </row>
    <row r="2489" spans="1:10" x14ac:dyDescent="0.25">
      <c r="A2489">
        <v>18</v>
      </c>
      <c r="B2489" s="1">
        <v>40634</v>
      </c>
      <c r="C2489">
        <v>0</v>
      </c>
      <c r="D2489">
        <v>35.06</v>
      </c>
      <c r="E2489">
        <v>3.6379999999999999</v>
      </c>
      <c r="F2489">
        <v>134.06825810000001</v>
      </c>
      <c r="G2489">
        <v>938083.17</v>
      </c>
      <c r="H2489" t="str">
        <f>TEXT(Ventas[[#This Row],[Fecha_venta]],"dd")</f>
        <v>01</v>
      </c>
      <c r="I2489" t="str">
        <f>TEXT(Ventas[[#This Row],[Fecha_venta]],"m")</f>
        <v>4</v>
      </c>
      <c r="J2489" t="str">
        <f>TEXT(Ventas[[#This Row],[Fecha_venta]],"yyyy")</f>
        <v>2011</v>
      </c>
    </row>
    <row r="2490" spans="1:10" x14ac:dyDescent="0.25">
      <c r="A2490">
        <v>18</v>
      </c>
      <c r="B2490" s="1">
        <v>40641</v>
      </c>
      <c r="C2490">
        <v>0</v>
      </c>
      <c r="D2490">
        <v>43.32</v>
      </c>
      <c r="E2490">
        <v>3.72</v>
      </c>
      <c r="F2490">
        <v>134.17777419999999</v>
      </c>
      <c r="G2490">
        <v>1018541.3</v>
      </c>
      <c r="H2490" t="str">
        <f>TEXT(Ventas[[#This Row],[Fecha_venta]],"dd")</f>
        <v>08</v>
      </c>
      <c r="I2490" t="str">
        <f>TEXT(Ventas[[#This Row],[Fecha_venta]],"m")</f>
        <v>4</v>
      </c>
      <c r="J2490" t="str">
        <f>TEXT(Ventas[[#This Row],[Fecha_venta]],"yyyy")</f>
        <v>2011</v>
      </c>
    </row>
    <row r="2491" spans="1:10" x14ac:dyDescent="0.25">
      <c r="A2491">
        <v>18</v>
      </c>
      <c r="B2491" s="1">
        <v>40648</v>
      </c>
      <c r="C2491">
        <v>0</v>
      </c>
      <c r="D2491">
        <v>49.91</v>
      </c>
      <c r="E2491">
        <v>3.823</v>
      </c>
      <c r="F2491">
        <v>134.2784667</v>
      </c>
      <c r="G2491">
        <v>988157.72</v>
      </c>
      <c r="H2491" t="str">
        <f>TEXT(Ventas[[#This Row],[Fecha_venta]],"dd")</f>
        <v>15</v>
      </c>
      <c r="I2491" t="str">
        <f>TEXT(Ventas[[#This Row],[Fecha_venta]],"m")</f>
        <v>4</v>
      </c>
      <c r="J2491" t="str">
        <f>TEXT(Ventas[[#This Row],[Fecha_venta]],"yyyy")</f>
        <v>2011</v>
      </c>
    </row>
    <row r="2492" spans="1:10" x14ac:dyDescent="0.25">
      <c r="A2492">
        <v>18</v>
      </c>
      <c r="B2492" s="1">
        <v>40655</v>
      </c>
      <c r="C2492">
        <v>0</v>
      </c>
      <c r="D2492">
        <v>45.99</v>
      </c>
      <c r="E2492">
        <v>3.919</v>
      </c>
      <c r="F2492">
        <v>134.3571</v>
      </c>
      <c r="G2492">
        <v>1105860.06</v>
      </c>
      <c r="H2492" t="str">
        <f>TEXT(Ventas[[#This Row],[Fecha_venta]],"dd")</f>
        <v>22</v>
      </c>
      <c r="I2492" t="str">
        <f>TEXT(Ventas[[#This Row],[Fecha_venta]],"m")</f>
        <v>4</v>
      </c>
      <c r="J2492" t="str">
        <f>TEXT(Ventas[[#This Row],[Fecha_venta]],"yyyy")</f>
        <v>2011</v>
      </c>
    </row>
    <row r="2493" spans="1:10" x14ac:dyDescent="0.25">
      <c r="A2493">
        <v>18</v>
      </c>
      <c r="B2493" s="1">
        <v>40662</v>
      </c>
      <c r="C2493">
        <v>0</v>
      </c>
      <c r="D2493">
        <v>58.82</v>
      </c>
      <c r="E2493">
        <v>3.988</v>
      </c>
      <c r="F2493">
        <v>134.43573330000001</v>
      </c>
      <c r="G2493">
        <v>974114.39</v>
      </c>
      <c r="H2493" t="str">
        <f>TEXT(Ventas[[#This Row],[Fecha_venta]],"dd")</f>
        <v>29</v>
      </c>
      <c r="I2493" t="str">
        <f>TEXT(Ventas[[#This Row],[Fecha_venta]],"m")</f>
        <v>4</v>
      </c>
      <c r="J2493" t="str">
        <f>TEXT(Ventas[[#This Row],[Fecha_venta]],"yyyy")</f>
        <v>2011</v>
      </c>
    </row>
    <row r="2494" spans="1:10" x14ac:dyDescent="0.25">
      <c r="A2494">
        <v>18</v>
      </c>
      <c r="B2494" s="1">
        <v>40669</v>
      </c>
      <c r="C2494">
        <v>0</v>
      </c>
      <c r="D2494">
        <v>54.17</v>
      </c>
      <c r="E2494">
        <v>4.0780000000000003</v>
      </c>
      <c r="F2494">
        <v>134.51436670000001</v>
      </c>
      <c r="G2494">
        <v>1065427.3700000001</v>
      </c>
      <c r="H2494" t="str">
        <f>TEXT(Ventas[[#This Row],[Fecha_venta]],"dd")</f>
        <v>06</v>
      </c>
      <c r="I2494" t="str">
        <f>TEXT(Ventas[[#This Row],[Fecha_venta]],"m")</f>
        <v>5</v>
      </c>
      <c r="J2494" t="str">
        <f>TEXT(Ventas[[#This Row],[Fecha_venta]],"yyyy")</f>
        <v>2011</v>
      </c>
    </row>
    <row r="2495" spans="1:10" x14ac:dyDescent="0.25">
      <c r="A2495">
        <v>18</v>
      </c>
      <c r="B2495" s="1">
        <v>40676</v>
      </c>
      <c r="C2495">
        <v>0</v>
      </c>
      <c r="D2495">
        <v>58.48</v>
      </c>
      <c r="E2495">
        <v>4.0949999999999998</v>
      </c>
      <c r="F2495">
        <v>134.59299999999999</v>
      </c>
      <c r="G2495">
        <v>993172.98</v>
      </c>
      <c r="H2495" t="str">
        <f>TEXT(Ventas[[#This Row],[Fecha_venta]],"dd")</f>
        <v>13</v>
      </c>
      <c r="I2495" t="str">
        <f>TEXT(Ventas[[#This Row],[Fecha_venta]],"m")</f>
        <v>5</v>
      </c>
      <c r="J2495" t="str">
        <f>TEXT(Ventas[[#This Row],[Fecha_venta]],"yyyy")</f>
        <v>2011</v>
      </c>
    </row>
    <row r="2496" spans="1:10" x14ac:dyDescent="0.25">
      <c r="A2496">
        <v>18</v>
      </c>
      <c r="B2496" s="1">
        <v>40683</v>
      </c>
      <c r="C2496">
        <v>0</v>
      </c>
      <c r="D2496">
        <v>57.55</v>
      </c>
      <c r="E2496">
        <v>4.101</v>
      </c>
      <c r="F2496">
        <v>134.68038709999999</v>
      </c>
      <c r="G2496">
        <v>994610.43</v>
      </c>
      <c r="H2496" t="str">
        <f>TEXT(Ventas[[#This Row],[Fecha_venta]],"dd")</f>
        <v>20</v>
      </c>
      <c r="I2496" t="str">
        <f>TEXT(Ventas[[#This Row],[Fecha_venta]],"m")</f>
        <v>5</v>
      </c>
      <c r="J2496" t="str">
        <f>TEXT(Ventas[[#This Row],[Fecha_venta]],"yyyy")</f>
        <v>2011</v>
      </c>
    </row>
    <row r="2497" spans="1:10" x14ac:dyDescent="0.25">
      <c r="A2497">
        <v>18</v>
      </c>
      <c r="B2497" s="1">
        <v>40690</v>
      </c>
      <c r="C2497">
        <v>0</v>
      </c>
      <c r="D2497">
        <v>64.599999999999994</v>
      </c>
      <c r="E2497">
        <v>4.0339999999999998</v>
      </c>
      <c r="F2497">
        <v>134.76777419999999</v>
      </c>
      <c r="G2497">
        <v>1065214.1399999999</v>
      </c>
      <c r="H2497" t="str">
        <f>TEXT(Ventas[[#This Row],[Fecha_venta]],"dd")</f>
        <v>27</v>
      </c>
      <c r="I2497" t="str">
        <f>TEXT(Ventas[[#This Row],[Fecha_venta]],"m")</f>
        <v>5</v>
      </c>
      <c r="J2497" t="str">
        <f>TEXT(Ventas[[#This Row],[Fecha_venta]],"yyyy")</f>
        <v>2011</v>
      </c>
    </row>
    <row r="2498" spans="1:10" x14ac:dyDescent="0.25">
      <c r="A2498">
        <v>18</v>
      </c>
      <c r="B2498" s="1">
        <v>40697</v>
      </c>
      <c r="C2498">
        <v>0</v>
      </c>
      <c r="D2498">
        <v>70.900000000000006</v>
      </c>
      <c r="E2498">
        <v>3.9729999999999999</v>
      </c>
      <c r="F2498">
        <v>134.85516129999999</v>
      </c>
      <c r="G2498">
        <v>1178039</v>
      </c>
      <c r="H2498" t="str">
        <f>TEXT(Ventas[[#This Row],[Fecha_venta]],"dd")</f>
        <v>03</v>
      </c>
      <c r="I2498" t="str">
        <f>TEXT(Ventas[[#This Row],[Fecha_venta]],"m")</f>
        <v>6</v>
      </c>
      <c r="J2498" t="str">
        <f>TEXT(Ventas[[#This Row],[Fecha_venta]],"yyyy")</f>
        <v>2011</v>
      </c>
    </row>
    <row r="2499" spans="1:10" x14ac:dyDescent="0.25">
      <c r="A2499">
        <v>18</v>
      </c>
      <c r="B2499" s="1">
        <v>40704</v>
      </c>
      <c r="C2499">
        <v>0</v>
      </c>
      <c r="D2499">
        <v>69.489999999999995</v>
      </c>
      <c r="E2499">
        <v>3.9239999999999999</v>
      </c>
      <c r="F2499">
        <v>134.94254839999999</v>
      </c>
      <c r="G2499">
        <v>1044079.2</v>
      </c>
      <c r="H2499" t="str">
        <f>TEXT(Ventas[[#This Row],[Fecha_venta]],"dd")</f>
        <v>10</v>
      </c>
      <c r="I2499" t="str">
        <f>TEXT(Ventas[[#This Row],[Fecha_venta]],"m")</f>
        <v>6</v>
      </c>
      <c r="J2499" t="str">
        <f>TEXT(Ventas[[#This Row],[Fecha_venta]],"yyyy")</f>
        <v>2011</v>
      </c>
    </row>
    <row r="2500" spans="1:10" x14ac:dyDescent="0.25">
      <c r="A2500">
        <v>18</v>
      </c>
      <c r="B2500" s="1">
        <v>40711</v>
      </c>
      <c r="C2500">
        <v>0</v>
      </c>
      <c r="D2500">
        <v>63.23</v>
      </c>
      <c r="E2500">
        <v>3.8730000000000002</v>
      </c>
      <c r="F2500">
        <v>135.08373330000001</v>
      </c>
      <c r="G2500">
        <v>1045859.39</v>
      </c>
      <c r="H2500" t="str">
        <f>TEXT(Ventas[[#This Row],[Fecha_venta]],"dd")</f>
        <v>17</v>
      </c>
      <c r="I2500" t="str">
        <f>TEXT(Ventas[[#This Row],[Fecha_venta]],"m")</f>
        <v>6</v>
      </c>
      <c r="J2500" t="str">
        <f>TEXT(Ventas[[#This Row],[Fecha_venta]],"yyyy")</f>
        <v>2011</v>
      </c>
    </row>
    <row r="2501" spans="1:10" x14ac:dyDescent="0.25">
      <c r="A2501">
        <v>18</v>
      </c>
      <c r="B2501" s="1">
        <v>40718</v>
      </c>
      <c r="C2501">
        <v>0</v>
      </c>
      <c r="D2501">
        <v>67.41</v>
      </c>
      <c r="E2501">
        <v>3.851</v>
      </c>
      <c r="F2501">
        <v>135.26526670000001</v>
      </c>
      <c r="G2501">
        <v>1056478.6499999999</v>
      </c>
      <c r="H2501" t="str">
        <f>TEXT(Ventas[[#This Row],[Fecha_venta]],"dd")</f>
        <v>24</v>
      </c>
      <c r="I2501" t="str">
        <f>TEXT(Ventas[[#This Row],[Fecha_venta]],"m")</f>
        <v>6</v>
      </c>
      <c r="J2501" t="str">
        <f>TEXT(Ventas[[#This Row],[Fecha_venta]],"yyyy")</f>
        <v>2011</v>
      </c>
    </row>
    <row r="2502" spans="1:10" x14ac:dyDescent="0.25">
      <c r="A2502">
        <v>18</v>
      </c>
      <c r="B2502" s="1">
        <v>40725</v>
      </c>
      <c r="C2502">
        <v>0</v>
      </c>
      <c r="D2502">
        <v>69.75</v>
      </c>
      <c r="E2502">
        <v>3.8149999999999999</v>
      </c>
      <c r="F2502">
        <v>135.4468</v>
      </c>
      <c r="G2502">
        <v>1087051.26</v>
      </c>
      <c r="H2502" t="str">
        <f>TEXT(Ventas[[#This Row],[Fecha_venta]],"dd")</f>
        <v>01</v>
      </c>
      <c r="I2502" t="str">
        <f>TEXT(Ventas[[#This Row],[Fecha_venta]],"m")</f>
        <v>7</v>
      </c>
      <c r="J2502" t="str">
        <f>TEXT(Ventas[[#This Row],[Fecha_venta]],"yyyy")</f>
        <v>2011</v>
      </c>
    </row>
    <row r="2503" spans="1:10" x14ac:dyDescent="0.25">
      <c r="A2503">
        <v>18</v>
      </c>
      <c r="B2503" s="1">
        <v>40732</v>
      </c>
      <c r="C2503">
        <v>0</v>
      </c>
      <c r="D2503">
        <v>73.12</v>
      </c>
      <c r="E2503">
        <v>3.7839999999999998</v>
      </c>
      <c r="F2503">
        <v>135.62833330000001</v>
      </c>
      <c r="G2503">
        <v>1048802.6200000001</v>
      </c>
      <c r="H2503" t="str">
        <f>TEXT(Ventas[[#This Row],[Fecha_venta]],"dd")</f>
        <v>08</v>
      </c>
      <c r="I2503" t="str">
        <f>TEXT(Ventas[[#This Row],[Fecha_venta]],"m")</f>
        <v>7</v>
      </c>
      <c r="J2503" t="str">
        <f>TEXT(Ventas[[#This Row],[Fecha_venta]],"yyyy")</f>
        <v>2011</v>
      </c>
    </row>
    <row r="2504" spans="1:10" x14ac:dyDescent="0.25">
      <c r="A2504">
        <v>18</v>
      </c>
      <c r="B2504" s="1">
        <v>40739</v>
      </c>
      <c r="C2504">
        <v>0</v>
      </c>
      <c r="D2504">
        <v>74.36</v>
      </c>
      <c r="E2504">
        <v>3.827</v>
      </c>
      <c r="F2504">
        <v>135.7837419</v>
      </c>
      <c r="G2504">
        <v>974916.13</v>
      </c>
      <c r="H2504" t="str">
        <f>TEXT(Ventas[[#This Row],[Fecha_venta]],"dd")</f>
        <v>15</v>
      </c>
      <c r="I2504" t="str">
        <f>TEXT(Ventas[[#This Row],[Fecha_venta]],"m")</f>
        <v>7</v>
      </c>
      <c r="J2504" t="str">
        <f>TEXT(Ventas[[#This Row],[Fecha_venta]],"yyyy")</f>
        <v>2011</v>
      </c>
    </row>
    <row r="2505" spans="1:10" x14ac:dyDescent="0.25">
      <c r="A2505">
        <v>18</v>
      </c>
      <c r="B2505" s="1">
        <v>40746</v>
      </c>
      <c r="C2505">
        <v>0</v>
      </c>
      <c r="D2505">
        <v>78.680000000000007</v>
      </c>
      <c r="E2505">
        <v>3.8820000000000001</v>
      </c>
      <c r="F2505">
        <v>135.87383869999999</v>
      </c>
      <c r="G2505">
        <v>991262.46</v>
      </c>
      <c r="H2505" t="str">
        <f>TEXT(Ventas[[#This Row],[Fecha_venta]],"dd")</f>
        <v>22</v>
      </c>
      <c r="I2505" t="str">
        <f>TEXT(Ventas[[#This Row],[Fecha_venta]],"m")</f>
        <v>7</v>
      </c>
      <c r="J2505" t="str">
        <f>TEXT(Ventas[[#This Row],[Fecha_venta]],"yyyy")</f>
        <v>2011</v>
      </c>
    </row>
    <row r="2506" spans="1:10" x14ac:dyDescent="0.25">
      <c r="A2506">
        <v>18</v>
      </c>
      <c r="B2506" s="1">
        <v>40753</v>
      </c>
      <c r="C2506">
        <v>0</v>
      </c>
      <c r="D2506">
        <v>73.849999999999994</v>
      </c>
      <c r="E2506">
        <v>3.8980000000000001</v>
      </c>
      <c r="F2506">
        <v>135.96393549999999</v>
      </c>
      <c r="G2506">
        <v>954148.64</v>
      </c>
      <c r="H2506" t="str">
        <f>TEXT(Ventas[[#This Row],[Fecha_venta]],"dd")</f>
        <v>29</v>
      </c>
      <c r="I2506" t="str">
        <f>TEXT(Ventas[[#This Row],[Fecha_venta]],"m")</f>
        <v>7</v>
      </c>
      <c r="J2506" t="str">
        <f>TEXT(Ventas[[#This Row],[Fecha_venta]],"yyyy")</f>
        <v>2011</v>
      </c>
    </row>
    <row r="2507" spans="1:10" x14ac:dyDescent="0.25">
      <c r="A2507">
        <v>18</v>
      </c>
      <c r="B2507" s="1">
        <v>40760</v>
      </c>
      <c r="C2507">
        <v>0</v>
      </c>
      <c r="D2507">
        <v>74.58</v>
      </c>
      <c r="E2507">
        <v>3.903</v>
      </c>
      <c r="F2507">
        <v>136.05403229999999</v>
      </c>
      <c r="G2507">
        <v>1002806.39</v>
      </c>
      <c r="H2507" t="str">
        <f>TEXT(Ventas[[#This Row],[Fecha_venta]],"dd")</f>
        <v>05</v>
      </c>
      <c r="I2507" t="str">
        <f>TEXT(Ventas[[#This Row],[Fecha_venta]],"m")</f>
        <v>8</v>
      </c>
      <c r="J2507" t="str">
        <f>TEXT(Ventas[[#This Row],[Fecha_venta]],"yyyy")</f>
        <v>2011</v>
      </c>
    </row>
    <row r="2508" spans="1:10" x14ac:dyDescent="0.25">
      <c r="A2508">
        <v>18</v>
      </c>
      <c r="B2508" s="1">
        <v>40767</v>
      </c>
      <c r="C2508">
        <v>0</v>
      </c>
      <c r="D2508">
        <v>73.569999999999993</v>
      </c>
      <c r="E2508">
        <v>3.88</v>
      </c>
      <c r="F2508">
        <v>136.14412899999999</v>
      </c>
      <c r="G2508">
        <v>928470.83</v>
      </c>
      <c r="H2508" t="str">
        <f>TEXT(Ventas[[#This Row],[Fecha_venta]],"dd")</f>
        <v>12</v>
      </c>
      <c r="I2508" t="str">
        <f>TEXT(Ventas[[#This Row],[Fecha_venta]],"m")</f>
        <v>8</v>
      </c>
      <c r="J2508" t="str">
        <f>TEXT(Ventas[[#This Row],[Fecha_venta]],"yyyy")</f>
        <v>2011</v>
      </c>
    </row>
    <row r="2509" spans="1:10" x14ac:dyDescent="0.25">
      <c r="A2509">
        <v>18</v>
      </c>
      <c r="B2509" s="1">
        <v>40774</v>
      </c>
      <c r="C2509">
        <v>0</v>
      </c>
      <c r="D2509">
        <v>69.239999999999995</v>
      </c>
      <c r="E2509">
        <v>3.82</v>
      </c>
      <c r="F2509">
        <v>136.18312900000001</v>
      </c>
      <c r="G2509">
        <v>932679.79</v>
      </c>
      <c r="H2509" t="str">
        <f>TEXT(Ventas[[#This Row],[Fecha_venta]],"dd")</f>
        <v>19</v>
      </c>
      <c r="I2509" t="str">
        <f>TEXT(Ventas[[#This Row],[Fecha_venta]],"m")</f>
        <v>8</v>
      </c>
      <c r="J2509" t="str">
        <f>TEXT(Ventas[[#This Row],[Fecha_venta]],"yyyy")</f>
        <v>2011</v>
      </c>
    </row>
    <row r="2510" spans="1:10" x14ac:dyDescent="0.25">
      <c r="A2510">
        <v>18</v>
      </c>
      <c r="B2510" s="1">
        <v>40781</v>
      </c>
      <c r="C2510">
        <v>0</v>
      </c>
      <c r="D2510">
        <v>70.319999999999993</v>
      </c>
      <c r="E2510">
        <v>3.7959999999999998</v>
      </c>
      <c r="F2510">
        <v>136.21361289999999</v>
      </c>
      <c r="G2510">
        <v>1147906.46</v>
      </c>
      <c r="H2510" t="str">
        <f>TEXT(Ventas[[#This Row],[Fecha_venta]],"dd")</f>
        <v>26</v>
      </c>
      <c r="I2510" t="str">
        <f>TEXT(Ventas[[#This Row],[Fecha_venta]],"m")</f>
        <v>8</v>
      </c>
      <c r="J2510" t="str">
        <f>TEXT(Ventas[[#This Row],[Fecha_venta]],"yyyy")</f>
        <v>2011</v>
      </c>
    </row>
    <row r="2511" spans="1:10" x14ac:dyDescent="0.25">
      <c r="A2511">
        <v>18</v>
      </c>
      <c r="B2511" s="1">
        <v>40788</v>
      </c>
      <c r="C2511">
        <v>0</v>
      </c>
      <c r="D2511">
        <v>68.23</v>
      </c>
      <c r="E2511">
        <v>3.7839999999999998</v>
      </c>
      <c r="F2511">
        <v>136.24409679999999</v>
      </c>
      <c r="G2511">
        <v>540922.93999999994</v>
      </c>
      <c r="H2511" t="str">
        <f>TEXT(Ventas[[#This Row],[Fecha_venta]],"dd")</f>
        <v>02</v>
      </c>
      <c r="I2511" t="str">
        <f>TEXT(Ventas[[#This Row],[Fecha_venta]],"m")</f>
        <v>9</v>
      </c>
      <c r="J2511" t="str">
        <f>TEXT(Ventas[[#This Row],[Fecha_venta]],"yyyy")</f>
        <v>2011</v>
      </c>
    </row>
    <row r="2512" spans="1:10" x14ac:dyDescent="0.25">
      <c r="A2512">
        <v>18</v>
      </c>
      <c r="B2512" s="1">
        <v>40795</v>
      </c>
      <c r="C2512">
        <v>1</v>
      </c>
      <c r="D2512">
        <v>68.11</v>
      </c>
      <c r="E2512">
        <v>3.8090000000000002</v>
      </c>
      <c r="F2512">
        <v>136.27458060000001</v>
      </c>
      <c r="G2512">
        <v>951549.61</v>
      </c>
      <c r="H2512" t="str">
        <f>TEXT(Ventas[[#This Row],[Fecha_venta]],"dd")</f>
        <v>09</v>
      </c>
      <c r="I2512" t="str">
        <f>TEXT(Ventas[[#This Row],[Fecha_venta]],"m")</f>
        <v>9</v>
      </c>
      <c r="J2512" t="str">
        <f>TEXT(Ventas[[#This Row],[Fecha_venta]],"yyyy")</f>
        <v>2011</v>
      </c>
    </row>
    <row r="2513" spans="1:10" x14ac:dyDescent="0.25">
      <c r="A2513">
        <v>18</v>
      </c>
      <c r="B2513" s="1">
        <v>40802</v>
      </c>
      <c r="C2513">
        <v>0</v>
      </c>
      <c r="D2513">
        <v>66.23</v>
      </c>
      <c r="E2513">
        <v>3.8090000000000002</v>
      </c>
      <c r="F2513">
        <v>136.31450000000001</v>
      </c>
      <c r="G2513">
        <v>845715.37</v>
      </c>
      <c r="H2513" t="str">
        <f>TEXT(Ventas[[#This Row],[Fecha_venta]],"dd")</f>
        <v>16</v>
      </c>
      <c r="I2513" t="str">
        <f>TEXT(Ventas[[#This Row],[Fecha_venta]],"m")</f>
        <v>9</v>
      </c>
      <c r="J2513" t="str">
        <f>TEXT(Ventas[[#This Row],[Fecha_venta]],"yyyy")</f>
        <v>2011</v>
      </c>
    </row>
    <row r="2514" spans="1:10" x14ac:dyDescent="0.25">
      <c r="A2514">
        <v>18</v>
      </c>
      <c r="B2514" s="1">
        <v>40809</v>
      </c>
      <c r="C2514">
        <v>0</v>
      </c>
      <c r="D2514">
        <v>60.44</v>
      </c>
      <c r="E2514">
        <v>3.758</v>
      </c>
      <c r="F2514">
        <v>136.36699999999999</v>
      </c>
      <c r="G2514">
        <v>853073.17</v>
      </c>
      <c r="H2514" t="str">
        <f>TEXT(Ventas[[#This Row],[Fecha_venta]],"dd")</f>
        <v>23</v>
      </c>
      <c r="I2514" t="str">
        <f>TEXT(Ventas[[#This Row],[Fecha_venta]],"m")</f>
        <v>9</v>
      </c>
      <c r="J2514" t="str">
        <f>TEXT(Ventas[[#This Row],[Fecha_venta]],"yyyy")</f>
        <v>2011</v>
      </c>
    </row>
    <row r="2515" spans="1:10" x14ac:dyDescent="0.25">
      <c r="A2515">
        <v>18</v>
      </c>
      <c r="B2515" s="1">
        <v>40816</v>
      </c>
      <c r="C2515">
        <v>0</v>
      </c>
      <c r="D2515">
        <v>69.010000000000005</v>
      </c>
      <c r="E2515">
        <v>3.6840000000000002</v>
      </c>
      <c r="F2515">
        <v>136.4195</v>
      </c>
      <c r="G2515">
        <v>847348.08</v>
      </c>
      <c r="H2515" t="str">
        <f>TEXT(Ventas[[#This Row],[Fecha_venta]],"dd")</f>
        <v>30</v>
      </c>
      <c r="I2515" t="str">
        <f>TEXT(Ventas[[#This Row],[Fecha_venta]],"m")</f>
        <v>9</v>
      </c>
      <c r="J2515" t="str">
        <f>TEXT(Ventas[[#This Row],[Fecha_venta]],"yyyy")</f>
        <v>2011</v>
      </c>
    </row>
    <row r="2516" spans="1:10" x14ac:dyDescent="0.25">
      <c r="A2516">
        <v>18</v>
      </c>
      <c r="B2516" s="1">
        <v>40823</v>
      </c>
      <c r="C2516">
        <v>0</v>
      </c>
      <c r="D2516">
        <v>54.65</v>
      </c>
      <c r="E2516">
        <v>3.633</v>
      </c>
      <c r="F2516">
        <v>136.47200000000001</v>
      </c>
      <c r="G2516">
        <v>1019741.1</v>
      </c>
      <c r="H2516" t="str">
        <f>TEXT(Ventas[[#This Row],[Fecha_venta]],"dd")</f>
        <v>07</v>
      </c>
      <c r="I2516" t="str">
        <f>TEXT(Ventas[[#This Row],[Fecha_venta]],"m")</f>
        <v>10</v>
      </c>
      <c r="J2516" t="str">
        <f>TEXT(Ventas[[#This Row],[Fecha_venta]],"yyyy")</f>
        <v>2011</v>
      </c>
    </row>
    <row r="2517" spans="1:10" x14ac:dyDescent="0.25">
      <c r="A2517">
        <v>18</v>
      </c>
      <c r="B2517" s="1">
        <v>40830</v>
      </c>
      <c r="C2517">
        <v>0</v>
      </c>
      <c r="D2517">
        <v>60.26</v>
      </c>
      <c r="E2517">
        <v>3.5830000000000002</v>
      </c>
      <c r="F2517">
        <v>136.51509680000001</v>
      </c>
      <c r="G2517">
        <v>953533.95</v>
      </c>
      <c r="H2517" t="str">
        <f>TEXT(Ventas[[#This Row],[Fecha_venta]],"dd")</f>
        <v>14</v>
      </c>
      <c r="I2517" t="str">
        <f>TEXT(Ventas[[#This Row],[Fecha_venta]],"m")</f>
        <v>10</v>
      </c>
      <c r="J2517" t="str">
        <f>TEXT(Ventas[[#This Row],[Fecha_venta]],"yyyy")</f>
        <v>2011</v>
      </c>
    </row>
    <row r="2518" spans="1:10" x14ac:dyDescent="0.25">
      <c r="A2518">
        <v>18</v>
      </c>
      <c r="B2518" s="1">
        <v>40837</v>
      </c>
      <c r="C2518">
        <v>0</v>
      </c>
      <c r="D2518">
        <v>55.83</v>
      </c>
      <c r="E2518">
        <v>3.6179999999999999</v>
      </c>
      <c r="F2518">
        <v>136.5017742</v>
      </c>
      <c r="G2518">
        <v>1048212.62</v>
      </c>
      <c r="H2518" t="str">
        <f>TEXT(Ventas[[#This Row],[Fecha_venta]],"dd")</f>
        <v>21</v>
      </c>
      <c r="I2518" t="str">
        <f>TEXT(Ventas[[#This Row],[Fecha_venta]],"m")</f>
        <v>10</v>
      </c>
      <c r="J2518" t="str">
        <f>TEXT(Ventas[[#This Row],[Fecha_venta]],"yyyy")</f>
        <v>2011</v>
      </c>
    </row>
    <row r="2519" spans="1:10" x14ac:dyDescent="0.25">
      <c r="A2519">
        <v>18</v>
      </c>
      <c r="B2519" s="1">
        <v>40844</v>
      </c>
      <c r="C2519">
        <v>0</v>
      </c>
      <c r="D2519">
        <v>45.61</v>
      </c>
      <c r="E2519">
        <v>3.6040000000000001</v>
      </c>
      <c r="F2519">
        <v>136.48845159999999</v>
      </c>
      <c r="G2519">
        <v>1106642.6299999999</v>
      </c>
      <c r="H2519" t="str">
        <f>TEXT(Ventas[[#This Row],[Fecha_venta]],"dd")</f>
        <v>28</v>
      </c>
      <c r="I2519" t="str">
        <f>TEXT(Ventas[[#This Row],[Fecha_venta]],"m")</f>
        <v>10</v>
      </c>
      <c r="J2519" t="str">
        <f>TEXT(Ventas[[#This Row],[Fecha_venta]],"yyyy")</f>
        <v>2011</v>
      </c>
    </row>
    <row r="2520" spans="1:10" x14ac:dyDescent="0.25">
      <c r="A2520">
        <v>18</v>
      </c>
      <c r="B2520" s="1">
        <v>40851</v>
      </c>
      <c r="C2520">
        <v>0</v>
      </c>
      <c r="D2520">
        <v>38.29</v>
      </c>
      <c r="E2520">
        <v>3.5859999999999999</v>
      </c>
      <c r="F2520">
        <v>136.47512900000001</v>
      </c>
      <c r="G2520">
        <v>1100625.06</v>
      </c>
      <c r="H2520" t="str">
        <f>TEXT(Ventas[[#This Row],[Fecha_venta]],"dd")</f>
        <v>04</v>
      </c>
      <c r="I2520" t="str">
        <f>TEXT(Ventas[[#This Row],[Fecha_venta]],"m")</f>
        <v>11</v>
      </c>
      <c r="J2520" t="str">
        <f>TEXT(Ventas[[#This Row],[Fecha_venta]],"yyyy")</f>
        <v>2011</v>
      </c>
    </row>
    <row r="2521" spans="1:10" x14ac:dyDescent="0.25">
      <c r="A2521">
        <v>18</v>
      </c>
      <c r="B2521" s="1">
        <v>40858</v>
      </c>
      <c r="C2521">
        <v>0</v>
      </c>
      <c r="D2521">
        <v>45.69</v>
      </c>
      <c r="E2521">
        <v>3.57</v>
      </c>
      <c r="F2521">
        <v>136.46180649999999</v>
      </c>
      <c r="G2521">
        <v>1079931.6299999999</v>
      </c>
      <c r="H2521" t="str">
        <f>TEXT(Ventas[[#This Row],[Fecha_venta]],"dd")</f>
        <v>11</v>
      </c>
      <c r="I2521" t="str">
        <f>TEXT(Ventas[[#This Row],[Fecha_venta]],"m")</f>
        <v>11</v>
      </c>
      <c r="J2521" t="str">
        <f>TEXT(Ventas[[#This Row],[Fecha_venta]],"yyyy")</f>
        <v>2011</v>
      </c>
    </row>
    <row r="2522" spans="1:10" x14ac:dyDescent="0.25">
      <c r="A2522">
        <v>18</v>
      </c>
      <c r="B2522" s="1">
        <v>40865</v>
      </c>
      <c r="C2522">
        <v>0</v>
      </c>
      <c r="D2522">
        <v>47.88</v>
      </c>
      <c r="E2522">
        <v>3.5710000000000002</v>
      </c>
      <c r="F2522">
        <v>136.46666669999999</v>
      </c>
      <c r="G2522">
        <v>1056992.18</v>
      </c>
      <c r="H2522" t="str">
        <f>TEXT(Ventas[[#This Row],[Fecha_venta]],"dd")</f>
        <v>18</v>
      </c>
      <c r="I2522" t="str">
        <f>TEXT(Ventas[[#This Row],[Fecha_venta]],"m")</f>
        <v>11</v>
      </c>
      <c r="J2522" t="str">
        <f>TEXT(Ventas[[#This Row],[Fecha_venta]],"yyyy")</f>
        <v>2011</v>
      </c>
    </row>
    <row r="2523" spans="1:10" x14ac:dyDescent="0.25">
      <c r="A2523">
        <v>18</v>
      </c>
      <c r="B2523" s="1">
        <v>40872</v>
      </c>
      <c r="C2523">
        <v>1</v>
      </c>
      <c r="D2523">
        <v>41.97</v>
      </c>
      <c r="E2523">
        <v>3.536</v>
      </c>
      <c r="F2523">
        <v>136.47880000000001</v>
      </c>
      <c r="G2523">
        <v>1624170.99</v>
      </c>
      <c r="H2523" t="str">
        <f>TEXT(Ventas[[#This Row],[Fecha_venta]],"dd")</f>
        <v>25</v>
      </c>
      <c r="I2523" t="str">
        <f>TEXT(Ventas[[#This Row],[Fecha_venta]],"m")</f>
        <v>11</v>
      </c>
      <c r="J2523" t="str">
        <f>TEXT(Ventas[[#This Row],[Fecha_venta]],"yyyy")</f>
        <v>2011</v>
      </c>
    </row>
    <row r="2524" spans="1:10" x14ac:dyDescent="0.25">
      <c r="A2524">
        <v>18</v>
      </c>
      <c r="B2524" s="1">
        <v>40879</v>
      </c>
      <c r="C2524">
        <v>0</v>
      </c>
      <c r="D2524">
        <v>46.25</v>
      </c>
      <c r="E2524">
        <v>3.5009999999999999</v>
      </c>
      <c r="F2524">
        <v>136.49093329999999</v>
      </c>
      <c r="G2524">
        <v>1188047.6100000001</v>
      </c>
      <c r="H2524" t="str">
        <f>TEXT(Ventas[[#This Row],[Fecha_venta]],"dd")</f>
        <v>02</v>
      </c>
      <c r="I2524" t="str">
        <f>TEXT(Ventas[[#This Row],[Fecha_venta]],"m")</f>
        <v>12</v>
      </c>
      <c r="J2524" t="str">
        <f>TEXT(Ventas[[#This Row],[Fecha_venta]],"yyyy")</f>
        <v>2011</v>
      </c>
    </row>
    <row r="2525" spans="1:10" x14ac:dyDescent="0.25">
      <c r="A2525">
        <v>18</v>
      </c>
      <c r="B2525" s="1">
        <v>40886</v>
      </c>
      <c r="C2525">
        <v>0</v>
      </c>
      <c r="D2525">
        <v>42.36</v>
      </c>
      <c r="E2525">
        <v>3.47</v>
      </c>
      <c r="F2525">
        <v>136.50306670000001</v>
      </c>
      <c r="G2525">
        <v>1368471.23</v>
      </c>
      <c r="H2525" t="str">
        <f>TEXT(Ventas[[#This Row],[Fecha_venta]],"dd")</f>
        <v>09</v>
      </c>
      <c r="I2525" t="str">
        <f>TEXT(Ventas[[#This Row],[Fecha_venta]],"m")</f>
        <v>12</v>
      </c>
      <c r="J2525" t="str">
        <f>TEXT(Ventas[[#This Row],[Fecha_venta]],"yyyy")</f>
        <v>2011</v>
      </c>
    </row>
    <row r="2526" spans="1:10" x14ac:dyDescent="0.25">
      <c r="A2526">
        <v>18</v>
      </c>
      <c r="B2526" s="1">
        <v>40893</v>
      </c>
      <c r="C2526">
        <v>0</v>
      </c>
      <c r="D2526">
        <v>35.520000000000003</v>
      </c>
      <c r="E2526">
        <v>3.4449999999999998</v>
      </c>
      <c r="F2526">
        <v>136.53351610000001</v>
      </c>
      <c r="G2526">
        <v>1516924.23</v>
      </c>
      <c r="H2526" t="str">
        <f>TEXT(Ventas[[#This Row],[Fecha_venta]],"dd")</f>
        <v>16</v>
      </c>
      <c r="I2526" t="str">
        <f>TEXT(Ventas[[#This Row],[Fecha_venta]],"m")</f>
        <v>12</v>
      </c>
      <c r="J2526" t="str">
        <f>TEXT(Ventas[[#This Row],[Fecha_venta]],"yyyy")</f>
        <v>2011</v>
      </c>
    </row>
    <row r="2527" spans="1:10" x14ac:dyDescent="0.25">
      <c r="A2527">
        <v>18</v>
      </c>
      <c r="B2527" s="1">
        <v>40900</v>
      </c>
      <c r="C2527">
        <v>0</v>
      </c>
      <c r="D2527">
        <v>35.78</v>
      </c>
      <c r="E2527">
        <v>3.4129999999999998</v>
      </c>
      <c r="F2527">
        <v>136.58838710000001</v>
      </c>
      <c r="G2527">
        <v>1882393.4</v>
      </c>
      <c r="H2527" t="str">
        <f>TEXT(Ventas[[#This Row],[Fecha_venta]],"dd")</f>
        <v>23</v>
      </c>
      <c r="I2527" t="str">
        <f>TEXT(Ventas[[#This Row],[Fecha_venta]],"m")</f>
        <v>12</v>
      </c>
      <c r="J2527" t="str">
        <f>TEXT(Ventas[[#This Row],[Fecha_venta]],"yyyy")</f>
        <v>2011</v>
      </c>
    </row>
    <row r="2528" spans="1:10" x14ac:dyDescent="0.25">
      <c r="A2528">
        <v>18</v>
      </c>
      <c r="B2528" s="1">
        <v>40907</v>
      </c>
      <c r="C2528">
        <v>1</v>
      </c>
      <c r="D2528">
        <v>32.36</v>
      </c>
      <c r="E2528">
        <v>3.4020000000000001</v>
      </c>
      <c r="F2528">
        <v>136.6432581</v>
      </c>
      <c r="G2528">
        <v>1010562.49</v>
      </c>
      <c r="H2528" t="str">
        <f>TEXT(Ventas[[#This Row],[Fecha_venta]],"dd")</f>
        <v>30</v>
      </c>
      <c r="I2528" t="str">
        <f>TEXT(Ventas[[#This Row],[Fecha_venta]],"m")</f>
        <v>12</v>
      </c>
      <c r="J2528" t="str">
        <f>TEXT(Ventas[[#This Row],[Fecha_venta]],"yyyy")</f>
        <v>2011</v>
      </c>
    </row>
    <row r="2529" spans="1:10" x14ac:dyDescent="0.25">
      <c r="A2529">
        <v>18</v>
      </c>
      <c r="B2529" s="1">
        <v>40914</v>
      </c>
      <c r="C2529">
        <v>0</v>
      </c>
      <c r="D2529">
        <v>31.27</v>
      </c>
      <c r="E2529">
        <v>3.4390000000000001</v>
      </c>
      <c r="F2529">
        <v>136.69812899999999</v>
      </c>
      <c r="G2529">
        <v>977286.07</v>
      </c>
      <c r="H2529" t="str">
        <f>TEXT(Ventas[[#This Row],[Fecha_venta]],"dd")</f>
        <v>06</v>
      </c>
      <c r="I2529" t="str">
        <f>TEXT(Ventas[[#This Row],[Fecha_venta]],"m")</f>
        <v>1</v>
      </c>
      <c r="J2529" t="str">
        <f>TEXT(Ventas[[#This Row],[Fecha_venta]],"yyyy")</f>
        <v>2012</v>
      </c>
    </row>
    <row r="2530" spans="1:10" x14ac:dyDescent="0.25">
      <c r="A2530">
        <v>18</v>
      </c>
      <c r="B2530" s="1">
        <v>40921</v>
      </c>
      <c r="C2530">
        <v>0</v>
      </c>
      <c r="D2530">
        <v>35.25</v>
      </c>
      <c r="E2530">
        <v>3.5230000000000001</v>
      </c>
      <c r="F2530">
        <v>136.75299999999999</v>
      </c>
      <c r="G2530">
        <v>890130.25</v>
      </c>
      <c r="H2530" t="str">
        <f>TEXT(Ventas[[#This Row],[Fecha_venta]],"dd")</f>
        <v>13</v>
      </c>
      <c r="I2530" t="str">
        <f>TEXT(Ventas[[#This Row],[Fecha_venta]],"m")</f>
        <v>1</v>
      </c>
      <c r="J2530" t="str">
        <f>TEXT(Ventas[[#This Row],[Fecha_venta]],"yyyy")</f>
        <v>2012</v>
      </c>
    </row>
    <row r="2531" spans="1:10" x14ac:dyDescent="0.25">
      <c r="A2531">
        <v>18</v>
      </c>
      <c r="B2531" s="1">
        <v>40928</v>
      </c>
      <c r="C2531">
        <v>0</v>
      </c>
      <c r="D2531">
        <v>24.2</v>
      </c>
      <c r="E2531">
        <v>3.5419999999999998</v>
      </c>
      <c r="F2531">
        <v>136.85641939999999</v>
      </c>
      <c r="G2531">
        <v>937522.77</v>
      </c>
      <c r="H2531" t="str">
        <f>TEXT(Ventas[[#This Row],[Fecha_venta]],"dd")</f>
        <v>20</v>
      </c>
      <c r="I2531" t="str">
        <f>TEXT(Ventas[[#This Row],[Fecha_venta]],"m")</f>
        <v>1</v>
      </c>
      <c r="J2531" t="str">
        <f>TEXT(Ventas[[#This Row],[Fecha_venta]],"yyyy")</f>
        <v>2012</v>
      </c>
    </row>
    <row r="2532" spans="1:10" x14ac:dyDescent="0.25">
      <c r="A2532">
        <v>18</v>
      </c>
      <c r="B2532" s="1">
        <v>40935</v>
      </c>
      <c r="C2532">
        <v>0</v>
      </c>
      <c r="D2532">
        <v>30.44</v>
      </c>
      <c r="E2532">
        <v>3.5680000000000001</v>
      </c>
      <c r="F2532">
        <v>136.95983870000001</v>
      </c>
      <c r="G2532">
        <v>825584.22</v>
      </c>
      <c r="H2532" t="str">
        <f>TEXT(Ventas[[#This Row],[Fecha_venta]],"dd")</f>
        <v>27</v>
      </c>
      <c r="I2532" t="str">
        <f>TEXT(Ventas[[#This Row],[Fecha_venta]],"m")</f>
        <v>1</v>
      </c>
      <c r="J2532" t="str">
        <f>TEXT(Ventas[[#This Row],[Fecha_venta]],"yyyy")</f>
        <v>2012</v>
      </c>
    </row>
    <row r="2533" spans="1:10" x14ac:dyDescent="0.25">
      <c r="A2533">
        <v>18</v>
      </c>
      <c r="B2533" s="1">
        <v>40942</v>
      </c>
      <c r="C2533">
        <v>0</v>
      </c>
      <c r="D2533">
        <v>37.619999999999997</v>
      </c>
      <c r="E2533">
        <v>3.633</v>
      </c>
      <c r="F2533">
        <v>137.06325810000001</v>
      </c>
      <c r="G2533">
        <v>1049772.04</v>
      </c>
      <c r="H2533" t="str">
        <f>TEXT(Ventas[[#This Row],[Fecha_venta]],"dd")</f>
        <v>03</v>
      </c>
      <c r="I2533" t="str">
        <f>TEXT(Ventas[[#This Row],[Fecha_venta]],"m")</f>
        <v>2</v>
      </c>
      <c r="J2533" t="str">
        <f>TEXT(Ventas[[#This Row],[Fecha_venta]],"yyyy")</f>
        <v>2012</v>
      </c>
    </row>
    <row r="2534" spans="1:10" x14ac:dyDescent="0.25">
      <c r="A2534">
        <v>18</v>
      </c>
      <c r="B2534" s="1">
        <v>40949</v>
      </c>
      <c r="C2534">
        <v>1</v>
      </c>
      <c r="D2534">
        <v>32.83</v>
      </c>
      <c r="E2534">
        <v>3.6549999999999998</v>
      </c>
      <c r="F2534">
        <v>137.1666774</v>
      </c>
      <c r="G2534">
        <v>1161615.51</v>
      </c>
      <c r="H2534" t="str">
        <f>TEXT(Ventas[[#This Row],[Fecha_venta]],"dd")</f>
        <v>10</v>
      </c>
      <c r="I2534" t="str">
        <f>TEXT(Ventas[[#This Row],[Fecha_venta]],"m")</f>
        <v>2</v>
      </c>
      <c r="J2534" t="str">
        <f>TEXT(Ventas[[#This Row],[Fecha_venta]],"yyyy")</f>
        <v>2012</v>
      </c>
    </row>
    <row r="2535" spans="1:10" x14ac:dyDescent="0.25">
      <c r="A2535">
        <v>18</v>
      </c>
      <c r="B2535" s="1">
        <v>40956</v>
      </c>
      <c r="C2535">
        <v>0</v>
      </c>
      <c r="D2535">
        <v>32.869999999999997</v>
      </c>
      <c r="E2535">
        <v>3.7029999999999998</v>
      </c>
      <c r="F2535">
        <v>137.25831030000001</v>
      </c>
      <c r="G2535">
        <v>1115985.81</v>
      </c>
      <c r="H2535" t="str">
        <f>TEXT(Ventas[[#This Row],[Fecha_venta]],"dd")</f>
        <v>17</v>
      </c>
      <c r="I2535" t="str">
        <f>TEXT(Ventas[[#This Row],[Fecha_venta]],"m")</f>
        <v>2</v>
      </c>
      <c r="J2535" t="str">
        <f>TEXT(Ventas[[#This Row],[Fecha_venta]],"yyyy")</f>
        <v>2012</v>
      </c>
    </row>
    <row r="2536" spans="1:10" x14ac:dyDescent="0.25">
      <c r="A2536">
        <v>18</v>
      </c>
      <c r="B2536" s="1">
        <v>40963</v>
      </c>
      <c r="C2536">
        <v>0</v>
      </c>
      <c r="D2536">
        <v>36.340000000000003</v>
      </c>
      <c r="E2536">
        <v>3.7509999999999999</v>
      </c>
      <c r="F2536">
        <v>137.34110340000001</v>
      </c>
      <c r="G2536">
        <v>1037861.11</v>
      </c>
      <c r="H2536" t="str">
        <f>TEXT(Ventas[[#This Row],[Fecha_venta]],"dd")</f>
        <v>24</v>
      </c>
      <c r="I2536" t="str">
        <f>TEXT(Ventas[[#This Row],[Fecha_venta]],"m")</f>
        <v>2</v>
      </c>
      <c r="J2536" t="str">
        <f>TEXT(Ventas[[#This Row],[Fecha_venta]],"yyyy")</f>
        <v>2012</v>
      </c>
    </row>
    <row r="2537" spans="1:10" x14ac:dyDescent="0.25">
      <c r="A2537">
        <v>18</v>
      </c>
      <c r="B2537" s="1">
        <v>40970</v>
      </c>
      <c r="C2537">
        <v>0</v>
      </c>
      <c r="D2537">
        <v>33.590000000000003</v>
      </c>
      <c r="E2537">
        <v>3.827</v>
      </c>
      <c r="F2537">
        <v>137.42389660000001</v>
      </c>
      <c r="G2537">
        <v>1047178.91</v>
      </c>
      <c r="H2537" t="str">
        <f>TEXT(Ventas[[#This Row],[Fecha_venta]],"dd")</f>
        <v>02</v>
      </c>
      <c r="I2537" t="str">
        <f>TEXT(Ventas[[#This Row],[Fecha_venta]],"m")</f>
        <v>3</v>
      </c>
      <c r="J2537" t="str">
        <f>TEXT(Ventas[[#This Row],[Fecha_venta]],"yyyy")</f>
        <v>2012</v>
      </c>
    </row>
    <row r="2538" spans="1:10" x14ac:dyDescent="0.25">
      <c r="A2538">
        <v>18</v>
      </c>
      <c r="B2538" s="1">
        <v>40977</v>
      </c>
      <c r="C2538">
        <v>0</v>
      </c>
      <c r="D2538">
        <v>38.1</v>
      </c>
      <c r="E2538">
        <v>3.8759999999999999</v>
      </c>
      <c r="F2538">
        <v>137.50668970000001</v>
      </c>
      <c r="G2538">
        <v>1084894.47</v>
      </c>
      <c r="H2538" t="str">
        <f>TEXT(Ventas[[#This Row],[Fecha_venta]],"dd")</f>
        <v>09</v>
      </c>
      <c r="I2538" t="str">
        <f>TEXT(Ventas[[#This Row],[Fecha_venta]],"m")</f>
        <v>3</v>
      </c>
      <c r="J2538" t="str">
        <f>TEXT(Ventas[[#This Row],[Fecha_venta]],"yyyy")</f>
        <v>2012</v>
      </c>
    </row>
    <row r="2539" spans="1:10" x14ac:dyDescent="0.25">
      <c r="A2539">
        <v>18</v>
      </c>
      <c r="B2539" s="1">
        <v>40984</v>
      </c>
      <c r="C2539">
        <v>0</v>
      </c>
      <c r="D2539">
        <v>45.84</v>
      </c>
      <c r="E2539">
        <v>3.867</v>
      </c>
      <c r="F2539">
        <v>137.58438709999999</v>
      </c>
      <c r="G2539">
        <v>1022018.43</v>
      </c>
      <c r="H2539" t="str">
        <f>TEXT(Ventas[[#This Row],[Fecha_venta]],"dd")</f>
        <v>16</v>
      </c>
      <c r="I2539" t="str">
        <f>TEXT(Ventas[[#This Row],[Fecha_venta]],"m")</f>
        <v>3</v>
      </c>
      <c r="J2539" t="str">
        <f>TEXT(Ventas[[#This Row],[Fecha_venta]],"yyyy")</f>
        <v>2012</v>
      </c>
    </row>
    <row r="2540" spans="1:10" x14ac:dyDescent="0.25">
      <c r="A2540">
        <v>18</v>
      </c>
      <c r="B2540" s="1">
        <v>40991</v>
      </c>
      <c r="C2540">
        <v>0</v>
      </c>
      <c r="D2540">
        <v>58.06</v>
      </c>
      <c r="E2540">
        <v>3.8889999999999998</v>
      </c>
      <c r="F2540">
        <v>137.65529029999999</v>
      </c>
      <c r="G2540">
        <v>1031139.3</v>
      </c>
      <c r="H2540" t="str">
        <f>TEXT(Ventas[[#This Row],[Fecha_venta]],"dd")</f>
        <v>23</v>
      </c>
      <c r="I2540" t="str">
        <f>TEXT(Ventas[[#This Row],[Fecha_venta]],"m")</f>
        <v>3</v>
      </c>
      <c r="J2540" t="str">
        <f>TEXT(Ventas[[#This Row],[Fecha_venta]],"yyyy")</f>
        <v>2012</v>
      </c>
    </row>
    <row r="2541" spans="1:10" x14ac:dyDescent="0.25">
      <c r="A2541">
        <v>18</v>
      </c>
      <c r="B2541" s="1">
        <v>40998</v>
      </c>
      <c r="C2541">
        <v>0</v>
      </c>
      <c r="D2541">
        <v>45.35</v>
      </c>
      <c r="E2541">
        <v>3.9209999999999998</v>
      </c>
      <c r="F2541">
        <v>137.72619349999999</v>
      </c>
      <c r="G2541">
        <v>1009121.2</v>
      </c>
      <c r="H2541" t="str">
        <f>TEXT(Ventas[[#This Row],[Fecha_venta]],"dd")</f>
        <v>30</v>
      </c>
      <c r="I2541" t="str">
        <f>TEXT(Ventas[[#This Row],[Fecha_venta]],"m")</f>
        <v>3</v>
      </c>
      <c r="J2541" t="str">
        <f>TEXT(Ventas[[#This Row],[Fecha_venta]],"yyyy")</f>
        <v>2012</v>
      </c>
    </row>
    <row r="2542" spans="1:10" x14ac:dyDescent="0.25">
      <c r="A2542">
        <v>18</v>
      </c>
      <c r="B2542" s="1">
        <v>41005</v>
      </c>
      <c r="C2542">
        <v>0</v>
      </c>
      <c r="D2542">
        <v>43.8</v>
      </c>
      <c r="E2542">
        <v>3.9569999999999999</v>
      </c>
      <c r="F2542">
        <v>137.79709679999999</v>
      </c>
      <c r="G2542">
        <v>1200815.3</v>
      </c>
      <c r="H2542" t="str">
        <f>TEXT(Ventas[[#This Row],[Fecha_venta]],"dd")</f>
        <v>06</v>
      </c>
      <c r="I2542" t="str">
        <f>TEXT(Ventas[[#This Row],[Fecha_venta]],"m")</f>
        <v>4</v>
      </c>
      <c r="J2542" t="str">
        <f>TEXT(Ventas[[#This Row],[Fecha_venta]],"yyyy")</f>
        <v>2012</v>
      </c>
    </row>
    <row r="2543" spans="1:10" x14ac:dyDescent="0.25">
      <c r="A2543">
        <v>18</v>
      </c>
      <c r="B2543" s="1">
        <v>41012</v>
      </c>
      <c r="C2543">
        <v>0</v>
      </c>
      <c r="D2543">
        <v>47.75</v>
      </c>
      <c r="E2543">
        <v>4.0250000000000004</v>
      </c>
      <c r="F2543">
        <v>137.86799999999999</v>
      </c>
      <c r="G2543">
        <v>998443.5</v>
      </c>
      <c r="H2543" t="str">
        <f>TEXT(Ventas[[#This Row],[Fecha_venta]],"dd")</f>
        <v>13</v>
      </c>
      <c r="I2543" t="str">
        <f>TEXT(Ventas[[#This Row],[Fecha_venta]],"m")</f>
        <v>4</v>
      </c>
      <c r="J2543" t="str">
        <f>TEXT(Ventas[[#This Row],[Fecha_venta]],"yyyy")</f>
        <v>2012</v>
      </c>
    </row>
    <row r="2544" spans="1:10" x14ac:dyDescent="0.25">
      <c r="A2544">
        <v>18</v>
      </c>
      <c r="B2544" s="1">
        <v>41019</v>
      </c>
      <c r="C2544">
        <v>0</v>
      </c>
      <c r="D2544">
        <v>60.88</v>
      </c>
      <c r="E2544">
        <v>4.0460000000000003</v>
      </c>
      <c r="F2544">
        <v>137.92306669999999</v>
      </c>
      <c r="G2544">
        <v>1025813.8</v>
      </c>
      <c r="H2544" t="str">
        <f>TEXT(Ventas[[#This Row],[Fecha_venta]],"dd")</f>
        <v>20</v>
      </c>
      <c r="I2544" t="str">
        <f>TEXT(Ventas[[#This Row],[Fecha_venta]],"m")</f>
        <v>4</v>
      </c>
      <c r="J2544" t="str">
        <f>TEXT(Ventas[[#This Row],[Fecha_venta]],"yyyy")</f>
        <v>2012</v>
      </c>
    </row>
    <row r="2545" spans="1:10" x14ac:dyDescent="0.25">
      <c r="A2545">
        <v>18</v>
      </c>
      <c r="B2545" s="1">
        <v>41026</v>
      </c>
      <c r="C2545">
        <v>0</v>
      </c>
      <c r="D2545">
        <v>50.43</v>
      </c>
      <c r="E2545">
        <v>4.0229999999999997</v>
      </c>
      <c r="F2545">
        <v>137.9781333</v>
      </c>
      <c r="G2545">
        <v>961186.23</v>
      </c>
      <c r="H2545" t="str">
        <f>TEXT(Ventas[[#This Row],[Fecha_venta]],"dd")</f>
        <v>27</v>
      </c>
      <c r="I2545" t="str">
        <f>TEXT(Ventas[[#This Row],[Fecha_venta]],"m")</f>
        <v>4</v>
      </c>
      <c r="J2545" t="str">
        <f>TEXT(Ventas[[#This Row],[Fecha_venta]],"yyyy")</f>
        <v>2012</v>
      </c>
    </row>
    <row r="2546" spans="1:10" x14ac:dyDescent="0.25">
      <c r="A2546">
        <v>18</v>
      </c>
      <c r="B2546" s="1">
        <v>41033</v>
      </c>
      <c r="C2546">
        <v>0</v>
      </c>
      <c r="D2546">
        <v>49.66</v>
      </c>
      <c r="E2546">
        <v>3.9910000000000001</v>
      </c>
      <c r="F2546">
        <v>138.03319999999999</v>
      </c>
      <c r="G2546">
        <v>1050027.8899999999</v>
      </c>
      <c r="H2546" t="str">
        <f>TEXT(Ventas[[#This Row],[Fecha_venta]],"dd")</f>
        <v>04</v>
      </c>
      <c r="I2546" t="str">
        <f>TEXT(Ventas[[#This Row],[Fecha_venta]],"m")</f>
        <v>5</v>
      </c>
      <c r="J2546" t="str">
        <f>TEXT(Ventas[[#This Row],[Fecha_venta]],"yyyy")</f>
        <v>2012</v>
      </c>
    </row>
    <row r="2547" spans="1:10" x14ac:dyDescent="0.25">
      <c r="A2547">
        <v>18</v>
      </c>
      <c r="B2547" s="1">
        <v>41040</v>
      </c>
      <c r="C2547">
        <v>0</v>
      </c>
      <c r="D2547">
        <v>57.44</v>
      </c>
      <c r="E2547">
        <v>3.9470000000000001</v>
      </c>
      <c r="F2547">
        <v>138.08826669999999</v>
      </c>
      <c r="G2547">
        <v>1060433.1000000001</v>
      </c>
      <c r="H2547" t="str">
        <f>TEXT(Ventas[[#This Row],[Fecha_venta]],"dd")</f>
        <v>11</v>
      </c>
      <c r="I2547" t="str">
        <f>TEXT(Ventas[[#This Row],[Fecha_venta]],"m")</f>
        <v>5</v>
      </c>
      <c r="J2547" t="str">
        <f>TEXT(Ventas[[#This Row],[Fecha_venta]],"yyyy")</f>
        <v>2012</v>
      </c>
    </row>
    <row r="2548" spans="1:10" x14ac:dyDescent="0.25">
      <c r="A2548">
        <v>18</v>
      </c>
      <c r="B2548" s="1">
        <v>41047</v>
      </c>
      <c r="C2548">
        <v>0</v>
      </c>
      <c r="D2548">
        <v>62.31</v>
      </c>
      <c r="E2548">
        <v>3.899</v>
      </c>
      <c r="F2548">
        <v>138.1065806</v>
      </c>
      <c r="G2548">
        <v>1047444.59</v>
      </c>
      <c r="H2548" t="str">
        <f>TEXT(Ventas[[#This Row],[Fecha_venta]],"dd")</f>
        <v>18</v>
      </c>
      <c r="I2548" t="str">
        <f>TEXT(Ventas[[#This Row],[Fecha_venta]],"m")</f>
        <v>5</v>
      </c>
      <c r="J2548" t="str">
        <f>TEXT(Ventas[[#This Row],[Fecha_venta]],"yyyy")</f>
        <v>2012</v>
      </c>
    </row>
    <row r="2549" spans="1:10" x14ac:dyDescent="0.25">
      <c r="A2549">
        <v>18</v>
      </c>
      <c r="B2549" s="1">
        <v>41054</v>
      </c>
      <c r="C2549">
        <v>0</v>
      </c>
      <c r="D2549">
        <v>65.48</v>
      </c>
      <c r="E2549">
        <v>3.85</v>
      </c>
      <c r="F2549">
        <v>138.11019350000001</v>
      </c>
      <c r="G2549">
        <v>1088446.58</v>
      </c>
      <c r="H2549" t="str">
        <f>TEXT(Ventas[[#This Row],[Fecha_venta]],"dd")</f>
        <v>25</v>
      </c>
      <c r="I2549" t="str">
        <f>TEXT(Ventas[[#This Row],[Fecha_venta]],"m")</f>
        <v>5</v>
      </c>
      <c r="J2549" t="str">
        <f>TEXT(Ventas[[#This Row],[Fecha_venta]],"yyyy")</f>
        <v>2012</v>
      </c>
    </row>
    <row r="2550" spans="1:10" x14ac:dyDescent="0.25">
      <c r="A2550">
        <v>18</v>
      </c>
      <c r="B2550" s="1">
        <v>41061</v>
      </c>
      <c r="C2550">
        <v>0</v>
      </c>
      <c r="D2550">
        <v>71.42</v>
      </c>
      <c r="E2550">
        <v>3.798</v>
      </c>
      <c r="F2550">
        <v>138.11380650000001</v>
      </c>
      <c r="G2550">
        <v>1118313.7</v>
      </c>
      <c r="H2550" t="str">
        <f>TEXT(Ventas[[#This Row],[Fecha_venta]],"dd")</f>
        <v>01</v>
      </c>
      <c r="I2550" t="str">
        <f>TEXT(Ventas[[#This Row],[Fecha_venta]],"m")</f>
        <v>6</v>
      </c>
      <c r="J2550" t="str">
        <f>TEXT(Ventas[[#This Row],[Fecha_venta]],"yyyy")</f>
        <v>2012</v>
      </c>
    </row>
    <row r="2551" spans="1:10" x14ac:dyDescent="0.25">
      <c r="A2551">
        <v>18</v>
      </c>
      <c r="B2551" s="1">
        <v>41068</v>
      </c>
      <c r="C2551">
        <v>0</v>
      </c>
      <c r="D2551">
        <v>59.1</v>
      </c>
      <c r="E2551">
        <v>3.746</v>
      </c>
      <c r="F2551">
        <v>138.11741939999999</v>
      </c>
      <c r="G2551">
        <v>1110479.94</v>
      </c>
      <c r="H2551" t="str">
        <f>TEXT(Ventas[[#This Row],[Fecha_venta]],"dd")</f>
        <v>08</v>
      </c>
      <c r="I2551" t="str">
        <f>TEXT(Ventas[[#This Row],[Fecha_venta]],"m")</f>
        <v>6</v>
      </c>
      <c r="J2551" t="str">
        <f>TEXT(Ventas[[#This Row],[Fecha_venta]],"yyyy")</f>
        <v>2012</v>
      </c>
    </row>
    <row r="2552" spans="1:10" x14ac:dyDescent="0.25">
      <c r="A2552">
        <v>18</v>
      </c>
      <c r="B2552" s="1">
        <v>41075</v>
      </c>
      <c r="C2552">
        <v>0</v>
      </c>
      <c r="D2552">
        <v>66.58</v>
      </c>
      <c r="E2552">
        <v>3.6829999999999998</v>
      </c>
      <c r="F2552">
        <v>138.12953329999999</v>
      </c>
      <c r="G2552">
        <v>1057425.83</v>
      </c>
      <c r="H2552" t="str">
        <f>TEXT(Ventas[[#This Row],[Fecha_venta]],"dd")</f>
        <v>15</v>
      </c>
      <c r="I2552" t="str">
        <f>TEXT(Ventas[[#This Row],[Fecha_venta]],"m")</f>
        <v>6</v>
      </c>
      <c r="J2552" t="str">
        <f>TEXT(Ventas[[#This Row],[Fecha_venta]],"yyyy")</f>
        <v>2012</v>
      </c>
    </row>
    <row r="2553" spans="1:10" x14ac:dyDescent="0.25">
      <c r="A2553">
        <v>18</v>
      </c>
      <c r="B2553" s="1">
        <v>41082</v>
      </c>
      <c r="C2553">
        <v>0</v>
      </c>
      <c r="D2553">
        <v>70.92</v>
      </c>
      <c r="E2553">
        <v>3.629</v>
      </c>
      <c r="F2553">
        <v>138.16290000000001</v>
      </c>
      <c r="G2553">
        <v>1080357.8899999999</v>
      </c>
      <c r="H2553" t="str">
        <f>TEXT(Ventas[[#This Row],[Fecha_venta]],"dd")</f>
        <v>22</v>
      </c>
      <c r="I2553" t="str">
        <f>TEXT(Ventas[[#This Row],[Fecha_venta]],"m")</f>
        <v>6</v>
      </c>
      <c r="J2553" t="str">
        <f>TEXT(Ventas[[#This Row],[Fecha_venta]],"yyyy")</f>
        <v>2012</v>
      </c>
    </row>
    <row r="2554" spans="1:10" x14ac:dyDescent="0.25">
      <c r="A2554">
        <v>18</v>
      </c>
      <c r="B2554" s="1">
        <v>41089</v>
      </c>
      <c r="C2554">
        <v>0</v>
      </c>
      <c r="D2554">
        <v>70.17</v>
      </c>
      <c r="E2554">
        <v>3.577</v>
      </c>
      <c r="F2554">
        <v>138.1962667</v>
      </c>
      <c r="G2554">
        <v>1097006.3</v>
      </c>
      <c r="H2554" t="str">
        <f>TEXT(Ventas[[#This Row],[Fecha_venta]],"dd")</f>
        <v>29</v>
      </c>
      <c r="I2554" t="str">
        <f>TEXT(Ventas[[#This Row],[Fecha_venta]],"m")</f>
        <v>6</v>
      </c>
      <c r="J2554" t="str">
        <f>TEXT(Ventas[[#This Row],[Fecha_venta]],"yyyy")</f>
        <v>2012</v>
      </c>
    </row>
    <row r="2555" spans="1:10" x14ac:dyDescent="0.25">
      <c r="A2555">
        <v>18</v>
      </c>
      <c r="B2555" s="1">
        <v>41096</v>
      </c>
      <c r="C2555">
        <v>0</v>
      </c>
      <c r="D2555">
        <v>76.08</v>
      </c>
      <c r="E2555">
        <v>3.5379999999999998</v>
      </c>
      <c r="F2555">
        <v>138.22963329999999</v>
      </c>
      <c r="G2555">
        <v>1158247.31</v>
      </c>
      <c r="H2555" t="str">
        <f>TEXT(Ventas[[#This Row],[Fecha_venta]],"dd")</f>
        <v>06</v>
      </c>
      <c r="I2555" t="str">
        <f>TEXT(Ventas[[#This Row],[Fecha_venta]],"m")</f>
        <v>7</v>
      </c>
      <c r="J2555" t="str">
        <f>TEXT(Ventas[[#This Row],[Fecha_venta]],"yyyy")</f>
        <v>2012</v>
      </c>
    </row>
    <row r="2556" spans="1:10" x14ac:dyDescent="0.25">
      <c r="A2556">
        <v>18</v>
      </c>
      <c r="B2556" s="1">
        <v>41103</v>
      </c>
      <c r="C2556">
        <v>0</v>
      </c>
      <c r="D2556">
        <v>75.09</v>
      </c>
      <c r="E2556">
        <v>3.5609999999999999</v>
      </c>
      <c r="F2556">
        <v>138.26300000000001</v>
      </c>
      <c r="G2556">
        <v>1024784.92</v>
      </c>
      <c r="H2556" t="str">
        <f>TEXT(Ventas[[#This Row],[Fecha_venta]],"dd")</f>
        <v>13</v>
      </c>
      <c r="I2556" t="str">
        <f>TEXT(Ventas[[#This Row],[Fecha_venta]],"m")</f>
        <v>7</v>
      </c>
      <c r="J2556" t="str">
        <f>TEXT(Ventas[[#This Row],[Fecha_venta]],"yyyy")</f>
        <v>2012</v>
      </c>
    </row>
    <row r="2557" spans="1:10" x14ac:dyDescent="0.25">
      <c r="A2557">
        <v>18</v>
      </c>
      <c r="B2557" s="1">
        <v>41110</v>
      </c>
      <c r="C2557">
        <v>0</v>
      </c>
      <c r="D2557">
        <v>77.430000000000007</v>
      </c>
      <c r="E2557">
        <v>3.61</v>
      </c>
      <c r="F2557">
        <v>138.2331935</v>
      </c>
      <c r="G2557">
        <v>1033543.56</v>
      </c>
      <c r="H2557" t="str">
        <f>TEXT(Ventas[[#This Row],[Fecha_venta]],"dd")</f>
        <v>20</v>
      </c>
      <c r="I2557" t="str">
        <f>TEXT(Ventas[[#This Row],[Fecha_venta]],"m")</f>
        <v>7</v>
      </c>
      <c r="J2557" t="str">
        <f>TEXT(Ventas[[#This Row],[Fecha_venta]],"yyyy")</f>
        <v>2012</v>
      </c>
    </row>
    <row r="2558" spans="1:10" x14ac:dyDescent="0.25">
      <c r="A2558">
        <v>18</v>
      </c>
      <c r="B2558" s="1">
        <v>41117</v>
      </c>
      <c r="C2558">
        <v>0</v>
      </c>
      <c r="D2558">
        <v>72.97</v>
      </c>
      <c r="E2558">
        <v>3.7010000000000001</v>
      </c>
      <c r="F2558">
        <v>138.20338709999999</v>
      </c>
      <c r="G2558">
        <v>924506.26</v>
      </c>
      <c r="H2558" t="str">
        <f>TEXT(Ventas[[#This Row],[Fecha_venta]],"dd")</f>
        <v>27</v>
      </c>
      <c r="I2558" t="str">
        <f>TEXT(Ventas[[#This Row],[Fecha_venta]],"m")</f>
        <v>7</v>
      </c>
      <c r="J2558" t="str">
        <f>TEXT(Ventas[[#This Row],[Fecha_venta]],"yyyy")</f>
        <v>2012</v>
      </c>
    </row>
    <row r="2559" spans="1:10" x14ac:dyDescent="0.25">
      <c r="A2559">
        <v>18</v>
      </c>
      <c r="B2559" s="1">
        <v>41124</v>
      </c>
      <c r="C2559">
        <v>0</v>
      </c>
      <c r="D2559">
        <v>72.67</v>
      </c>
      <c r="E2559">
        <v>3.698</v>
      </c>
      <c r="F2559">
        <v>138.17358060000001</v>
      </c>
      <c r="G2559">
        <v>1052066.58</v>
      </c>
      <c r="H2559" t="str">
        <f>TEXT(Ventas[[#This Row],[Fecha_venta]],"dd")</f>
        <v>03</v>
      </c>
      <c r="I2559" t="str">
        <f>TEXT(Ventas[[#This Row],[Fecha_venta]],"m")</f>
        <v>8</v>
      </c>
      <c r="J2559" t="str">
        <f>TEXT(Ventas[[#This Row],[Fecha_venta]],"yyyy")</f>
        <v>2012</v>
      </c>
    </row>
    <row r="2560" spans="1:10" x14ac:dyDescent="0.25">
      <c r="A2560">
        <v>18</v>
      </c>
      <c r="B2560" s="1">
        <v>41131</v>
      </c>
      <c r="C2560">
        <v>0</v>
      </c>
      <c r="D2560">
        <v>75.7</v>
      </c>
      <c r="E2560">
        <v>3.7719999999999998</v>
      </c>
      <c r="F2560">
        <v>138.1437742</v>
      </c>
      <c r="G2560">
        <v>967304.07</v>
      </c>
      <c r="H2560" t="str">
        <f>TEXT(Ventas[[#This Row],[Fecha_venta]],"dd")</f>
        <v>10</v>
      </c>
      <c r="I2560" t="str">
        <f>TEXT(Ventas[[#This Row],[Fecha_venta]],"m")</f>
        <v>8</v>
      </c>
      <c r="J2560" t="str">
        <f>TEXT(Ventas[[#This Row],[Fecha_venta]],"yyyy")</f>
        <v>2012</v>
      </c>
    </row>
    <row r="2561" spans="1:10" x14ac:dyDescent="0.25">
      <c r="A2561">
        <v>18</v>
      </c>
      <c r="B2561" s="1">
        <v>41138</v>
      </c>
      <c r="C2561">
        <v>0</v>
      </c>
      <c r="D2561">
        <v>73.25</v>
      </c>
      <c r="E2561">
        <v>3.84</v>
      </c>
      <c r="F2561">
        <v>138.18570969999999</v>
      </c>
      <c r="G2561">
        <v>1048134.24</v>
      </c>
      <c r="H2561" t="str">
        <f>TEXT(Ventas[[#This Row],[Fecha_venta]],"dd")</f>
        <v>17</v>
      </c>
      <c r="I2561" t="str">
        <f>TEXT(Ventas[[#This Row],[Fecha_venta]],"m")</f>
        <v>8</v>
      </c>
      <c r="J2561" t="str">
        <f>TEXT(Ventas[[#This Row],[Fecha_venta]],"yyyy")</f>
        <v>2012</v>
      </c>
    </row>
    <row r="2562" spans="1:10" x14ac:dyDescent="0.25">
      <c r="A2562">
        <v>18</v>
      </c>
      <c r="B2562" s="1">
        <v>41145</v>
      </c>
      <c r="C2562">
        <v>0</v>
      </c>
      <c r="D2562">
        <v>68.52</v>
      </c>
      <c r="E2562">
        <v>3.8740000000000001</v>
      </c>
      <c r="F2562">
        <v>138.2814516</v>
      </c>
      <c r="G2562">
        <v>1145840.9099999999</v>
      </c>
      <c r="H2562" t="str">
        <f>TEXT(Ventas[[#This Row],[Fecha_venta]],"dd")</f>
        <v>24</v>
      </c>
      <c r="I2562" t="str">
        <f>TEXT(Ventas[[#This Row],[Fecha_venta]],"m")</f>
        <v>8</v>
      </c>
      <c r="J2562" t="str">
        <f>TEXT(Ventas[[#This Row],[Fecha_venta]],"yyyy")</f>
        <v>2012</v>
      </c>
    </row>
    <row r="2563" spans="1:10" x14ac:dyDescent="0.25">
      <c r="A2563">
        <v>18</v>
      </c>
      <c r="B2563" s="1">
        <v>41152</v>
      </c>
      <c r="C2563">
        <v>0</v>
      </c>
      <c r="D2563">
        <v>70.09</v>
      </c>
      <c r="E2563">
        <v>3.8839999999999999</v>
      </c>
      <c r="F2563">
        <v>138.3771935</v>
      </c>
      <c r="G2563">
        <v>1117097.23</v>
      </c>
      <c r="H2563" t="str">
        <f>TEXT(Ventas[[#This Row],[Fecha_venta]],"dd")</f>
        <v>31</v>
      </c>
      <c r="I2563" t="str">
        <f>TEXT(Ventas[[#This Row],[Fecha_venta]],"m")</f>
        <v>8</v>
      </c>
      <c r="J2563" t="str">
        <f>TEXT(Ventas[[#This Row],[Fecha_venta]],"yyyy")</f>
        <v>2012</v>
      </c>
    </row>
    <row r="2564" spans="1:10" x14ac:dyDescent="0.25">
      <c r="A2564">
        <v>18</v>
      </c>
      <c r="B2564" s="1">
        <v>41159</v>
      </c>
      <c r="C2564">
        <v>1</v>
      </c>
      <c r="D2564">
        <v>71.849999999999994</v>
      </c>
      <c r="E2564">
        <v>3.9209999999999998</v>
      </c>
      <c r="F2564">
        <v>138.47293550000001</v>
      </c>
      <c r="G2564">
        <v>1083521.24</v>
      </c>
      <c r="H2564" t="str">
        <f>TEXT(Ventas[[#This Row],[Fecha_venta]],"dd")</f>
        <v>07</v>
      </c>
      <c r="I2564" t="str">
        <f>TEXT(Ventas[[#This Row],[Fecha_venta]],"m")</f>
        <v>9</v>
      </c>
      <c r="J2564" t="str">
        <f>TEXT(Ventas[[#This Row],[Fecha_venta]],"yyyy")</f>
        <v>2012</v>
      </c>
    </row>
    <row r="2565" spans="1:10" x14ac:dyDescent="0.25">
      <c r="A2565">
        <v>18</v>
      </c>
      <c r="B2565" s="1">
        <v>41166</v>
      </c>
      <c r="C2565">
        <v>0</v>
      </c>
      <c r="D2565">
        <v>64.45</v>
      </c>
      <c r="E2565">
        <v>3.988</v>
      </c>
      <c r="F2565">
        <v>138.56729999999999</v>
      </c>
      <c r="G2565">
        <v>960476.1</v>
      </c>
      <c r="H2565" t="str">
        <f>TEXT(Ventas[[#This Row],[Fecha_venta]],"dd")</f>
        <v>14</v>
      </c>
      <c r="I2565" t="str">
        <f>TEXT(Ventas[[#This Row],[Fecha_venta]],"m")</f>
        <v>9</v>
      </c>
      <c r="J2565" t="str">
        <f>TEXT(Ventas[[#This Row],[Fecha_venta]],"yyyy")</f>
        <v>2012</v>
      </c>
    </row>
    <row r="2566" spans="1:10" x14ac:dyDescent="0.25">
      <c r="A2566">
        <v>18</v>
      </c>
      <c r="B2566" s="1">
        <v>41173</v>
      </c>
      <c r="C2566">
        <v>0</v>
      </c>
      <c r="D2566">
        <v>60.23</v>
      </c>
      <c r="E2566">
        <v>4.056</v>
      </c>
      <c r="F2566">
        <v>138.6534</v>
      </c>
      <c r="G2566">
        <v>971386.65</v>
      </c>
      <c r="H2566" t="str">
        <f>TEXT(Ventas[[#This Row],[Fecha_venta]],"dd")</f>
        <v>21</v>
      </c>
      <c r="I2566" t="str">
        <f>TEXT(Ventas[[#This Row],[Fecha_venta]],"m")</f>
        <v>9</v>
      </c>
      <c r="J2566" t="str">
        <f>TEXT(Ventas[[#This Row],[Fecha_venta]],"yyyy")</f>
        <v>2012</v>
      </c>
    </row>
    <row r="2567" spans="1:10" x14ac:dyDescent="0.25">
      <c r="A2567">
        <v>18</v>
      </c>
      <c r="B2567" s="1">
        <v>41180</v>
      </c>
      <c r="C2567">
        <v>0</v>
      </c>
      <c r="D2567">
        <v>58.24</v>
      </c>
      <c r="E2567">
        <v>4.0179999999999998</v>
      </c>
      <c r="F2567">
        <v>138.73949999999999</v>
      </c>
      <c r="G2567">
        <v>1002856.2</v>
      </c>
      <c r="H2567" t="str">
        <f>TEXT(Ventas[[#This Row],[Fecha_venta]],"dd")</f>
        <v>28</v>
      </c>
      <c r="I2567" t="str">
        <f>TEXT(Ventas[[#This Row],[Fecha_venta]],"m")</f>
        <v>9</v>
      </c>
      <c r="J2567" t="str">
        <f>TEXT(Ventas[[#This Row],[Fecha_venta]],"yyyy")</f>
        <v>2012</v>
      </c>
    </row>
    <row r="2568" spans="1:10" x14ac:dyDescent="0.25">
      <c r="A2568">
        <v>18</v>
      </c>
      <c r="B2568" s="1">
        <v>41187</v>
      </c>
      <c r="C2568">
        <v>0</v>
      </c>
      <c r="D2568">
        <v>59.68</v>
      </c>
      <c r="E2568">
        <v>4.0270000000000001</v>
      </c>
      <c r="F2568">
        <v>138.82560000000001</v>
      </c>
      <c r="G2568">
        <v>1092204.79</v>
      </c>
      <c r="H2568" t="str">
        <f>TEXT(Ventas[[#This Row],[Fecha_venta]],"dd")</f>
        <v>05</v>
      </c>
      <c r="I2568" t="str">
        <f>TEXT(Ventas[[#This Row],[Fecha_venta]],"m")</f>
        <v>10</v>
      </c>
      <c r="J2568" t="str">
        <f>TEXT(Ventas[[#This Row],[Fecha_venta]],"yyyy")</f>
        <v>2012</v>
      </c>
    </row>
    <row r="2569" spans="1:10" x14ac:dyDescent="0.25">
      <c r="A2569">
        <v>18</v>
      </c>
      <c r="B2569" s="1">
        <v>41194</v>
      </c>
      <c r="C2569">
        <v>0</v>
      </c>
      <c r="D2569">
        <v>50.97</v>
      </c>
      <c r="E2569">
        <v>4.0289999999999999</v>
      </c>
      <c r="F2569">
        <v>138.9117</v>
      </c>
      <c r="G2569">
        <v>1074079</v>
      </c>
      <c r="H2569" t="str">
        <f>TEXT(Ventas[[#This Row],[Fecha_venta]],"dd")</f>
        <v>12</v>
      </c>
      <c r="I2569" t="str">
        <f>TEXT(Ventas[[#This Row],[Fecha_venta]],"m")</f>
        <v>10</v>
      </c>
      <c r="J2569" t="str">
        <f>TEXT(Ventas[[#This Row],[Fecha_venta]],"yyyy")</f>
        <v>2012</v>
      </c>
    </row>
    <row r="2570" spans="1:10" x14ac:dyDescent="0.25">
      <c r="A2570">
        <v>18</v>
      </c>
      <c r="B2570" s="1">
        <v>41201</v>
      </c>
      <c r="C2570">
        <v>0</v>
      </c>
      <c r="D2570">
        <v>51.96</v>
      </c>
      <c r="E2570">
        <v>4</v>
      </c>
      <c r="F2570">
        <v>138.83361289999999</v>
      </c>
      <c r="G2570">
        <v>1048706.75</v>
      </c>
      <c r="H2570" t="str">
        <f>TEXT(Ventas[[#This Row],[Fecha_venta]],"dd")</f>
        <v>19</v>
      </c>
      <c r="I2570" t="str">
        <f>TEXT(Ventas[[#This Row],[Fecha_venta]],"m")</f>
        <v>10</v>
      </c>
      <c r="J2570" t="str">
        <f>TEXT(Ventas[[#This Row],[Fecha_venta]],"yyyy")</f>
        <v>2012</v>
      </c>
    </row>
    <row r="2571" spans="1:10" x14ac:dyDescent="0.25">
      <c r="A2571">
        <v>18</v>
      </c>
      <c r="B2571" s="1">
        <v>41208</v>
      </c>
      <c r="C2571">
        <v>0</v>
      </c>
      <c r="D2571">
        <v>56.09</v>
      </c>
      <c r="E2571">
        <v>3.9169999999999998</v>
      </c>
      <c r="F2571">
        <v>138.72816130000001</v>
      </c>
      <c r="G2571">
        <v>1127516.25</v>
      </c>
      <c r="H2571" t="str">
        <f>TEXT(Ventas[[#This Row],[Fecha_venta]],"dd")</f>
        <v>26</v>
      </c>
      <c r="I2571" t="str">
        <f>TEXT(Ventas[[#This Row],[Fecha_venta]],"m")</f>
        <v>10</v>
      </c>
      <c r="J2571" t="str">
        <f>TEXT(Ventas[[#This Row],[Fecha_venta]],"yyyy")</f>
        <v>2012</v>
      </c>
    </row>
    <row r="2572" spans="1:10" x14ac:dyDescent="0.25">
      <c r="A2572">
        <v>19</v>
      </c>
      <c r="B2572" s="1">
        <v>40214</v>
      </c>
      <c r="C2572">
        <v>0</v>
      </c>
      <c r="D2572">
        <v>20.96</v>
      </c>
      <c r="E2572">
        <v>2.9540000000000002</v>
      </c>
      <c r="F2572">
        <v>131.5279032</v>
      </c>
      <c r="G2572">
        <v>1507637.17</v>
      </c>
      <c r="H2572" t="str">
        <f>TEXT(Ventas[[#This Row],[Fecha_venta]],"dd")</f>
        <v>05</v>
      </c>
      <c r="I2572" t="str">
        <f>TEXT(Ventas[[#This Row],[Fecha_venta]],"m")</f>
        <v>2</v>
      </c>
      <c r="J2572" t="str">
        <f>TEXT(Ventas[[#This Row],[Fecha_venta]],"yyyy")</f>
        <v>2010</v>
      </c>
    </row>
    <row r="2573" spans="1:10" x14ac:dyDescent="0.25">
      <c r="A2573">
        <v>19</v>
      </c>
      <c r="B2573" s="1">
        <v>40221</v>
      </c>
      <c r="C2573">
        <v>1</v>
      </c>
      <c r="D2573">
        <v>23.22</v>
      </c>
      <c r="E2573">
        <v>2.94</v>
      </c>
      <c r="F2573">
        <v>131.58661290000001</v>
      </c>
      <c r="G2573">
        <v>1536549.95</v>
      </c>
      <c r="H2573" t="str">
        <f>TEXT(Ventas[[#This Row],[Fecha_venta]],"dd")</f>
        <v>12</v>
      </c>
      <c r="I2573" t="str">
        <f>TEXT(Ventas[[#This Row],[Fecha_venta]],"m")</f>
        <v>2</v>
      </c>
      <c r="J2573" t="str">
        <f>TEXT(Ventas[[#This Row],[Fecha_venta]],"yyyy")</f>
        <v>2010</v>
      </c>
    </row>
    <row r="2574" spans="1:10" x14ac:dyDescent="0.25">
      <c r="A2574">
        <v>19</v>
      </c>
      <c r="B2574" s="1">
        <v>40228</v>
      </c>
      <c r="C2574">
        <v>0</v>
      </c>
      <c r="D2574">
        <v>28.57</v>
      </c>
      <c r="E2574">
        <v>2.9089999999999998</v>
      </c>
      <c r="F2574">
        <v>131.637</v>
      </c>
      <c r="G2574">
        <v>1515976.11</v>
      </c>
      <c r="H2574" t="str">
        <f>TEXT(Ventas[[#This Row],[Fecha_venta]],"dd")</f>
        <v>19</v>
      </c>
      <c r="I2574" t="str">
        <f>TEXT(Ventas[[#This Row],[Fecha_venta]],"m")</f>
        <v>2</v>
      </c>
      <c r="J2574" t="str">
        <f>TEXT(Ventas[[#This Row],[Fecha_venta]],"yyyy")</f>
        <v>2010</v>
      </c>
    </row>
    <row r="2575" spans="1:10" x14ac:dyDescent="0.25">
      <c r="A2575">
        <v>19</v>
      </c>
      <c r="B2575" s="1">
        <v>40235</v>
      </c>
      <c r="C2575">
        <v>0</v>
      </c>
      <c r="D2575">
        <v>30.33</v>
      </c>
      <c r="E2575">
        <v>2.91</v>
      </c>
      <c r="F2575">
        <v>131.68600000000001</v>
      </c>
      <c r="G2575">
        <v>1373270.06</v>
      </c>
      <c r="H2575" t="str">
        <f>TEXT(Ventas[[#This Row],[Fecha_venta]],"dd")</f>
        <v>26</v>
      </c>
      <c r="I2575" t="str">
        <f>TEXT(Ventas[[#This Row],[Fecha_venta]],"m")</f>
        <v>2</v>
      </c>
      <c r="J2575" t="str">
        <f>TEXT(Ventas[[#This Row],[Fecha_venta]],"yyyy")</f>
        <v>2010</v>
      </c>
    </row>
    <row r="2576" spans="1:10" x14ac:dyDescent="0.25">
      <c r="A2576">
        <v>19</v>
      </c>
      <c r="B2576" s="1">
        <v>40242</v>
      </c>
      <c r="C2576">
        <v>0</v>
      </c>
      <c r="D2576">
        <v>32.92</v>
      </c>
      <c r="E2576">
        <v>2.919</v>
      </c>
      <c r="F2576">
        <v>131.73500000000001</v>
      </c>
      <c r="G2576">
        <v>1495844.57</v>
      </c>
      <c r="H2576" t="str">
        <f>TEXT(Ventas[[#This Row],[Fecha_venta]],"dd")</f>
        <v>05</v>
      </c>
      <c r="I2576" t="str">
        <f>TEXT(Ventas[[#This Row],[Fecha_venta]],"m")</f>
        <v>3</v>
      </c>
      <c r="J2576" t="str">
        <f>TEXT(Ventas[[#This Row],[Fecha_venta]],"yyyy")</f>
        <v>2010</v>
      </c>
    </row>
    <row r="2577" spans="1:10" x14ac:dyDescent="0.25">
      <c r="A2577">
        <v>19</v>
      </c>
      <c r="B2577" s="1">
        <v>40249</v>
      </c>
      <c r="C2577">
        <v>0</v>
      </c>
      <c r="D2577">
        <v>39.06</v>
      </c>
      <c r="E2577">
        <v>2.9380000000000002</v>
      </c>
      <c r="F2577">
        <v>131.78399999999999</v>
      </c>
      <c r="G2577">
        <v>1467889.2</v>
      </c>
      <c r="H2577" t="str">
        <f>TEXT(Ventas[[#This Row],[Fecha_venta]],"dd")</f>
        <v>12</v>
      </c>
      <c r="I2577" t="str">
        <f>TEXT(Ventas[[#This Row],[Fecha_venta]],"m")</f>
        <v>3</v>
      </c>
      <c r="J2577" t="str">
        <f>TEXT(Ventas[[#This Row],[Fecha_venta]],"yyyy")</f>
        <v>2010</v>
      </c>
    </row>
    <row r="2578" spans="1:10" x14ac:dyDescent="0.25">
      <c r="A2578">
        <v>19</v>
      </c>
      <c r="B2578" s="1">
        <v>40256</v>
      </c>
      <c r="C2578">
        <v>0</v>
      </c>
      <c r="D2578">
        <v>43.74</v>
      </c>
      <c r="E2578">
        <v>2.96</v>
      </c>
      <c r="F2578">
        <v>131.8242903</v>
      </c>
      <c r="G2578">
        <v>1332940.3500000001</v>
      </c>
      <c r="H2578" t="str">
        <f>TEXT(Ventas[[#This Row],[Fecha_venta]],"dd")</f>
        <v>19</v>
      </c>
      <c r="I2578" t="str">
        <f>TEXT(Ventas[[#This Row],[Fecha_venta]],"m")</f>
        <v>3</v>
      </c>
      <c r="J2578" t="str">
        <f>TEXT(Ventas[[#This Row],[Fecha_venta]],"yyyy")</f>
        <v>2010</v>
      </c>
    </row>
    <row r="2579" spans="1:10" x14ac:dyDescent="0.25">
      <c r="A2579">
        <v>19</v>
      </c>
      <c r="B2579" s="1">
        <v>40263</v>
      </c>
      <c r="C2579">
        <v>0</v>
      </c>
      <c r="D2579">
        <v>39.07</v>
      </c>
      <c r="E2579">
        <v>2.9630000000000001</v>
      </c>
      <c r="F2579">
        <v>131.86312899999999</v>
      </c>
      <c r="G2579">
        <v>1427023.45</v>
      </c>
      <c r="H2579" t="str">
        <f>TEXT(Ventas[[#This Row],[Fecha_venta]],"dd")</f>
        <v>26</v>
      </c>
      <c r="I2579" t="str">
        <f>TEXT(Ventas[[#This Row],[Fecha_venta]],"m")</f>
        <v>3</v>
      </c>
      <c r="J2579" t="str">
        <f>TEXT(Ventas[[#This Row],[Fecha_venta]],"yyyy")</f>
        <v>2010</v>
      </c>
    </row>
    <row r="2580" spans="1:10" x14ac:dyDescent="0.25">
      <c r="A2580">
        <v>19</v>
      </c>
      <c r="B2580" s="1">
        <v>40270</v>
      </c>
      <c r="C2580">
        <v>0</v>
      </c>
      <c r="D2580">
        <v>45.26</v>
      </c>
      <c r="E2580">
        <v>2.9569999999999999</v>
      </c>
      <c r="F2580">
        <v>131.9019677</v>
      </c>
      <c r="G2580">
        <v>1642970.27</v>
      </c>
      <c r="H2580" t="str">
        <f>TEXT(Ventas[[#This Row],[Fecha_venta]],"dd")</f>
        <v>02</v>
      </c>
      <c r="I2580" t="str">
        <f>TEXT(Ventas[[#This Row],[Fecha_venta]],"m")</f>
        <v>4</v>
      </c>
      <c r="J2580" t="str">
        <f>TEXT(Ventas[[#This Row],[Fecha_venta]],"yyyy")</f>
        <v>2010</v>
      </c>
    </row>
    <row r="2581" spans="1:10" x14ac:dyDescent="0.25">
      <c r="A2581">
        <v>19</v>
      </c>
      <c r="B2581" s="1">
        <v>40277</v>
      </c>
      <c r="C2581">
        <v>0</v>
      </c>
      <c r="D2581">
        <v>55.66</v>
      </c>
      <c r="E2581">
        <v>2.992</v>
      </c>
      <c r="F2581">
        <v>131.94080650000001</v>
      </c>
      <c r="G2581">
        <v>1489613.32</v>
      </c>
      <c r="H2581" t="str">
        <f>TEXT(Ventas[[#This Row],[Fecha_venta]],"dd")</f>
        <v>09</v>
      </c>
      <c r="I2581" t="str">
        <f>TEXT(Ventas[[#This Row],[Fecha_venta]],"m")</f>
        <v>4</v>
      </c>
      <c r="J2581" t="str">
        <f>TEXT(Ventas[[#This Row],[Fecha_venta]],"yyyy")</f>
        <v>2010</v>
      </c>
    </row>
    <row r="2582" spans="1:10" x14ac:dyDescent="0.25">
      <c r="A2582">
        <v>19</v>
      </c>
      <c r="B2582" s="1">
        <v>40284</v>
      </c>
      <c r="C2582">
        <v>0</v>
      </c>
      <c r="D2582">
        <v>49.67</v>
      </c>
      <c r="E2582">
        <v>3.01</v>
      </c>
      <c r="F2582">
        <v>61.980899999999998</v>
      </c>
      <c r="G2582">
        <v>1460354.67</v>
      </c>
      <c r="H2582" t="str">
        <f>TEXT(Ventas[[#This Row],[Fecha_venta]],"dd")</f>
        <v>16</v>
      </c>
      <c r="I2582" t="str">
        <f>TEXT(Ventas[[#This Row],[Fecha_venta]],"m")</f>
        <v>4</v>
      </c>
      <c r="J2582" t="str">
        <f>TEXT(Ventas[[#This Row],[Fecha_venta]],"yyyy")</f>
        <v>2010</v>
      </c>
    </row>
    <row r="2583" spans="1:10" x14ac:dyDescent="0.25">
      <c r="A2583">
        <v>19</v>
      </c>
      <c r="B2583" s="1">
        <v>40291</v>
      </c>
      <c r="C2583">
        <v>0</v>
      </c>
      <c r="D2583">
        <v>46.87</v>
      </c>
      <c r="E2583">
        <v>3.0209999999999999</v>
      </c>
      <c r="F2583">
        <v>132.0226667</v>
      </c>
      <c r="G2583">
        <v>1456793.33</v>
      </c>
      <c r="H2583" t="str">
        <f>TEXT(Ventas[[#This Row],[Fecha_venta]],"dd")</f>
        <v>23</v>
      </c>
      <c r="I2583" t="str">
        <f>TEXT(Ventas[[#This Row],[Fecha_venta]],"m")</f>
        <v>4</v>
      </c>
      <c r="J2583" t="str">
        <f>TEXT(Ventas[[#This Row],[Fecha_venta]],"yyyy")</f>
        <v>2010</v>
      </c>
    </row>
    <row r="2584" spans="1:10" x14ac:dyDescent="0.25">
      <c r="A2584">
        <v>19</v>
      </c>
      <c r="B2584" s="1">
        <v>40298</v>
      </c>
      <c r="C2584">
        <v>0</v>
      </c>
      <c r="D2584">
        <v>49.89</v>
      </c>
      <c r="E2584">
        <v>3.0419999999999998</v>
      </c>
      <c r="F2584">
        <v>132.06443329999999</v>
      </c>
      <c r="G2584">
        <v>1405065.57</v>
      </c>
      <c r="H2584" t="str">
        <f>TEXT(Ventas[[#This Row],[Fecha_venta]],"dd")</f>
        <v>30</v>
      </c>
      <c r="I2584" t="str">
        <f>TEXT(Ventas[[#This Row],[Fecha_venta]],"m")</f>
        <v>4</v>
      </c>
      <c r="J2584" t="str">
        <f>TEXT(Ventas[[#This Row],[Fecha_venta]],"yyyy")</f>
        <v>2010</v>
      </c>
    </row>
    <row r="2585" spans="1:10" x14ac:dyDescent="0.25">
      <c r="A2585">
        <v>19</v>
      </c>
      <c r="B2585" s="1">
        <v>40305</v>
      </c>
      <c r="C2585">
        <v>0</v>
      </c>
      <c r="D2585">
        <v>62.54</v>
      </c>
      <c r="E2585">
        <v>3.0950000000000002</v>
      </c>
      <c r="F2585">
        <v>132.1062</v>
      </c>
      <c r="G2585">
        <v>1566219.77</v>
      </c>
      <c r="H2585" t="str">
        <f>TEXT(Ventas[[#This Row],[Fecha_venta]],"dd")</f>
        <v>07</v>
      </c>
      <c r="I2585" t="str">
        <f>TEXT(Ventas[[#This Row],[Fecha_venta]],"m")</f>
        <v>5</v>
      </c>
      <c r="J2585" t="str">
        <f>TEXT(Ventas[[#This Row],[Fecha_venta]],"yyyy")</f>
        <v>2010</v>
      </c>
    </row>
    <row r="2586" spans="1:10" x14ac:dyDescent="0.25">
      <c r="A2586">
        <v>19</v>
      </c>
      <c r="B2586" s="1">
        <v>40312</v>
      </c>
      <c r="C2586">
        <v>0</v>
      </c>
      <c r="D2586">
        <v>46.53</v>
      </c>
      <c r="E2586">
        <v>3.1120000000000001</v>
      </c>
      <c r="F2586">
        <v>132.152129</v>
      </c>
      <c r="G2586">
        <v>1437319.45</v>
      </c>
      <c r="H2586" t="str">
        <f>TEXT(Ventas[[#This Row],[Fecha_venta]],"dd")</f>
        <v>14</v>
      </c>
      <c r="I2586" t="str">
        <f>TEXT(Ventas[[#This Row],[Fecha_venta]],"m")</f>
        <v>5</v>
      </c>
      <c r="J2586" t="str">
        <f>TEXT(Ventas[[#This Row],[Fecha_venta]],"yyyy")</f>
        <v>2010</v>
      </c>
    </row>
    <row r="2587" spans="1:10" x14ac:dyDescent="0.25">
      <c r="A2587">
        <v>19</v>
      </c>
      <c r="B2587" s="1">
        <v>40319</v>
      </c>
      <c r="C2587">
        <v>0</v>
      </c>
      <c r="D2587">
        <v>57.53</v>
      </c>
      <c r="E2587">
        <v>3.0960000000000001</v>
      </c>
      <c r="F2587">
        <v>132.2230323</v>
      </c>
      <c r="G2587">
        <v>1377716.17</v>
      </c>
      <c r="H2587" t="str">
        <f>TEXT(Ventas[[#This Row],[Fecha_venta]],"dd")</f>
        <v>21</v>
      </c>
      <c r="I2587" t="str">
        <f>TEXT(Ventas[[#This Row],[Fecha_venta]],"m")</f>
        <v>5</v>
      </c>
      <c r="J2587" t="str">
        <f>TEXT(Ventas[[#This Row],[Fecha_venta]],"yyyy")</f>
        <v>2010</v>
      </c>
    </row>
    <row r="2588" spans="1:10" x14ac:dyDescent="0.25">
      <c r="A2588">
        <v>19</v>
      </c>
      <c r="B2588" s="1">
        <v>40326</v>
      </c>
      <c r="C2588">
        <v>0</v>
      </c>
      <c r="D2588">
        <v>68.849999999999994</v>
      </c>
      <c r="E2588">
        <v>3.0459999999999998</v>
      </c>
      <c r="F2588">
        <v>132.2939355</v>
      </c>
      <c r="G2588">
        <v>1648882.62</v>
      </c>
      <c r="H2588" t="str">
        <f>TEXT(Ventas[[#This Row],[Fecha_venta]],"dd")</f>
        <v>28</v>
      </c>
      <c r="I2588" t="str">
        <f>TEXT(Ventas[[#This Row],[Fecha_venta]],"m")</f>
        <v>5</v>
      </c>
      <c r="J2588" t="str">
        <f>TEXT(Ventas[[#This Row],[Fecha_venta]],"yyyy")</f>
        <v>2010</v>
      </c>
    </row>
    <row r="2589" spans="1:10" x14ac:dyDescent="0.25">
      <c r="A2589">
        <v>19</v>
      </c>
      <c r="B2589" s="1">
        <v>40333</v>
      </c>
      <c r="C2589">
        <v>0</v>
      </c>
      <c r="D2589">
        <v>68.88</v>
      </c>
      <c r="E2589">
        <v>3.0059999999999998</v>
      </c>
      <c r="F2589">
        <v>132.36483870000001</v>
      </c>
      <c r="G2589">
        <v>1519013.49</v>
      </c>
      <c r="H2589" t="str">
        <f>TEXT(Ventas[[#This Row],[Fecha_venta]],"dd")</f>
        <v>04</v>
      </c>
      <c r="I2589" t="str">
        <f>TEXT(Ventas[[#This Row],[Fecha_venta]],"m")</f>
        <v>6</v>
      </c>
      <c r="J2589" t="str">
        <f>TEXT(Ventas[[#This Row],[Fecha_venta]],"yyyy")</f>
        <v>2010</v>
      </c>
    </row>
    <row r="2590" spans="1:10" x14ac:dyDescent="0.25">
      <c r="A2590">
        <v>19</v>
      </c>
      <c r="B2590" s="1">
        <v>40340</v>
      </c>
      <c r="C2590">
        <v>0</v>
      </c>
      <c r="D2590">
        <v>61.64</v>
      </c>
      <c r="E2590">
        <v>2.972</v>
      </c>
      <c r="F2590">
        <v>132.43574190000001</v>
      </c>
      <c r="G2590">
        <v>1410683.94</v>
      </c>
      <c r="H2590" t="str">
        <f>TEXT(Ventas[[#This Row],[Fecha_venta]],"dd")</f>
        <v>11</v>
      </c>
      <c r="I2590" t="str">
        <f>TEXT(Ventas[[#This Row],[Fecha_venta]],"m")</f>
        <v>6</v>
      </c>
      <c r="J2590" t="str">
        <f>TEXT(Ventas[[#This Row],[Fecha_venta]],"yyyy")</f>
        <v>2010</v>
      </c>
    </row>
    <row r="2591" spans="1:10" x14ac:dyDescent="0.25">
      <c r="A2591">
        <v>19</v>
      </c>
      <c r="B2591" s="1">
        <v>40347</v>
      </c>
      <c r="C2591">
        <v>0</v>
      </c>
      <c r="D2591">
        <v>66.25</v>
      </c>
      <c r="E2591">
        <v>2.9420000000000002</v>
      </c>
      <c r="F2591">
        <v>132.47333330000001</v>
      </c>
      <c r="G2591">
        <v>1457314.39</v>
      </c>
      <c r="H2591" t="str">
        <f>TEXT(Ventas[[#This Row],[Fecha_venta]],"dd")</f>
        <v>18</v>
      </c>
      <c r="I2591" t="str">
        <f>TEXT(Ventas[[#This Row],[Fecha_venta]],"m")</f>
        <v>6</v>
      </c>
      <c r="J2591" t="str">
        <f>TEXT(Ventas[[#This Row],[Fecha_venta]],"yyyy")</f>
        <v>2010</v>
      </c>
    </row>
    <row r="2592" spans="1:10" x14ac:dyDescent="0.25">
      <c r="A2592">
        <v>19</v>
      </c>
      <c r="B2592" s="1">
        <v>40354</v>
      </c>
      <c r="C2592">
        <v>0</v>
      </c>
      <c r="D2592">
        <v>72.3</v>
      </c>
      <c r="E2592">
        <v>2.9580000000000002</v>
      </c>
      <c r="F2592">
        <v>132.49760000000001</v>
      </c>
      <c r="G2592">
        <v>1450407.32</v>
      </c>
      <c r="H2592" t="str">
        <f>TEXT(Ventas[[#This Row],[Fecha_venta]],"dd")</f>
        <v>25</v>
      </c>
      <c r="I2592" t="str">
        <f>TEXT(Ventas[[#This Row],[Fecha_venta]],"m")</f>
        <v>6</v>
      </c>
      <c r="J2592" t="str">
        <f>TEXT(Ventas[[#This Row],[Fecha_venta]],"yyyy")</f>
        <v>2010</v>
      </c>
    </row>
    <row r="2593" spans="1:10" x14ac:dyDescent="0.25">
      <c r="A2593">
        <v>19</v>
      </c>
      <c r="B2593" s="1">
        <v>40361</v>
      </c>
      <c r="C2593">
        <v>0</v>
      </c>
      <c r="D2593">
        <v>66.25</v>
      </c>
      <c r="E2593">
        <v>2.9580000000000002</v>
      </c>
      <c r="F2593">
        <v>132.5218667</v>
      </c>
      <c r="G2593">
        <v>1549018.68</v>
      </c>
      <c r="H2593" t="str">
        <f>TEXT(Ventas[[#This Row],[Fecha_venta]],"dd")</f>
        <v>02</v>
      </c>
      <c r="I2593" t="str">
        <f>TEXT(Ventas[[#This Row],[Fecha_venta]],"m")</f>
        <v>7</v>
      </c>
      <c r="J2593" t="str">
        <f>TEXT(Ventas[[#This Row],[Fecha_venta]],"yyyy")</f>
        <v>2010</v>
      </c>
    </row>
    <row r="2594" spans="1:10" x14ac:dyDescent="0.25">
      <c r="A2594">
        <v>19</v>
      </c>
      <c r="B2594" s="1">
        <v>40368</v>
      </c>
      <c r="C2594">
        <v>0</v>
      </c>
      <c r="D2594">
        <v>78.22</v>
      </c>
      <c r="E2594">
        <v>2.94</v>
      </c>
      <c r="F2594">
        <v>132.54613330000001</v>
      </c>
      <c r="G2594">
        <v>1577541.24</v>
      </c>
      <c r="H2594" t="str">
        <f>TEXT(Ventas[[#This Row],[Fecha_venta]],"dd")</f>
        <v>09</v>
      </c>
      <c r="I2594" t="str">
        <f>TEXT(Ventas[[#This Row],[Fecha_venta]],"m")</f>
        <v>7</v>
      </c>
      <c r="J2594" t="str">
        <f>TEXT(Ventas[[#This Row],[Fecha_venta]],"yyyy")</f>
        <v>2010</v>
      </c>
    </row>
    <row r="2595" spans="1:10" x14ac:dyDescent="0.25">
      <c r="A2595">
        <v>19</v>
      </c>
      <c r="B2595" s="1">
        <v>40375</v>
      </c>
      <c r="C2595">
        <v>0</v>
      </c>
      <c r="D2595">
        <v>74.599999999999994</v>
      </c>
      <c r="E2595">
        <v>2.9329999999999998</v>
      </c>
      <c r="F2595">
        <v>132.5667742</v>
      </c>
      <c r="G2595">
        <v>1412157.02</v>
      </c>
      <c r="H2595" t="str">
        <f>TEXT(Ventas[[#This Row],[Fecha_venta]],"dd")</f>
        <v>16</v>
      </c>
      <c r="I2595" t="str">
        <f>TEXT(Ventas[[#This Row],[Fecha_venta]],"m")</f>
        <v>7</v>
      </c>
      <c r="J2595" t="str">
        <f>TEXT(Ventas[[#This Row],[Fecha_venta]],"yyyy")</f>
        <v>2010</v>
      </c>
    </row>
    <row r="2596" spans="1:10" x14ac:dyDescent="0.25">
      <c r="A2596">
        <v>19</v>
      </c>
      <c r="B2596" s="1">
        <v>40382</v>
      </c>
      <c r="C2596">
        <v>0</v>
      </c>
      <c r="D2596">
        <v>74.680000000000007</v>
      </c>
      <c r="E2596">
        <v>2.9239999999999999</v>
      </c>
      <c r="F2596">
        <v>132.5825806</v>
      </c>
      <c r="G2596">
        <v>1372043.71</v>
      </c>
      <c r="H2596" t="str">
        <f>TEXT(Ventas[[#This Row],[Fecha_venta]],"dd")</f>
        <v>23</v>
      </c>
      <c r="I2596" t="str">
        <f>TEXT(Ventas[[#This Row],[Fecha_venta]],"m")</f>
        <v>7</v>
      </c>
      <c r="J2596" t="str">
        <f>TEXT(Ventas[[#This Row],[Fecha_venta]],"yyyy")</f>
        <v>2010</v>
      </c>
    </row>
    <row r="2597" spans="1:10" x14ac:dyDescent="0.25">
      <c r="A2597">
        <v>19</v>
      </c>
      <c r="B2597" s="1">
        <v>40389</v>
      </c>
      <c r="C2597">
        <v>0</v>
      </c>
      <c r="D2597">
        <v>72.83</v>
      </c>
      <c r="E2597">
        <v>2.9319999999999999</v>
      </c>
      <c r="F2597">
        <v>132.5983871</v>
      </c>
      <c r="G2597">
        <v>1366395.96</v>
      </c>
      <c r="H2597" t="str">
        <f>TEXT(Ventas[[#This Row],[Fecha_venta]],"dd")</f>
        <v>30</v>
      </c>
      <c r="I2597" t="str">
        <f>TEXT(Ventas[[#This Row],[Fecha_venta]],"m")</f>
        <v>7</v>
      </c>
      <c r="J2597" t="str">
        <f>TEXT(Ventas[[#This Row],[Fecha_venta]],"yyyy")</f>
        <v>2010</v>
      </c>
    </row>
    <row r="2598" spans="1:10" x14ac:dyDescent="0.25">
      <c r="A2598">
        <v>19</v>
      </c>
      <c r="B2598" s="1">
        <v>40396</v>
      </c>
      <c r="C2598">
        <v>0</v>
      </c>
      <c r="D2598">
        <v>74.2</v>
      </c>
      <c r="E2598">
        <v>2.9420000000000002</v>
      </c>
      <c r="F2598">
        <v>132.6141935</v>
      </c>
      <c r="G2598">
        <v>1492060.89</v>
      </c>
      <c r="H2598" t="str">
        <f>TEXT(Ventas[[#This Row],[Fecha_venta]],"dd")</f>
        <v>06</v>
      </c>
      <c r="I2598" t="str">
        <f>TEXT(Ventas[[#This Row],[Fecha_venta]],"m")</f>
        <v>8</v>
      </c>
      <c r="J2598" t="str">
        <f>TEXT(Ventas[[#This Row],[Fecha_venta]],"yyyy")</f>
        <v>2010</v>
      </c>
    </row>
    <row r="2599" spans="1:10" x14ac:dyDescent="0.25">
      <c r="A2599">
        <v>19</v>
      </c>
      <c r="B2599" s="1">
        <v>40403</v>
      </c>
      <c r="C2599">
        <v>0</v>
      </c>
      <c r="D2599">
        <v>72.709999999999994</v>
      </c>
      <c r="E2599">
        <v>2.923</v>
      </c>
      <c r="F2599">
        <v>132.63</v>
      </c>
      <c r="G2599">
        <v>1418027.08</v>
      </c>
      <c r="H2599" t="str">
        <f>TEXT(Ventas[[#This Row],[Fecha_venta]],"dd")</f>
        <v>13</v>
      </c>
      <c r="I2599" t="str">
        <f>TEXT(Ventas[[#This Row],[Fecha_venta]],"m")</f>
        <v>8</v>
      </c>
      <c r="J2599" t="str">
        <f>TEXT(Ventas[[#This Row],[Fecha_venta]],"yyyy")</f>
        <v>2010</v>
      </c>
    </row>
    <row r="2600" spans="1:10" x14ac:dyDescent="0.25">
      <c r="A2600">
        <v>19</v>
      </c>
      <c r="B2600" s="1">
        <v>40410</v>
      </c>
      <c r="C2600">
        <v>0</v>
      </c>
      <c r="D2600">
        <v>72.22</v>
      </c>
      <c r="E2600">
        <v>2.9129999999999998</v>
      </c>
      <c r="F2600">
        <v>132.66161289999999</v>
      </c>
      <c r="G2600">
        <v>1419383.19</v>
      </c>
      <c r="H2600" t="str">
        <f>TEXT(Ventas[[#This Row],[Fecha_venta]],"dd")</f>
        <v>20</v>
      </c>
      <c r="I2600" t="str">
        <f>TEXT(Ventas[[#This Row],[Fecha_venta]],"m")</f>
        <v>8</v>
      </c>
      <c r="J2600" t="str">
        <f>TEXT(Ventas[[#This Row],[Fecha_venta]],"yyyy")</f>
        <v>2010</v>
      </c>
    </row>
    <row r="2601" spans="1:10" x14ac:dyDescent="0.25">
      <c r="A2601">
        <v>19</v>
      </c>
      <c r="B2601" s="1">
        <v>40417</v>
      </c>
      <c r="C2601">
        <v>0</v>
      </c>
      <c r="D2601">
        <v>66.400000000000006</v>
      </c>
      <c r="E2601">
        <v>2.8849999999999998</v>
      </c>
      <c r="F2601">
        <v>132.69322579999999</v>
      </c>
      <c r="G2601">
        <v>1557888.16</v>
      </c>
      <c r="H2601" t="str">
        <f>TEXT(Ventas[[#This Row],[Fecha_venta]],"dd")</f>
        <v>27</v>
      </c>
      <c r="I2601" t="str">
        <f>TEXT(Ventas[[#This Row],[Fecha_venta]],"m")</f>
        <v>8</v>
      </c>
      <c r="J2601" t="str">
        <f>TEXT(Ventas[[#This Row],[Fecha_venta]],"yyyy")</f>
        <v>2010</v>
      </c>
    </row>
    <row r="2602" spans="1:10" x14ac:dyDescent="0.25">
      <c r="A2602">
        <v>19</v>
      </c>
      <c r="B2602" s="1">
        <v>40424</v>
      </c>
      <c r="C2602">
        <v>0</v>
      </c>
      <c r="D2602">
        <v>74.69</v>
      </c>
      <c r="E2602">
        <v>2.86</v>
      </c>
      <c r="F2602">
        <v>132.72483869999999</v>
      </c>
      <c r="G2602">
        <v>1623519.64</v>
      </c>
      <c r="H2602" t="str">
        <f>TEXT(Ventas[[#This Row],[Fecha_venta]],"dd")</f>
        <v>03</v>
      </c>
      <c r="I2602" t="str">
        <f>TEXT(Ventas[[#This Row],[Fecha_venta]],"m")</f>
        <v>9</v>
      </c>
      <c r="J2602" t="str">
        <f>TEXT(Ventas[[#This Row],[Fecha_venta]],"yyyy")</f>
        <v>2010</v>
      </c>
    </row>
    <row r="2603" spans="1:10" x14ac:dyDescent="0.25">
      <c r="A2603">
        <v>19</v>
      </c>
      <c r="B2603" s="1">
        <v>40431</v>
      </c>
      <c r="C2603">
        <v>1</v>
      </c>
      <c r="D2603">
        <v>63.36</v>
      </c>
      <c r="E2603">
        <v>2.8370000000000002</v>
      </c>
      <c r="F2603">
        <v>132.75645159999999</v>
      </c>
      <c r="G2603">
        <v>1591453.39</v>
      </c>
      <c r="H2603" t="str">
        <f>TEXT(Ventas[[#This Row],[Fecha_venta]],"dd")</f>
        <v>10</v>
      </c>
      <c r="I2603" t="str">
        <f>TEXT(Ventas[[#This Row],[Fecha_venta]],"m")</f>
        <v>9</v>
      </c>
      <c r="J2603" t="str">
        <f>TEXT(Ventas[[#This Row],[Fecha_venta]],"yyyy")</f>
        <v>2010</v>
      </c>
    </row>
    <row r="2604" spans="1:10" x14ac:dyDescent="0.25">
      <c r="A2604">
        <v>19</v>
      </c>
      <c r="B2604" s="1">
        <v>40438</v>
      </c>
      <c r="C2604">
        <v>0</v>
      </c>
      <c r="D2604">
        <v>58.68</v>
      </c>
      <c r="E2604">
        <v>2.8460000000000001</v>
      </c>
      <c r="F2604">
        <v>132.76706669999999</v>
      </c>
      <c r="G2604">
        <v>1386789.31</v>
      </c>
      <c r="H2604" t="str">
        <f>TEXT(Ventas[[#This Row],[Fecha_venta]],"dd")</f>
        <v>17</v>
      </c>
      <c r="I2604" t="str">
        <f>TEXT(Ventas[[#This Row],[Fecha_venta]],"m")</f>
        <v>9</v>
      </c>
      <c r="J2604" t="str">
        <f>TEXT(Ventas[[#This Row],[Fecha_venta]],"yyyy")</f>
        <v>2010</v>
      </c>
    </row>
    <row r="2605" spans="1:10" x14ac:dyDescent="0.25">
      <c r="A2605">
        <v>19</v>
      </c>
      <c r="B2605" s="1">
        <v>40445</v>
      </c>
      <c r="C2605">
        <v>0</v>
      </c>
      <c r="D2605">
        <v>63.43</v>
      </c>
      <c r="E2605">
        <v>2.8370000000000002</v>
      </c>
      <c r="F2605">
        <v>132.76193330000001</v>
      </c>
      <c r="G2605">
        <v>1318343.58</v>
      </c>
      <c r="H2605" t="str">
        <f>TEXT(Ventas[[#This Row],[Fecha_venta]],"dd")</f>
        <v>24</v>
      </c>
      <c r="I2605" t="str">
        <f>TEXT(Ventas[[#This Row],[Fecha_venta]],"m")</f>
        <v>9</v>
      </c>
      <c r="J2605" t="str">
        <f>TEXT(Ventas[[#This Row],[Fecha_venta]],"yyyy")</f>
        <v>2010</v>
      </c>
    </row>
    <row r="2606" spans="1:10" x14ac:dyDescent="0.25">
      <c r="A2606">
        <v>19</v>
      </c>
      <c r="B2606" s="1">
        <v>40452</v>
      </c>
      <c r="C2606">
        <v>0</v>
      </c>
      <c r="D2606">
        <v>59.91</v>
      </c>
      <c r="E2606">
        <v>2.84</v>
      </c>
      <c r="F2606">
        <v>132.7568</v>
      </c>
      <c r="G2606">
        <v>1379456.3</v>
      </c>
      <c r="H2606" t="str">
        <f>TEXT(Ventas[[#This Row],[Fecha_venta]],"dd")</f>
        <v>01</v>
      </c>
      <c r="I2606" t="str">
        <f>TEXT(Ventas[[#This Row],[Fecha_venta]],"m")</f>
        <v>10</v>
      </c>
      <c r="J2606" t="str">
        <f>TEXT(Ventas[[#This Row],[Fecha_venta]],"yyyy")</f>
        <v>2010</v>
      </c>
    </row>
    <row r="2607" spans="1:10" x14ac:dyDescent="0.25">
      <c r="A2607">
        <v>19</v>
      </c>
      <c r="B2607" s="1">
        <v>40459</v>
      </c>
      <c r="C2607">
        <v>0</v>
      </c>
      <c r="D2607">
        <v>53.74</v>
      </c>
      <c r="E2607">
        <v>2.903</v>
      </c>
      <c r="F2607">
        <v>132.75166669999999</v>
      </c>
      <c r="G2607">
        <v>1428960.72</v>
      </c>
      <c r="H2607" t="str">
        <f>TEXT(Ventas[[#This Row],[Fecha_venta]],"dd")</f>
        <v>08</v>
      </c>
      <c r="I2607" t="str">
        <f>TEXT(Ventas[[#This Row],[Fecha_venta]],"m")</f>
        <v>10</v>
      </c>
      <c r="J2607" t="str">
        <f>TEXT(Ventas[[#This Row],[Fecha_venta]],"yyyy")</f>
        <v>2010</v>
      </c>
    </row>
    <row r="2608" spans="1:10" x14ac:dyDescent="0.25">
      <c r="A2608">
        <v>19</v>
      </c>
      <c r="B2608" s="1">
        <v>40466</v>
      </c>
      <c r="C2608">
        <v>0</v>
      </c>
      <c r="D2608">
        <v>51.32</v>
      </c>
      <c r="E2608">
        <v>2.9990000000000001</v>
      </c>
      <c r="F2608">
        <v>132.7633548</v>
      </c>
      <c r="G2608">
        <v>1369317.63</v>
      </c>
      <c r="H2608" t="str">
        <f>TEXT(Ventas[[#This Row],[Fecha_venta]],"dd")</f>
        <v>15</v>
      </c>
      <c r="I2608" t="str">
        <f>TEXT(Ventas[[#This Row],[Fecha_venta]],"m")</f>
        <v>10</v>
      </c>
      <c r="J2608" t="str">
        <f>TEXT(Ventas[[#This Row],[Fecha_venta]],"yyyy")</f>
        <v>2010</v>
      </c>
    </row>
    <row r="2609" spans="1:10" x14ac:dyDescent="0.25">
      <c r="A2609">
        <v>19</v>
      </c>
      <c r="B2609" s="1">
        <v>40473</v>
      </c>
      <c r="C2609">
        <v>0</v>
      </c>
      <c r="D2609">
        <v>48.45</v>
      </c>
      <c r="E2609">
        <v>3.0489999999999999</v>
      </c>
      <c r="F2609">
        <v>132.8170968</v>
      </c>
      <c r="G2609">
        <v>1357154.71</v>
      </c>
      <c r="H2609" t="str">
        <f>TEXT(Ventas[[#This Row],[Fecha_venta]],"dd")</f>
        <v>22</v>
      </c>
      <c r="I2609" t="str">
        <f>TEXT(Ventas[[#This Row],[Fecha_venta]],"m")</f>
        <v>10</v>
      </c>
      <c r="J2609" t="str">
        <f>TEXT(Ventas[[#This Row],[Fecha_venta]],"yyyy")</f>
        <v>2010</v>
      </c>
    </row>
    <row r="2610" spans="1:10" x14ac:dyDescent="0.25">
      <c r="A2610">
        <v>19</v>
      </c>
      <c r="B2610" s="1">
        <v>40480</v>
      </c>
      <c r="C2610">
        <v>0</v>
      </c>
      <c r="D2610">
        <v>56.11</v>
      </c>
      <c r="E2610">
        <v>3.0550000000000002</v>
      </c>
      <c r="F2610">
        <v>132.87083870000001</v>
      </c>
      <c r="G2610">
        <v>1404576.48</v>
      </c>
      <c r="H2610" t="str">
        <f>TEXT(Ventas[[#This Row],[Fecha_venta]],"dd")</f>
        <v>29</v>
      </c>
      <c r="I2610" t="str">
        <f>TEXT(Ventas[[#This Row],[Fecha_venta]],"m")</f>
        <v>10</v>
      </c>
      <c r="J2610" t="str">
        <f>TEXT(Ventas[[#This Row],[Fecha_venta]],"yyyy")</f>
        <v>2010</v>
      </c>
    </row>
    <row r="2611" spans="1:10" x14ac:dyDescent="0.25">
      <c r="A2611">
        <v>19</v>
      </c>
      <c r="B2611" s="1">
        <v>40487</v>
      </c>
      <c r="C2611">
        <v>0</v>
      </c>
      <c r="D2611">
        <v>41.78</v>
      </c>
      <c r="E2611">
        <v>3.0489999999999999</v>
      </c>
      <c r="F2611">
        <v>132.92458060000001</v>
      </c>
      <c r="G2611">
        <v>1435379.25</v>
      </c>
      <c r="H2611" t="str">
        <f>TEXT(Ventas[[#This Row],[Fecha_venta]],"dd")</f>
        <v>05</v>
      </c>
      <c r="I2611" t="str">
        <f>TEXT(Ventas[[#This Row],[Fecha_venta]],"m")</f>
        <v>11</v>
      </c>
      <c r="J2611" t="str">
        <f>TEXT(Ventas[[#This Row],[Fecha_venta]],"yyyy")</f>
        <v>2010</v>
      </c>
    </row>
    <row r="2612" spans="1:10" x14ac:dyDescent="0.25">
      <c r="A2612">
        <v>19</v>
      </c>
      <c r="B2612" s="1">
        <v>40494</v>
      </c>
      <c r="C2612">
        <v>0</v>
      </c>
      <c r="D2612">
        <v>40.299999999999997</v>
      </c>
      <c r="E2612">
        <v>3.0649999999999999</v>
      </c>
      <c r="F2612">
        <v>132.97832260000001</v>
      </c>
      <c r="G2612">
        <v>1490235.86</v>
      </c>
      <c r="H2612" t="str">
        <f>TEXT(Ventas[[#This Row],[Fecha_venta]],"dd")</f>
        <v>12</v>
      </c>
      <c r="I2612" t="str">
        <f>TEXT(Ventas[[#This Row],[Fecha_venta]],"m")</f>
        <v>11</v>
      </c>
      <c r="J2612" t="str">
        <f>TEXT(Ventas[[#This Row],[Fecha_venta]],"yyyy")</f>
        <v>2010</v>
      </c>
    </row>
    <row r="2613" spans="1:10" x14ac:dyDescent="0.25">
      <c r="A2613">
        <v>19</v>
      </c>
      <c r="B2613" s="1">
        <v>40501</v>
      </c>
      <c r="C2613">
        <v>0</v>
      </c>
      <c r="D2613">
        <v>44.22</v>
      </c>
      <c r="E2613">
        <v>3.1379999999999999</v>
      </c>
      <c r="F2613">
        <v>132.91720000000001</v>
      </c>
      <c r="G2613">
        <v>1377593.1</v>
      </c>
      <c r="H2613" t="str">
        <f>TEXT(Ventas[[#This Row],[Fecha_venta]],"dd")</f>
        <v>19</v>
      </c>
      <c r="I2613" t="str">
        <f>TEXT(Ventas[[#This Row],[Fecha_venta]],"m")</f>
        <v>11</v>
      </c>
      <c r="J2613" t="str">
        <f>TEXT(Ventas[[#This Row],[Fecha_venta]],"yyyy")</f>
        <v>2010</v>
      </c>
    </row>
    <row r="2614" spans="1:10" x14ac:dyDescent="0.25">
      <c r="A2614">
        <v>19</v>
      </c>
      <c r="B2614" s="1">
        <v>40508</v>
      </c>
      <c r="C2614">
        <v>1</v>
      </c>
      <c r="D2614">
        <v>42.62</v>
      </c>
      <c r="E2614">
        <v>3.1859999999999999</v>
      </c>
      <c r="F2614">
        <v>132.8369333</v>
      </c>
      <c r="G2614">
        <v>1993367.83</v>
      </c>
      <c r="H2614" t="str">
        <f>TEXT(Ventas[[#This Row],[Fecha_venta]],"dd")</f>
        <v>26</v>
      </c>
      <c r="I2614" t="str">
        <f>TEXT(Ventas[[#This Row],[Fecha_venta]],"m")</f>
        <v>11</v>
      </c>
      <c r="J2614" t="str">
        <f>TEXT(Ventas[[#This Row],[Fecha_venta]],"yyyy")</f>
        <v>2010</v>
      </c>
    </row>
    <row r="2615" spans="1:10" x14ac:dyDescent="0.25">
      <c r="A2615">
        <v>19</v>
      </c>
      <c r="B2615" s="1">
        <v>40515</v>
      </c>
      <c r="C2615">
        <v>0</v>
      </c>
      <c r="D2615">
        <v>36.64</v>
      </c>
      <c r="E2615">
        <v>3.2</v>
      </c>
      <c r="F2615">
        <v>132.75666670000001</v>
      </c>
      <c r="G2615">
        <v>1615987.96</v>
      </c>
      <c r="H2615" t="str">
        <f>TEXT(Ventas[[#This Row],[Fecha_venta]],"dd")</f>
        <v>03</v>
      </c>
      <c r="I2615" t="str">
        <f>TEXT(Ventas[[#This Row],[Fecha_venta]],"m")</f>
        <v>12</v>
      </c>
      <c r="J2615" t="str">
        <f>TEXT(Ventas[[#This Row],[Fecha_venta]],"yyyy")</f>
        <v>2010</v>
      </c>
    </row>
    <row r="2616" spans="1:10" x14ac:dyDescent="0.25">
      <c r="A2616">
        <v>19</v>
      </c>
      <c r="B2616" s="1">
        <v>40522</v>
      </c>
      <c r="C2616">
        <v>0</v>
      </c>
      <c r="D2616">
        <v>25.12</v>
      </c>
      <c r="E2616">
        <v>3.2549999999999999</v>
      </c>
      <c r="F2616">
        <v>132.6764</v>
      </c>
      <c r="G2616">
        <v>1799070.98</v>
      </c>
      <c r="H2616" t="str">
        <f>TEXT(Ventas[[#This Row],[Fecha_venta]],"dd")</f>
        <v>10</v>
      </c>
      <c r="I2616" t="str">
        <f>TEXT(Ventas[[#This Row],[Fecha_venta]],"m")</f>
        <v>12</v>
      </c>
      <c r="J2616" t="str">
        <f>TEXT(Ventas[[#This Row],[Fecha_venta]],"yyyy")</f>
        <v>2010</v>
      </c>
    </row>
    <row r="2617" spans="1:10" x14ac:dyDescent="0.25">
      <c r="A2617">
        <v>19</v>
      </c>
      <c r="B2617" s="1">
        <v>40529</v>
      </c>
      <c r="C2617">
        <v>0</v>
      </c>
      <c r="D2617">
        <v>26.83</v>
      </c>
      <c r="E2617">
        <v>3.3010000000000002</v>
      </c>
      <c r="F2617">
        <v>132.6804516</v>
      </c>
      <c r="G2617">
        <v>1911967.44</v>
      </c>
      <c r="H2617" t="str">
        <f>TEXT(Ventas[[#This Row],[Fecha_venta]],"dd")</f>
        <v>17</v>
      </c>
      <c r="I2617" t="str">
        <f>TEXT(Ventas[[#This Row],[Fecha_venta]],"m")</f>
        <v>12</v>
      </c>
      <c r="J2617" t="str">
        <f>TEXT(Ventas[[#This Row],[Fecha_venta]],"yyyy")</f>
        <v>2010</v>
      </c>
    </row>
    <row r="2618" spans="1:10" x14ac:dyDescent="0.25">
      <c r="A2618">
        <v>19</v>
      </c>
      <c r="B2618" s="1">
        <v>40536</v>
      </c>
      <c r="C2618">
        <v>0</v>
      </c>
      <c r="D2618">
        <v>26.05</v>
      </c>
      <c r="E2618">
        <v>3.3090000000000002</v>
      </c>
      <c r="F2618">
        <v>132.74774189999999</v>
      </c>
      <c r="G2618">
        <v>2678206.42</v>
      </c>
      <c r="H2618" t="str">
        <f>TEXT(Ventas[[#This Row],[Fecha_venta]],"dd")</f>
        <v>24</v>
      </c>
      <c r="I2618" t="str">
        <f>TEXT(Ventas[[#This Row],[Fecha_venta]],"m")</f>
        <v>12</v>
      </c>
      <c r="J2618" t="str">
        <f>TEXT(Ventas[[#This Row],[Fecha_venta]],"yyyy")</f>
        <v>2010</v>
      </c>
    </row>
    <row r="2619" spans="1:10" x14ac:dyDescent="0.25">
      <c r="A2619">
        <v>19</v>
      </c>
      <c r="B2619" s="1">
        <v>40543</v>
      </c>
      <c r="C2619">
        <v>1</v>
      </c>
      <c r="D2619">
        <v>28.65</v>
      </c>
      <c r="E2619">
        <v>3.3359999999999999</v>
      </c>
      <c r="F2619">
        <v>132.81503230000001</v>
      </c>
      <c r="G2619">
        <v>1275146.94</v>
      </c>
      <c r="H2619" t="str">
        <f>TEXT(Ventas[[#This Row],[Fecha_venta]],"dd")</f>
        <v>31</v>
      </c>
      <c r="I2619" t="str">
        <f>TEXT(Ventas[[#This Row],[Fecha_venta]],"m")</f>
        <v>12</v>
      </c>
      <c r="J2619" t="str">
        <f>TEXT(Ventas[[#This Row],[Fecha_venta]],"yyyy")</f>
        <v>2010</v>
      </c>
    </row>
    <row r="2620" spans="1:10" x14ac:dyDescent="0.25">
      <c r="A2620">
        <v>19</v>
      </c>
      <c r="B2620" s="1">
        <v>40550</v>
      </c>
      <c r="C2620">
        <v>0</v>
      </c>
      <c r="D2620">
        <v>31.34</v>
      </c>
      <c r="E2620">
        <v>3.351</v>
      </c>
      <c r="F2620">
        <v>132.88232260000001</v>
      </c>
      <c r="G2620">
        <v>1224175.99</v>
      </c>
      <c r="H2620" t="str">
        <f>TEXT(Ventas[[#This Row],[Fecha_venta]],"dd")</f>
        <v>07</v>
      </c>
      <c r="I2620" t="str">
        <f>TEXT(Ventas[[#This Row],[Fecha_venta]],"m")</f>
        <v>1</v>
      </c>
      <c r="J2620" t="str">
        <f>TEXT(Ventas[[#This Row],[Fecha_venta]],"yyyy")</f>
        <v>2011</v>
      </c>
    </row>
    <row r="2621" spans="1:10" x14ac:dyDescent="0.25">
      <c r="A2621">
        <v>19</v>
      </c>
      <c r="B2621" s="1">
        <v>40557</v>
      </c>
      <c r="C2621">
        <v>0</v>
      </c>
      <c r="D2621">
        <v>21.68</v>
      </c>
      <c r="E2621">
        <v>3.367</v>
      </c>
      <c r="F2621">
        <v>132.9510645</v>
      </c>
      <c r="G2621">
        <v>1181204.53</v>
      </c>
      <c r="H2621" t="str">
        <f>TEXT(Ventas[[#This Row],[Fecha_venta]],"dd")</f>
        <v>14</v>
      </c>
      <c r="I2621" t="str">
        <f>TEXT(Ventas[[#This Row],[Fecha_venta]],"m")</f>
        <v>1</v>
      </c>
      <c r="J2621" t="str">
        <f>TEXT(Ventas[[#This Row],[Fecha_venta]],"yyyy")</f>
        <v>2011</v>
      </c>
    </row>
    <row r="2622" spans="1:10" x14ac:dyDescent="0.25">
      <c r="A2622">
        <v>19</v>
      </c>
      <c r="B2622" s="1">
        <v>40564</v>
      </c>
      <c r="C2622">
        <v>0</v>
      </c>
      <c r="D2622">
        <v>22.8</v>
      </c>
      <c r="E2622">
        <v>3.391</v>
      </c>
      <c r="F2622">
        <v>133.02851609999999</v>
      </c>
      <c r="G2622">
        <v>1212967.8400000001</v>
      </c>
      <c r="H2622" t="str">
        <f>TEXT(Ventas[[#This Row],[Fecha_venta]],"dd")</f>
        <v>21</v>
      </c>
      <c r="I2622" t="str">
        <f>TEXT(Ventas[[#This Row],[Fecha_venta]],"m")</f>
        <v>1</v>
      </c>
      <c r="J2622" t="str">
        <f>TEXT(Ventas[[#This Row],[Fecha_venta]],"yyyy")</f>
        <v>2011</v>
      </c>
    </row>
    <row r="2623" spans="1:10" x14ac:dyDescent="0.25">
      <c r="A2623">
        <v>19</v>
      </c>
      <c r="B2623" s="1">
        <v>40571</v>
      </c>
      <c r="C2623">
        <v>0</v>
      </c>
      <c r="D2623">
        <v>20.66</v>
      </c>
      <c r="E2623">
        <v>3.4020000000000001</v>
      </c>
      <c r="F2623">
        <v>133.10596770000001</v>
      </c>
      <c r="G2623">
        <v>1284185.49</v>
      </c>
      <c r="H2623" t="str">
        <f>TEXT(Ventas[[#This Row],[Fecha_venta]],"dd")</f>
        <v>28</v>
      </c>
      <c r="I2623" t="str">
        <f>TEXT(Ventas[[#This Row],[Fecha_venta]],"m")</f>
        <v>1</v>
      </c>
      <c r="J2623" t="str">
        <f>TEXT(Ventas[[#This Row],[Fecha_venta]],"yyyy")</f>
        <v>2011</v>
      </c>
    </row>
    <row r="2624" spans="1:10" x14ac:dyDescent="0.25">
      <c r="A2624">
        <v>19</v>
      </c>
      <c r="B2624" s="1">
        <v>40578</v>
      </c>
      <c r="C2624">
        <v>0</v>
      </c>
      <c r="D2624">
        <v>21.02</v>
      </c>
      <c r="E2624">
        <v>3.4</v>
      </c>
      <c r="F2624">
        <v>133.18341939999999</v>
      </c>
      <c r="G2624">
        <v>1370562.11</v>
      </c>
      <c r="H2624" t="str">
        <f>TEXT(Ventas[[#This Row],[Fecha_venta]],"dd")</f>
        <v>04</v>
      </c>
      <c r="I2624" t="str">
        <f>TEXT(Ventas[[#This Row],[Fecha_venta]],"m")</f>
        <v>2</v>
      </c>
      <c r="J2624" t="str">
        <f>TEXT(Ventas[[#This Row],[Fecha_venta]],"yyyy")</f>
        <v>2011</v>
      </c>
    </row>
    <row r="2625" spans="1:10" x14ac:dyDescent="0.25">
      <c r="A2625">
        <v>19</v>
      </c>
      <c r="B2625" s="1">
        <v>40585</v>
      </c>
      <c r="C2625">
        <v>1</v>
      </c>
      <c r="D2625">
        <v>21.79</v>
      </c>
      <c r="E2625">
        <v>3.4159999999999999</v>
      </c>
      <c r="F2625">
        <v>133.26087100000001</v>
      </c>
      <c r="G2625">
        <v>1430851.11</v>
      </c>
      <c r="H2625" t="str">
        <f>TEXT(Ventas[[#This Row],[Fecha_venta]],"dd")</f>
        <v>11</v>
      </c>
      <c r="I2625" t="str">
        <f>TEXT(Ventas[[#This Row],[Fecha_venta]],"m")</f>
        <v>2</v>
      </c>
      <c r="J2625" t="str">
        <f>TEXT(Ventas[[#This Row],[Fecha_venta]],"yyyy")</f>
        <v>2011</v>
      </c>
    </row>
    <row r="2626" spans="1:10" x14ac:dyDescent="0.25">
      <c r="A2626">
        <v>19</v>
      </c>
      <c r="B2626" s="1">
        <v>40592</v>
      </c>
      <c r="C2626">
        <v>0</v>
      </c>
      <c r="D2626">
        <v>34.74</v>
      </c>
      <c r="E2626">
        <v>3.42</v>
      </c>
      <c r="F2626">
        <v>133.37014289999999</v>
      </c>
      <c r="G2626">
        <v>1457270.16</v>
      </c>
      <c r="H2626" t="str">
        <f>TEXT(Ventas[[#This Row],[Fecha_venta]],"dd")</f>
        <v>18</v>
      </c>
      <c r="I2626" t="str">
        <f>TEXT(Ventas[[#This Row],[Fecha_venta]],"m")</f>
        <v>2</v>
      </c>
      <c r="J2626" t="str">
        <f>TEXT(Ventas[[#This Row],[Fecha_venta]],"yyyy")</f>
        <v>2011</v>
      </c>
    </row>
    <row r="2627" spans="1:10" x14ac:dyDescent="0.25">
      <c r="A2627">
        <v>19</v>
      </c>
      <c r="B2627" s="1">
        <v>40599</v>
      </c>
      <c r="C2627">
        <v>0</v>
      </c>
      <c r="D2627">
        <v>23.24</v>
      </c>
      <c r="E2627">
        <v>3.452</v>
      </c>
      <c r="F2627">
        <v>133.4921429</v>
      </c>
      <c r="G2627">
        <v>1296658.47</v>
      </c>
      <c r="H2627" t="str">
        <f>TEXT(Ventas[[#This Row],[Fecha_venta]],"dd")</f>
        <v>25</v>
      </c>
      <c r="I2627" t="str">
        <f>TEXT(Ventas[[#This Row],[Fecha_venta]],"m")</f>
        <v>2</v>
      </c>
      <c r="J2627" t="str">
        <f>TEXT(Ventas[[#This Row],[Fecha_venta]],"yyyy")</f>
        <v>2011</v>
      </c>
    </row>
    <row r="2628" spans="1:10" x14ac:dyDescent="0.25">
      <c r="A2628">
        <v>19</v>
      </c>
      <c r="B2628" s="1">
        <v>40606</v>
      </c>
      <c r="C2628">
        <v>0</v>
      </c>
      <c r="D2628">
        <v>29.28</v>
      </c>
      <c r="E2628">
        <v>3.605</v>
      </c>
      <c r="F2628">
        <v>133.61414289999999</v>
      </c>
      <c r="G2628">
        <v>1433569.44</v>
      </c>
      <c r="H2628" t="str">
        <f>TEXT(Ventas[[#This Row],[Fecha_venta]],"dd")</f>
        <v>04</v>
      </c>
      <c r="I2628" t="str">
        <f>TEXT(Ventas[[#This Row],[Fecha_venta]],"m")</f>
        <v>3</v>
      </c>
      <c r="J2628" t="str">
        <f>TEXT(Ventas[[#This Row],[Fecha_venta]],"yyyy")</f>
        <v>2011</v>
      </c>
    </row>
    <row r="2629" spans="1:10" x14ac:dyDescent="0.25">
      <c r="A2629">
        <v>19</v>
      </c>
      <c r="B2629" s="1">
        <v>40613</v>
      </c>
      <c r="C2629">
        <v>0</v>
      </c>
      <c r="D2629">
        <v>35.590000000000003</v>
      </c>
      <c r="E2629">
        <v>3.7519999999999998</v>
      </c>
      <c r="F2629">
        <v>133.7361429</v>
      </c>
      <c r="G2629">
        <v>1351450.43</v>
      </c>
      <c r="H2629" t="str">
        <f>TEXT(Ventas[[#This Row],[Fecha_venta]],"dd")</f>
        <v>11</v>
      </c>
      <c r="I2629" t="str">
        <f>TEXT(Ventas[[#This Row],[Fecha_venta]],"m")</f>
        <v>3</v>
      </c>
      <c r="J2629" t="str">
        <f>TEXT(Ventas[[#This Row],[Fecha_venta]],"yyyy")</f>
        <v>2011</v>
      </c>
    </row>
    <row r="2630" spans="1:10" x14ac:dyDescent="0.25">
      <c r="A2630">
        <v>19</v>
      </c>
      <c r="B2630" s="1">
        <v>40620</v>
      </c>
      <c r="C2630">
        <v>0</v>
      </c>
      <c r="D2630">
        <v>40.32</v>
      </c>
      <c r="E2630">
        <v>3.7959999999999998</v>
      </c>
      <c r="F2630">
        <v>133.8492258</v>
      </c>
      <c r="G2630">
        <v>1257972.3700000001</v>
      </c>
      <c r="H2630" t="str">
        <f>TEXT(Ventas[[#This Row],[Fecha_venta]],"dd")</f>
        <v>18</v>
      </c>
      <c r="I2630" t="str">
        <f>TEXT(Ventas[[#This Row],[Fecha_venta]],"m")</f>
        <v>3</v>
      </c>
      <c r="J2630" t="str">
        <f>TEXT(Ventas[[#This Row],[Fecha_venta]],"yyyy")</f>
        <v>2011</v>
      </c>
    </row>
    <row r="2631" spans="1:10" x14ac:dyDescent="0.25">
      <c r="A2631">
        <v>19</v>
      </c>
      <c r="B2631" s="1">
        <v>40627</v>
      </c>
      <c r="C2631">
        <v>0</v>
      </c>
      <c r="D2631">
        <v>33.26</v>
      </c>
      <c r="E2631">
        <v>3.7890000000000001</v>
      </c>
      <c r="F2631">
        <v>133.95874190000001</v>
      </c>
      <c r="G2631">
        <v>1266564.94</v>
      </c>
      <c r="H2631" t="str">
        <f>TEXT(Ventas[[#This Row],[Fecha_venta]],"dd")</f>
        <v>25</v>
      </c>
      <c r="I2631" t="str">
        <f>TEXT(Ventas[[#This Row],[Fecha_venta]],"m")</f>
        <v>3</v>
      </c>
      <c r="J2631" t="str">
        <f>TEXT(Ventas[[#This Row],[Fecha_venta]],"yyyy")</f>
        <v>2011</v>
      </c>
    </row>
    <row r="2632" spans="1:10" x14ac:dyDescent="0.25">
      <c r="A2632">
        <v>19</v>
      </c>
      <c r="B2632" s="1">
        <v>40634</v>
      </c>
      <c r="C2632">
        <v>0</v>
      </c>
      <c r="D2632">
        <v>30.68</v>
      </c>
      <c r="E2632">
        <v>3.8109999999999999</v>
      </c>
      <c r="F2632">
        <v>134.06825810000001</v>
      </c>
      <c r="G2632">
        <v>1305950.22</v>
      </c>
      <c r="H2632" t="str">
        <f>TEXT(Ventas[[#This Row],[Fecha_venta]],"dd")</f>
        <v>01</v>
      </c>
      <c r="I2632" t="str">
        <f>TEXT(Ventas[[#This Row],[Fecha_venta]],"m")</f>
        <v>4</v>
      </c>
      <c r="J2632" t="str">
        <f>TEXT(Ventas[[#This Row],[Fecha_venta]],"yyyy")</f>
        <v>2011</v>
      </c>
    </row>
    <row r="2633" spans="1:10" x14ac:dyDescent="0.25">
      <c r="A2633">
        <v>19</v>
      </c>
      <c r="B2633" s="1">
        <v>40641</v>
      </c>
      <c r="C2633">
        <v>0</v>
      </c>
      <c r="D2633">
        <v>41.26</v>
      </c>
      <c r="E2633">
        <v>3.895</v>
      </c>
      <c r="F2633">
        <v>134.17777419999999</v>
      </c>
      <c r="G2633">
        <v>1419911.91</v>
      </c>
      <c r="H2633" t="str">
        <f>TEXT(Ventas[[#This Row],[Fecha_venta]],"dd")</f>
        <v>08</v>
      </c>
      <c r="I2633" t="str">
        <f>TEXT(Ventas[[#This Row],[Fecha_venta]],"m")</f>
        <v>4</v>
      </c>
      <c r="J2633" t="str">
        <f>TEXT(Ventas[[#This Row],[Fecha_venta]],"yyyy")</f>
        <v>2011</v>
      </c>
    </row>
    <row r="2634" spans="1:10" x14ac:dyDescent="0.25">
      <c r="A2634">
        <v>19</v>
      </c>
      <c r="B2634" s="1">
        <v>40648</v>
      </c>
      <c r="C2634">
        <v>0</v>
      </c>
      <c r="D2634">
        <v>48.67</v>
      </c>
      <c r="E2634">
        <v>3.9809999999999999</v>
      </c>
      <c r="F2634">
        <v>134.2784667</v>
      </c>
      <c r="G2634">
        <v>1392093.04</v>
      </c>
      <c r="H2634" t="str">
        <f>TEXT(Ventas[[#This Row],[Fecha_venta]],"dd")</f>
        <v>15</v>
      </c>
      <c r="I2634" t="str">
        <f>TEXT(Ventas[[#This Row],[Fecha_venta]],"m")</f>
        <v>4</v>
      </c>
      <c r="J2634" t="str">
        <f>TEXT(Ventas[[#This Row],[Fecha_venta]],"yyyy")</f>
        <v>2011</v>
      </c>
    </row>
    <row r="2635" spans="1:10" x14ac:dyDescent="0.25">
      <c r="A2635">
        <v>19</v>
      </c>
      <c r="B2635" s="1">
        <v>40655</v>
      </c>
      <c r="C2635">
        <v>0</v>
      </c>
      <c r="D2635">
        <v>41.66</v>
      </c>
      <c r="E2635">
        <v>4.0609999999999999</v>
      </c>
      <c r="F2635">
        <v>134.3571</v>
      </c>
      <c r="G2635">
        <v>1514288.82</v>
      </c>
      <c r="H2635" t="str">
        <f>TEXT(Ventas[[#This Row],[Fecha_venta]],"dd")</f>
        <v>22</v>
      </c>
      <c r="I2635" t="str">
        <f>TEXT(Ventas[[#This Row],[Fecha_venta]],"m")</f>
        <v>4</v>
      </c>
      <c r="J2635" t="str">
        <f>TEXT(Ventas[[#This Row],[Fecha_venta]],"yyyy")</f>
        <v>2011</v>
      </c>
    </row>
    <row r="2636" spans="1:10" x14ac:dyDescent="0.25">
      <c r="A2636">
        <v>19</v>
      </c>
      <c r="B2636" s="1">
        <v>40662</v>
      </c>
      <c r="C2636">
        <v>0</v>
      </c>
      <c r="D2636">
        <v>54.23</v>
      </c>
      <c r="E2636">
        <v>4.117</v>
      </c>
      <c r="F2636">
        <v>134.43573330000001</v>
      </c>
      <c r="G2636">
        <v>1297237.7</v>
      </c>
      <c r="H2636" t="str">
        <f>TEXT(Ventas[[#This Row],[Fecha_venta]],"dd")</f>
        <v>29</v>
      </c>
      <c r="I2636" t="str">
        <f>TEXT(Ventas[[#This Row],[Fecha_venta]],"m")</f>
        <v>4</v>
      </c>
      <c r="J2636" t="str">
        <f>TEXT(Ventas[[#This Row],[Fecha_venta]],"yyyy")</f>
        <v>2011</v>
      </c>
    </row>
    <row r="2637" spans="1:10" x14ac:dyDescent="0.25">
      <c r="A2637">
        <v>19</v>
      </c>
      <c r="B2637" s="1">
        <v>40669</v>
      </c>
      <c r="C2637">
        <v>0</v>
      </c>
      <c r="D2637">
        <v>50.43</v>
      </c>
      <c r="E2637">
        <v>4.1920000000000002</v>
      </c>
      <c r="F2637">
        <v>134.51436670000001</v>
      </c>
      <c r="G2637">
        <v>1451953.95</v>
      </c>
      <c r="H2637" t="str">
        <f>TEXT(Ventas[[#This Row],[Fecha_venta]],"dd")</f>
        <v>06</v>
      </c>
      <c r="I2637" t="str">
        <f>TEXT(Ventas[[#This Row],[Fecha_venta]],"m")</f>
        <v>5</v>
      </c>
      <c r="J2637" t="str">
        <f>TEXT(Ventas[[#This Row],[Fecha_venta]],"yyyy")</f>
        <v>2011</v>
      </c>
    </row>
    <row r="2638" spans="1:10" x14ac:dyDescent="0.25">
      <c r="A2638">
        <v>19</v>
      </c>
      <c r="B2638" s="1">
        <v>40676</v>
      </c>
      <c r="C2638">
        <v>0</v>
      </c>
      <c r="D2638">
        <v>54.2</v>
      </c>
      <c r="E2638">
        <v>4.2110000000000003</v>
      </c>
      <c r="F2638">
        <v>134.59299999999999</v>
      </c>
      <c r="G2638">
        <v>1429143.06</v>
      </c>
      <c r="H2638" t="str">
        <f>TEXT(Ventas[[#This Row],[Fecha_venta]],"dd")</f>
        <v>13</v>
      </c>
      <c r="I2638" t="str">
        <f>TEXT(Ventas[[#This Row],[Fecha_venta]],"m")</f>
        <v>5</v>
      </c>
      <c r="J2638" t="str">
        <f>TEXT(Ventas[[#This Row],[Fecha_venta]],"yyyy")</f>
        <v>2011</v>
      </c>
    </row>
    <row r="2639" spans="1:10" x14ac:dyDescent="0.25">
      <c r="A2639">
        <v>19</v>
      </c>
      <c r="B2639" s="1">
        <v>40683</v>
      </c>
      <c r="C2639">
        <v>0</v>
      </c>
      <c r="D2639">
        <v>52.8</v>
      </c>
      <c r="E2639">
        <v>4.202</v>
      </c>
      <c r="F2639">
        <v>134.68038709999999</v>
      </c>
      <c r="G2639">
        <v>1355234.3</v>
      </c>
      <c r="H2639" t="str">
        <f>TEXT(Ventas[[#This Row],[Fecha_venta]],"dd")</f>
        <v>20</v>
      </c>
      <c r="I2639" t="str">
        <f>TEXT(Ventas[[#This Row],[Fecha_venta]],"m")</f>
        <v>5</v>
      </c>
      <c r="J2639" t="str">
        <f>TEXT(Ventas[[#This Row],[Fecha_venta]],"yyyy")</f>
        <v>2011</v>
      </c>
    </row>
    <row r="2640" spans="1:10" x14ac:dyDescent="0.25">
      <c r="A2640">
        <v>19</v>
      </c>
      <c r="B2640" s="1">
        <v>40690</v>
      </c>
      <c r="C2640">
        <v>0</v>
      </c>
      <c r="D2640">
        <v>63.2</v>
      </c>
      <c r="E2640">
        <v>4.1340000000000003</v>
      </c>
      <c r="F2640">
        <v>134.76777419999999</v>
      </c>
      <c r="G2640">
        <v>1388553.11</v>
      </c>
      <c r="H2640" t="str">
        <f>TEXT(Ventas[[#This Row],[Fecha_venta]],"dd")</f>
        <v>27</v>
      </c>
      <c r="I2640" t="str">
        <f>TEXT(Ventas[[#This Row],[Fecha_venta]],"m")</f>
        <v>5</v>
      </c>
      <c r="J2640" t="str">
        <f>TEXT(Ventas[[#This Row],[Fecha_venta]],"yyyy")</f>
        <v>2011</v>
      </c>
    </row>
    <row r="2641" spans="1:10" x14ac:dyDescent="0.25">
      <c r="A2641">
        <v>19</v>
      </c>
      <c r="B2641" s="1">
        <v>40697</v>
      </c>
      <c r="C2641">
        <v>0</v>
      </c>
      <c r="D2641">
        <v>66.010000000000005</v>
      </c>
      <c r="E2641">
        <v>4.069</v>
      </c>
      <c r="F2641">
        <v>134.85516129999999</v>
      </c>
      <c r="G2641">
        <v>1457345.75</v>
      </c>
      <c r="H2641" t="str">
        <f>TEXT(Ventas[[#This Row],[Fecha_venta]],"dd")</f>
        <v>03</v>
      </c>
      <c r="I2641" t="str">
        <f>TEXT(Ventas[[#This Row],[Fecha_venta]],"m")</f>
        <v>6</v>
      </c>
      <c r="J2641" t="str">
        <f>TEXT(Ventas[[#This Row],[Fecha_venta]],"yyyy")</f>
        <v>2011</v>
      </c>
    </row>
    <row r="2642" spans="1:10" x14ac:dyDescent="0.25">
      <c r="A2642">
        <v>19</v>
      </c>
      <c r="B2642" s="1">
        <v>40704</v>
      </c>
      <c r="C2642">
        <v>0</v>
      </c>
      <c r="D2642">
        <v>68.260000000000005</v>
      </c>
      <c r="E2642">
        <v>4.0250000000000004</v>
      </c>
      <c r="F2642">
        <v>134.94254839999999</v>
      </c>
      <c r="G2642">
        <v>1467473.63</v>
      </c>
      <c r="H2642" t="str">
        <f>TEXT(Ventas[[#This Row],[Fecha_venta]],"dd")</f>
        <v>10</v>
      </c>
      <c r="I2642" t="str">
        <f>TEXT(Ventas[[#This Row],[Fecha_venta]],"m")</f>
        <v>6</v>
      </c>
      <c r="J2642" t="str">
        <f>TEXT(Ventas[[#This Row],[Fecha_venta]],"yyyy")</f>
        <v>2011</v>
      </c>
    </row>
    <row r="2643" spans="1:10" x14ac:dyDescent="0.25">
      <c r="A2643">
        <v>19</v>
      </c>
      <c r="B2643" s="1">
        <v>40711</v>
      </c>
      <c r="C2643">
        <v>0</v>
      </c>
      <c r="D2643">
        <v>64.02</v>
      </c>
      <c r="E2643">
        <v>3.9889999999999999</v>
      </c>
      <c r="F2643">
        <v>135.08373330000001</v>
      </c>
      <c r="G2643">
        <v>1418973.62</v>
      </c>
      <c r="H2643" t="str">
        <f>TEXT(Ventas[[#This Row],[Fecha_venta]],"dd")</f>
        <v>17</v>
      </c>
      <c r="I2643" t="str">
        <f>TEXT(Ventas[[#This Row],[Fecha_venta]],"m")</f>
        <v>6</v>
      </c>
      <c r="J2643" t="str">
        <f>TEXT(Ventas[[#This Row],[Fecha_venta]],"yyyy")</f>
        <v>2011</v>
      </c>
    </row>
    <row r="2644" spans="1:10" x14ac:dyDescent="0.25">
      <c r="A2644">
        <v>19</v>
      </c>
      <c r="B2644" s="1">
        <v>40718</v>
      </c>
      <c r="C2644">
        <v>0</v>
      </c>
      <c r="D2644">
        <v>68.400000000000006</v>
      </c>
      <c r="E2644">
        <v>3.964</v>
      </c>
      <c r="F2644">
        <v>135.26526670000001</v>
      </c>
      <c r="G2644">
        <v>1440785.7</v>
      </c>
      <c r="H2644" t="str">
        <f>TEXT(Ventas[[#This Row],[Fecha_venta]],"dd")</f>
        <v>24</v>
      </c>
      <c r="I2644" t="str">
        <f>TEXT(Ventas[[#This Row],[Fecha_venta]],"m")</f>
        <v>6</v>
      </c>
      <c r="J2644" t="str">
        <f>TEXT(Ventas[[#This Row],[Fecha_venta]],"yyyy")</f>
        <v>2011</v>
      </c>
    </row>
    <row r="2645" spans="1:10" x14ac:dyDescent="0.25">
      <c r="A2645">
        <v>19</v>
      </c>
      <c r="B2645" s="1">
        <v>40725</v>
      </c>
      <c r="C2645">
        <v>0</v>
      </c>
      <c r="D2645">
        <v>67.64</v>
      </c>
      <c r="E2645">
        <v>3.9159999999999999</v>
      </c>
      <c r="F2645">
        <v>135.4468</v>
      </c>
      <c r="G2645">
        <v>1462731.93</v>
      </c>
      <c r="H2645" t="str">
        <f>TEXT(Ventas[[#This Row],[Fecha_venta]],"dd")</f>
        <v>01</v>
      </c>
      <c r="I2645" t="str">
        <f>TEXT(Ventas[[#This Row],[Fecha_venta]],"m")</f>
        <v>7</v>
      </c>
      <c r="J2645" t="str">
        <f>TEXT(Ventas[[#This Row],[Fecha_venta]],"yyyy")</f>
        <v>2011</v>
      </c>
    </row>
    <row r="2646" spans="1:10" x14ac:dyDescent="0.25">
      <c r="A2646">
        <v>19</v>
      </c>
      <c r="B2646" s="1">
        <v>40732</v>
      </c>
      <c r="C2646">
        <v>0</v>
      </c>
      <c r="D2646">
        <v>73.2</v>
      </c>
      <c r="E2646">
        <v>3.8860000000000001</v>
      </c>
      <c r="F2646">
        <v>135.62833330000001</v>
      </c>
      <c r="G2646">
        <v>1465489.75</v>
      </c>
      <c r="H2646" t="str">
        <f>TEXT(Ventas[[#This Row],[Fecha_venta]],"dd")</f>
        <v>08</v>
      </c>
      <c r="I2646" t="str">
        <f>TEXT(Ventas[[#This Row],[Fecha_venta]],"m")</f>
        <v>7</v>
      </c>
      <c r="J2646" t="str">
        <f>TEXT(Ventas[[#This Row],[Fecha_venta]],"yyyy")</f>
        <v>2011</v>
      </c>
    </row>
    <row r="2647" spans="1:10" x14ac:dyDescent="0.25">
      <c r="A2647">
        <v>19</v>
      </c>
      <c r="B2647" s="1">
        <v>40739</v>
      </c>
      <c r="C2647">
        <v>0</v>
      </c>
      <c r="D2647">
        <v>73.7</v>
      </c>
      <c r="E2647">
        <v>3.915</v>
      </c>
      <c r="F2647">
        <v>135.7837419</v>
      </c>
      <c r="G2647">
        <v>1391580.41</v>
      </c>
      <c r="H2647" t="str">
        <f>TEXT(Ventas[[#This Row],[Fecha_venta]],"dd")</f>
        <v>15</v>
      </c>
      <c r="I2647" t="str">
        <f>TEXT(Ventas[[#This Row],[Fecha_venta]],"m")</f>
        <v>7</v>
      </c>
      <c r="J2647" t="str">
        <f>TEXT(Ventas[[#This Row],[Fecha_venta]],"yyyy")</f>
        <v>2011</v>
      </c>
    </row>
    <row r="2648" spans="1:10" x14ac:dyDescent="0.25">
      <c r="A2648">
        <v>19</v>
      </c>
      <c r="B2648" s="1">
        <v>40746</v>
      </c>
      <c r="C2648">
        <v>0</v>
      </c>
      <c r="D2648">
        <v>79.37</v>
      </c>
      <c r="E2648">
        <v>3.972</v>
      </c>
      <c r="F2648">
        <v>135.87383869999999</v>
      </c>
      <c r="G2648">
        <v>1377119.45</v>
      </c>
      <c r="H2648" t="str">
        <f>TEXT(Ventas[[#This Row],[Fecha_venta]],"dd")</f>
        <v>22</v>
      </c>
      <c r="I2648" t="str">
        <f>TEXT(Ventas[[#This Row],[Fecha_venta]],"m")</f>
        <v>7</v>
      </c>
      <c r="J2648" t="str">
        <f>TEXT(Ventas[[#This Row],[Fecha_venta]],"yyyy")</f>
        <v>2011</v>
      </c>
    </row>
    <row r="2649" spans="1:10" x14ac:dyDescent="0.25">
      <c r="A2649">
        <v>19</v>
      </c>
      <c r="B2649" s="1">
        <v>40753</v>
      </c>
      <c r="C2649">
        <v>0</v>
      </c>
      <c r="D2649">
        <v>74.86</v>
      </c>
      <c r="E2649">
        <v>4.0039999999999996</v>
      </c>
      <c r="F2649">
        <v>135.96393549999999</v>
      </c>
      <c r="G2649">
        <v>1298775.8</v>
      </c>
      <c r="H2649" t="str">
        <f>TEXT(Ventas[[#This Row],[Fecha_venta]],"dd")</f>
        <v>29</v>
      </c>
      <c r="I2649" t="str">
        <f>TEXT(Ventas[[#This Row],[Fecha_venta]],"m")</f>
        <v>7</v>
      </c>
      <c r="J2649" t="str">
        <f>TEXT(Ventas[[#This Row],[Fecha_venta]],"yyyy")</f>
        <v>2011</v>
      </c>
    </row>
    <row r="2650" spans="1:10" x14ac:dyDescent="0.25">
      <c r="A2650">
        <v>19</v>
      </c>
      <c r="B2650" s="1">
        <v>40760</v>
      </c>
      <c r="C2650">
        <v>0</v>
      </c>
      <c r="D2650">
        <v>73.84</v>
      </c>
      <c r="E2650">
        <v>4.0199999999999996</v>
      </c>
      <c r="F2650">
        <v>136.05403229999999</v>
      </c>
      <c r="G2650">
        <v>1408968.55</v>
      </c>
      <c r="H2650" t="str">
        <f>TEXT(Ventas[[#This Row],[Fecha_venta]],"dd")</f>
        <v>05</v>
      </c>
      <c r="I2650" t="str">
        <f>TEXT(Ventas[[#This Row],[Fecha_venta]],"m")</f>
        <v>8</v>
      </c>
      <c r="J2650" t="str">
        <f>TEXT(Ventas[[#This Row],[Fecha_venta]],"yyyy")</f>
        <v>2011</v>
      </c>
    </row>
    <row r="2651" spans="1:10" x14ac:dyDescent="0.25">
      <c r="A2651">
        <v>19</v>
      </c>
      <c r="B2651" s="1">
        <v>40767</v>
      </c>
      <c r="C2651">
        <v>0</v>
      </c>
      <c r="D2651">
        <v>70.92</v>
      </c>
      <c r="E2651">
        <v>3.9950000000000001</v>
      </c>
      <c r="F2651">
        <v>136.14412899999999</v>
      </c>
      <c r="G2651">
        <v>1360969.45</v>
      </c>
      <c r="H2651" t="str">
        <f>TEXT(Ventas[[#This Row],[Fecha_venta]],"dd")</f>
        <v>12</v>
      </c>
      <c r="I2651" t="str">
        <f>TEXT(Ventas[[#This Row],[Fecha_venta]],"m")</f>
        <v>8</v>
      </c>
      <c r="J2651" t="str">
        <f>TEXT(Ventas[[#This Row],[Fecha_venta]],"yyyy")</f>
        <v>2011</v>
      </c>
    </row>
    <row r="2652" spans="1:10" x14ac:dyDescent="0.25">
      <c r="A2652">
        <v>19</v>
      </c>
      <c r="B2652" s="1">
        <v>40774</v>
      </c>
      <c r="C2652">
        <v>0</v>
      </c>
      <c r="D2652">
        <v>71.14</v>
      </c>
      <c r="E2652">
        <v>3.9420000000000002</v>
      </c>
      <c r="F2652">
        <v>136.18312900000001</v>
      </c>
      <c r="G2652">
        <v>1391792.69</v>
      </c>
      <c r="H2652" t="str">
        <f>TEXT(Ventas[[#This Row],[Fecha_venta]],"dd")</f>
        <v>19</v>
      </c>
      <c r="I2652" t="str">
        <f>TEXT(Ventas[[#This Row],[Fecha_venta]],"m")</f>
        <v>8</v>
      </c>
      <c r="J2652" t="str">
        <f>TEXT(Ventas[[#This Row],[Fecha_venta]],"yyyy")</f>
        <v>2011</v>
      </c>
    </row>
    <row r="2653" spans="1:10" x14ac:dyDescent="0.25">
      <c r="A2653">
        <v>19</v>
      </c>
      <c r="B2653" s="1">
        <v>40781</v>
      </c>
      <c r="C2653">
        <v>0</v>
      </c>
      <c r="D2653">
        <v>69.34</v>
      </c>
      <c r="E2653">
        <v>3.9060000000000001</v>
      </c>
      <c r="F2653">
        <v>136.21361289999999</v>
      </c>
      <c r="G2653">
        <v>1547729.24</v>
      </c>
      <c r="H2653" t="str">
        <f>TEXT(Ventas[[#This Row],[Fecha_venta]],"dd")</f>
        <v>26</v>
      </c>
      <c r="I2653" t="str">
        <f>TEXT(Ventas[[#This Row],[Fecha_venta]],"m")</f>
        <v>8</v>
      </c>
      <c r="J2653" t="str">
        <f>TEXT(Ventas[[#This Row],[Fecha_venta]],"yyyy")</f>
        <v>2011</v>
      </c>
    </row>
    <row r="2654" spans="1:10" x14ac:dyDescent="0.25">
      <c r="A2654">
        <v>19</v>
      </c>
      <c r="B2654" s="1">
        <v>40788</v>
      </c>
      <c r="C2654">
        <v>0</v>
      </c>
      <c r="D2654">
        <v>69.27</v>
      </c>
      <c r="E2654">
        <v>3.879</v>
      </c>
      <c r="F2654">
        <v>136.24409679999999</v>
      </c>
      <c r="G2654">
        <v>1609951.02</v>
      </c>
      <c r="H2654" t="str">
        <f>TEXT(Ventas[[#This Row],[Fecha_venta]],"dd")</f>
        <v>02</v>
      </c>
      <c r="I2654" t="str">
        <f>TEXT(Ventas[[#This Row],[Fecha_venta]],"m")</f>
        <v>9</v>
      </c>
      <c r="J2654" t="str">
        <f>TEXT(Ventas[[#This Row],[Fecha_venta]],"yyyy")</f>
        <v>2011</v>
      </c>
    </row>
    <row r="2655" spans="1:10" x14ac:dyDescent="0.25">
      <c r="A2655">
        <v>19</v>
      </c>
      <c r="B2655" s="1">
        <v>40795</v>
      </c>
      <c r="C2655">
        <v>1</v>
      </c>
      <c r="D2655">
        <v>68.28</v>
      </c>
      <c r="E2655">
        <v>3.93</v>
      </c>
      <c r="F2655">
        <v>136.27458060000001</v>
      </c>
      <c r="G2655">
        <v>1566712.79</v>
      </c>
      <c r="H2655" t="str">
        <f>TEXT(Ventas[[#This Row],[Fecha_venta]],"dd")</f>
        <v>09</v>
      </c>
      <c r="I2655" t="str">
        <f>TEXT(Ventas[[#This Row],[Fecha_venta]],"m")</f>
        <v>9</v>
      </c>
      <c r="J2655" t="str">
        <f>TEXT(Ventas[[#This Row],[Fecha_venta]],"yyyy")</f>
        <v>2011</v>
      </c>
    </row>
    <row r="2656" spans="1:10" x14ac:dyDescent="0.25">
      <c r="A2656">
        <v>19</v>
      </c>
      <c r="B2656" s="1">
        <v>40802</v>
      </c>
      <c r="C2656">
        <v>0</v>
      </c>
      <c r="D2656">
        <v>62.76</v>
      </c>
      <c r="E2656">
        <v>3.9369999999999998</v>
      </c>
      <c r="F2656">
        <v>136.31450000000001</v>
      </c>
      <c r="G2656">
        <v>1365633.53</v>
      </c>
      <c r="H2656" t="str">
        <f>TEXT(Ventas[[#This Row],[Fecha_venta]],"dd")</f>
        <v>16</v>
      </c>
      <c r="I2656" t="str">
        <f>TEXT(Ventas[[#This Row],[Fecha_venta]],"m")</f>
        <v>9</v>
      </c>
      <c r="J2656" t="str">
        <f>TEXT(Ventas[[#This Row],[Fecha_venta]],"yyyy")</f>
        <v>2011</v>
      </c>
    </row>
    <row r="2657" spans="1:10" x14ac:dyDescent="0.25">
      <c r="A2657">
        <v>19</v>
      </c>
      <c r="B2657" s="1">
        <v>40809</v>
      </c>
      <c r="C2657">
        <v>0</v>
      </c>
      <c r="D2657">
        <v>61.32</v>
      </c>
      <c r="E2657">
        <v>3.899</v>
      </c>
      <c r="F2657">
        <v>136.36699999999999</v>
      </c>
      <c r="G2657">
        <v>1300375.76</v>
      </c>
      <c r="H2657" t="str">
        <f>TEXT(Ventas[[#This Row],[Fecha_venta]],"dd")</f>
        <v>23</v>
      </c>
      <c r="I2657" t="str">
        <f>TEXT(Ventas[[#This Row],[Fecha_venta]],"m")</f>
        <v>9</v>
      </c>
      <c r="J2657" t="str">
        <f>TEXT(Ventas[[#This Row],[Fecha_venta]],"yyyy")</f>
        <v>2011</v>
      </c>
    </row>
    <row r="2658" spans="1:10" x14ac:dyDescent="0.25">
      <c r="A2658">
        <v>19</v>
      </c>
      <c r="B2658" s="1">
        <v>40816</v>
      </c>
      <c r="C2658">
        <v>0</v>
      </c>
      <c r="D2658">
        <v>64.989999999999995</v>
      </c>
      <c r="E2658">
        <v>3.8580000000000001</v>
      </c>
      <c r="F2658">
        <v>136.4195</v>
      </c>
      <c r="G2658">
        <v>1330757.22</v>
      </c>
      <c r="H2658" t="str">
        <f>TEXT(Ventas[[#This Row],[Fecha_venta]],"dd")</f>
        <v>30</v>
      </c>
      <c r="I2658" t="str">
        <f>TEXT(Ventas[[#This Row],[Fecha_venta]],"m")</f>
        <v>9</v>
      </c>
      <c r="J2658" t="str">
        <f>TEXT(Ventas[[#This Row],[Fecha_venta]],"yyyy")</f>
        <v>2011</v>
      </c>
    </row>
    <row r="2659" spans="1:10" x14ac:dyDescent="0.25">
      <c r="A2659">
        <v>19</v>
      </c>
      <c r="B2659" s="1">
        <v>40823</v>
      </c>
      <c r="C2659">
        <v>0</v>
      </c>
      <c r="D2659">
        <v>53.1</v>
      </c>
      <c r="E2659">
        <v>3.7749999999999999</v>
      </c>
      <c r="F2659">
        <v>136.47200000000001</v>
      </c>
      <c r="G2659">
        <v>1461718.87</v>
      </c>
      <c r="H2659" t="str">
        <f>TEXT(Ventas[[#This Row],[Fecha_venta]],"dd")</f>
        <v>07</v>
      </c>
      <c r="I2659" t="str">
        <f>TEXT(Ventas[[#This Row],[Fecha_venta]],"m")</f>
        <v>10</v>
      </c>
      <c r="J2659" t="str">
        <f>TEXT(Ventas[[#This Row],[Fecha_venta]],"yyyy")</f>
        <v>2011</v>
      </c>
    </row>
    <row r="2660" spans="1:10" x14ac:dyDescent="0.25">
      <c r="A2660">
        <v>19</v>
      </c>
      <c r="B2660" s="1">
        <v>40830</v>
      </c>
      <c r="C2660">
        <v>0</v>
      </c>
      <c r="D2660">
        <v>61.86</v>
      </c>
      <c r="E2660">
        <v>3.7440000000000002</v>
      </c>
      <c r="F2660">
        <v>136.51509680000001</v>
      </c>
      <c r="G2660">
        <v>1318905.53</v>
      </c>
      <c r="H2660" t="str">
        <f>TEXT(Ventas[[#This Row],[Fecha_venta]],"dd")</f>
        <v>14</v>
      </c>
      <c r="I2660" t="str">
        <f>TEXT(Ventas[[#This Row],[Fecha_venta]],"m")</f>
        <v>10</v>
      </c>
      <c r="J2660" t="str">
        <f>TEXT(Ventas[[#This Row],[Fecha_venta]],"yyyy")</f>
        <v>2011</v>
      </c>
    </row>
    <row r="2661" spans="1:10" x14ac:dyDescent="0.25">
      <c r="A2661">
        <v>19</v>
      </c>
      <c r="B2661" s="1">
        <v>40837</v>
      </c>
      <c r="C2661">
        <v>0</v>
      </c>
      <c r="D2661">
        <v>52.05</v>
      </c>
      <c r="E2661">
        <v>3.7570000000000001</v>
      </c>
      <c r="F2661">
        <v>136.5017742</v>
      </c>
      <c r="G2661">
        <v>1374863.1</v>
      </c>
      <c r="H2661" t="str">
        <f>TEXT(Ventas[[#This Row],[Fecha_venta]],"dd")</f>
        <v>21</v>
      </c>
      <c r="I2661" t="str">
        <f>TEXT(Ventas[[#This Row],[Fecha_venta]],"m")</f>
        <v>10</v>
      </c>
      <c r="J2661" t="str">
        <f>TEXT(Ventas[[#This Row],[Fecha_venta]],"yyyy")</f>
        <v>2011</v>
      </c>
    </row>
    <row r="2662" spans="1:10" x14ac:dyDescent="0.25">
      <c r="A2662">
        <v>19</v>
      </c>
      <c r="B2662" s="1">
        <v>40844</v>
      </c>
      <c r="C2662">
        <v>0</v>
      </c>
      <c r="D2662">
        <v>46.49</v>
      </c>
      <c r="E2662">
        <v>3.7570000000000001</v>
      </c>
      <c r="F2662">
        <v>136.48845159999999</v>
      </c>
      <c r="G2662">
        <v>1396612.36</v>
      </c>
      <c r="H2662" t="str">
        <f>TEXT(Ventas[[#This Row],[Fecha_venta]],"dd")</f>
        <v>28</v>
      </c>
      <c r="I2662" t="str">
        <f>TEXT(Ventas[[#This Row],[Fecha_venta]],"m")</f>
        <v>10</v>
      </c>
      <c r="J2662" t="str">
        <f>TEXT(Ventas[[#This Row],[Fecha_venta]],"yyyy")</f>
        <v>2011</v>
      </c>
    </row>
    <row r="2663" spans="1:10" x14ac:dyDescent="0.25">
      <c r="A2663">
        <v>19</v>
      </c>
      <c r="B2663" s="1">
        <v>40851</v>
      </c>
      <c r="C2663">
        <v>0</v>
      </c>
      <c r="D2663">
        <v>44.97</v>
      </c>
      <c r="E2663">
        <v>3.738</v>
      </c>
      <c r="F2663">
        <v>136.47512900000001</v>
      </c>
      <c r="G2663">
        <v>1480289.64</v>
      </c>
      <c r="H2663" t="str">
        <f>TEXT(Ventas[[#This Row],[Fecha_venta]],"dd")</f>
        <v>04</v>
      </c>
      <c r="I2663" t="str">
        <f>TEXT(Ventas[[#This Row],[Fecha_venta]],"m")</f>
        <v>11</v>
      </c>
      <c r="J2663" t="str">
        <f>TEXT(Ventas[[#This Row],[Fecha_venta]],"yyyy")</f>
        <v>2011</v>
      </c>
    </row>
    <row r="2664" spans="1:10" x14ac:dyDescent="0.25">
      <c r="A2664">
        <v>19</v>
      </c>
      <c r="B2664" s="1">
        <v>40858</v>
      </c>
      <c r="C2664">
        <v>0</v>
      </c>
      <c r="D2664">
        <v>48.22</v>
      </c>
      <c r="E2664">
        <v>3.7189999999999999</v>
      </c>
      <c r="F2664">
        <v>136.46180649999999</v>
      </c>
      <c r="G2664">
        <v>1502078.93</v>
      </c>
      <c r="H2664" t="str">
        <f>TEXT(Ventas[[#This Row],[Fecha_venta]],"dd")</f>
        <v>11</v>
      </c>
      <c r="I2664" t="str">
        <f>TEXT(Ventas[[#This Row],[Fecha_venta]],"m")</f>
        <v>11</v>
      </c>
      <c r="J2664" t="str">
        <f>TEXT(Ventas[[#This Row],[Fecha_venta]],"yyyy")</f>
        <v>2011</v>
      </c>
    </row>
    <row r="2665" spans="1:10" x14ac:dyDescent="0.25">
      <c r="A2665">
        <v>19</v>
      </c>
      <c r="B2665" s="1">
        <v>40865</v>
      </c>
      <c r="C2665">
        <v>0</v>
      </c>
      <c r="D2665">
        <v>48.21</v>
      </c>
      <c r="E2665">
        <v>3.7170000000000001</v>
      </c>
      <c r="F2665">
        <v>136.46666669999999</v>
      </c>
      <c r="G2665">
        <v>1411835.57</v>
      </c>
      <c r="H2665" t="str">
        <f>TEXT(Ventas[[#This Row],[Fecha_venta]],"dd")</f>
        <v>18</v>
      </c>
      <c r="I2665" t="str">
        <f>TEXT(Ventas[[#This Row],[Fecha_venta]],"m")</f>
        <v>11</v>
      </c>
      <c r="J2665" t="str">
        <f>TEXT(Ventas[[#This Row],[Fecha_venta]],"yyyy")</f>
        <v>2011</v>
      </c>
    </row>
    <row r="2666" spans="1:10" x14ac:dyDescent="0.25">
      <c r="A2666">
        <v>19</v>
      </c>
      <c r="B2666" s="1">
        <v>40872</v>
      </c>
      <c r="C2666">
        <v>1</v>
      </c>
      <c r="D2666">
        <v>42.75</v>
      </c>
      <c r="E2666">
        <v>3.6890000000000001</v>
      </c>
      <c r="F2666">
        <v>136.47880000000001</v>
      </c>
      <c r="G2666">
        <v>1974646.78</v>
      </c>
      <c r="H2666" t="str">
        <f>TEXT(Ventas[[#This Row],[Fecha_venta]],"dd")</f>
        <v>25</v>
      </c>
      <c r="I2666" t="str">
        <f>TEXT(Ventas[[#This Row],[Fecha_venta]],"m")</f>
        <v>11</v>
      </c>
      <c r="J2666" t="str">
        <f>TEXT(Ventas[[#This Row],[Fecha_venta]],"yyyy")</f>
        <v>2011</v>
      </c>
    </row>
    <row r="2667" spans="1:10" x14ac:dyDescent="0.25">
      <c r="A2667">
        <v>19</v>
      </c>
      <c r="B2667" s="1">
        <v>40879</v>
      </c>
      <c r="C2667">
        <v>0</v>
      </c>
      <c r="D2667">
        <v>45.67</v>
      </c>
      <c r="E2667">
        <v>3.6659999999999999</v>
      </c>
      <c r="F2667">
        <v>136.49093329999999</v>
      </c>
      <c r="G2667">
        <v>1484708.38</v>
      </c>
      <c r="H2667" t="str">
        <f>TEXT(Ventas[[#This Row],[Fecha_venta]],"dd")</f>
        <v>02</v>
      </c>
      <c r="I2667" t="str">
        <f>TEXT(Ventas[[#This Row],[Fecha_venta]],"m")</f>
        <v>12</v>
      </c>
      <c r="J2667" t="str">
        <f>TEXT(Ventas[[#This Row],[Fecha_venta]],"yyyy")</f>
        <v>2011</v>
      </c>
    </row>
    <row r="2668" spans="1:10" x14ac:dyDescent="0.25">
      <c r="A2668">
        <v>19</v>
      </c>
      <c r="B2668" s="1">
        <v>40886</v>
      </c>
      <c r="C2668">
        <v>0</v>
      </c>
      <c r="D2668">
        <v>40.18</v>
      </c>
      <c r="E2668">
        <v>3.6269999999999998</v>
      </c>
      <c r="F2668">
        <v>136.50306670000001</v>
      </c>
      <c r="G2668">
        <v>1713769.06</v>
      </c>
      <c r="H2668" t="str">
        <f>TEXT(Ventas[[#This Row],[Fecha_venta]],"dd")</f>
        <v>09</v>
      </c>
      <c r="I2668" t="str">
        <f>TEXT(Ventas[[#This Row],[Fecha_venta]],"m")</f>
        <v>12</v>
      </c>
      <c r="J2668" t="str">
        <f>TEXT(Ventas[[#This Row],[Fecha_venta]],"yyyy")</f>
        <v>2011</v>
      </c>
    </row>
    <row r="2669" spans="1:10" x14ac:dyDescent="0.25">
      <c r="A2669">
        <v>19</v>
      </c>
      <c r="B2669" s="1">
        <v>40893</v>
      </c>
      <c r="C2669">
        <v>0</v>
      </c>
      <c r="D2669">
        <v>37.07</v>
      </c>
      <c r="E2669">
        <v>3.6110000000000002</v>
      </c>
      <c r="F2669">
        <v>136.53351610000001</v>
      </c>
      <c r="G2669">
        <v>1852179.15</v>
      </c>
      <c r="H2669" t="str">
        <f>TEXT(Ventas[[#This Row],[Fecha_venta]],"dd")</f>
        <v>16</v>
      </c>
      <c r="I2669" t="str">
        <f>TEXT(Ventas[[#This Row],[Fecha_venta]],"m")</f>
        <v>12</v>
      </c>
      <c r="J2669" t="str">
        <f>TEXT(Ventas[[#This Row],[Fecha_venta]],"yyyy")</f>
        <v>2011</v>
      </c>
    </row>
    <row r="2670" spans="1:10" x14ac:dyDescent="0.25">
      <c r="A2670">
        <v>19</v>
      </c>
      <c r="B2670" s="1">
        <v>40900</v>
      </c>
      <c r="C2670">
        <v>0</v>
      </c>
      <c r="D2670">
        <v>36.090000000000003</v>
      </c>
      <c r="E2670">
        <v>3.5870000000000002</v>
      </c>
      <c r="F2670">
        <v>136.58838710000001</v>
      </c>
      <c r="G2670">
        <v>2480159.4700000002</v>
      </c>
      <c r="H2670" t="str">
        <f>TEXT(Ventas[[#This Row],[Fecha_venta]],"dd")</f>
        <v>23</v>
      </c>
      <c r="I2670" t="str">
        <f>TEXT(Ventas[[#This Row],[Fecha_venta]],"m")</f>
        <v>12</v>
      </c>
      <c r="J2670" t="str">
        <f>TEXT(Ventas[[#This Row],[Fecha_venta]],"yyyy")</f>
        <v>2011</v>
      </c>
    </row>
    <row r="2671" spans="1:10" x14ac:dyDescent="0.25">
      <c r="A2671">
        <v>19</v>
      </c>
      <c r="B2671" s="1">
        <v>40907</v>
      </c>
      <c r="C2671">
        <v>1</v>
      </c>
      <c r="D2671">
        <v>31.65</v>
      </c>
      <c r="E2671">
        <v>3.5659999999999998</v>
      </c>
      <c r="F2671">
        <v>136.6432581</v>
      </c>
      <c r="G2671">
        <v>1405168.06</v>
      </c>
      <c r="H2671" t="str">
        <f>TEXT(Ventas[[#This Row],[Fecha_venta]],"dd")</f>
        <v>30</v>
      </c>
      <c r="I2671" t="str">
        <f>TEXT(Ventas[[#This Row],[Fecha_venta]],"m")</f>
        <v>12</v>
      </c>
      <c r="J2671" t="str">
        <f>TEXT(Ventas[[#This Row],[Fecha_venta]],"yyyy")</f>
        <v>2011</v>
      </c>
    </row>
    <row r="2672" spans="1:10" x14ac:dyDescent="0.25">
      <c r="A2672">
        <v>19</v>
      </c>
      <c r="B2672" s="1">
        <v>40914</v>
      </c>
      <c r="C2672">
        <v>0</v>
      </c>
      <c r="D2672">
        <v>31.84</v>
      </c>
      <c r="E2672">
        <v>3.585</v>
      </c>
      <c r="F2672">
        <v>136.69812899999999</v>
      </c>
      <c r="G2672">
        <v>1266570.3999999999</v>
      </c>
      <c r="H2672" t="str">
        <f>TEXT(Ventas[[#This Row],[Fecha_venta]],"dd")</f>
        <v>06</v>
      </c>
      <c r="I2672" t="str">
        <f>TEXT(Ventas[[#This Row],[Fecha_venta]],"m")</f>
        <v>1</v>
      </c>
      <c r="J2672" t="str">
        <f>TEXT(Ventas[[#This Row],[Fecha_venta]],"yyyy")</f>
        <v>2012</v>
      </c>
    </row>
    <row r="2673" spans="1:10" x14ac:dyDescent="0.25">
      <c r="A2673">
        <v>19</v>
      </c>
      <c r="B2673" s="1">
        <v>40921</v>
      </c>
      <c r="C2673">
        <v>0</v>
      </c>
      <c r="D2673">
        <v>37.08</v>
      </c>
      <c r="E2673">
        <v>3.6659999999999999</v>
      </c>
      <c r="F2673">
        <v>136.75299999999999</v>
      </c>
      <c r="G2673">
        <v>1182198.7</v>
      </c>
      <c r="H2673" t="str">
        <f>TEXT(Ventas[[#This Row],[Fecha_venta]],"dd")</f>
        <v>13</v>
      </c>
      <c r="I2673" t="str">
        <f>TEXT(Ventas[[#This Row],[Fecha_venta]],"m")</f>
        <v>1</v>
      </c>
      <c r="J2673" t="str">
        <f>TEXT(Ventas[[#This Row],[Fecha_venta]],"yyyy")</f>
        <v>2012</v>
      </c>
    </row>
    <row r="2674" spans="1:10" x14ac:dyDescent="0.25">
      <c r="A2674">
        <v>19</v>
      </c>
      <c r="B2674" s="1">
        <v>40928</v>
      </c>
      <c r="C2674">
        <v>0</v>
      </c>
      <c r="D2674">
        <v>23.44</v>
      </c>
      <c r="E2674">
        <v>3.7050000000000001</v>
      </c>
      <c r="F2674">
        <v>136.85641939999999</v>
      </c>
      <c r="G2674">
        <v>1237104.73</v>
      </c>
      <c r="H2674" t="str">
        <f>TEXT(Ventas[[#This Row],[Fecha_venta]],"dd")</f>
        <v>20</v>
      </c>
      <c r="I2674" t="str">
        <f>TEXT(Ventas[[#This Row],[Fecha_venta]],"m")</f>
        <v>1</v>
      </c>
      <c r="J2674" t="str">
        <f>TEXT(Ventas[[#This Row],[Fecha_venta]],"yyyy")</f>
        <v>2012</v>
      </c>
    </row>
    <row r="2675" spans="1:10" x14ac:dyDescent="0.25">
      <c r="A2675">
        <v>19</v>
      </c>
      <c r="B2675" s="1">
        <v>40935</v>
      </c>
      <c r="C2675">
        <v>0</v>
      </c>
      <c r="D2675">
        <v>32.409999999999997</v>
      </c>
      <c r="E2675">
        <v>3.7370000000000001</v>
      </c>
      <c r="F2675">
        <v>136.95983870000001</v>
      </c>
      <c r="G2675">
        <v>1279623.26</v>
      </c>
      <c r="H2675" t="str">
        <f>TEXT(Ventas[[#This Row],[Fecha_venta]],"dd")</f>
        <v>27</v>
      </c>
      <c r="I2675" t="str">
        <f>TEXT(Ventas[[#This Row],[Fecha_venta]],"m")</f>
        <v>1</v>
      </c>
      <c r="J2675" t="str">
        <f>TEXT(Ventas[[#This Row],[Fecha_venta]],"yyyy")</f>
        <v>2012</v>
      </c>
    </row>
    <row r="2676" spans="1:10" x14ac:dyDescent="0.25">
      <c r="A2676">
        <v>19</v>
      </c>
      <c r="B2676" s="1">
        <v>40942</v>
      </c>
      <c r="C2676">
        <v>0</v>
      </c>
      <c r="D2676">
        <v>36.22</v>
      </c>
      <c r="E2676">
        <v>3.7959999999999998</v>
      </c>
      <c r="F2676">
        <v>137.06325810000001</v>
      </c>
      <c r="G2676">
        <v>1345311.65</v>
      </c>
      <c r="H2676" t="str">
        <f>TEXT(Ventas[[#This Row],[Fecha_venta]],"dd")</f>
        <v>03</v>
      </c>
      <c r="I2676" t="str">
        <f>TEXT(Ventas[[#This Row],[Fecha_venta]],"m")</f>
        <v>2</v>
      </c>
      <c r="J2676" t="str">
        <f>TEXT(Ventas[[#This Row],[Fecha_venta]],"yyyy")</f>
        <v>2012</v>
      </c>
    </row>
    <row r="2677" spans="1:10" x14ac:dyDescent="0.25">
      <c r="A2677">
        <v>19</v>
      </c>
      <c r="B2677" s="1">
        <v>40949</v>
      </c>
      <c r="C2677">
        <v>1</v>
      </c>
      <c r="D2677">
        <v>32.61</v>
      </c>
      <c r="E2677">
        <v>3.8260000000000001</v>
      </c>
      <c r="F2677">
        <v>137.1666774</v>
      </c>
      <c r="G2677">
        <v>1499496.67</v>
      </c>
      <c r="H2677" t="str">
        <f>TEXT(Ventas[[#This Row],[Fecha_venta]],"dd")</f>
        <v>10</v>
      </c>
      <c r="I2677" t="str">
        <f>TEXT(Ventas[[#This Row],[Fecha_venta]],"m")</f>
        <v>2</v>
      </c>
      <c r="J2677" t="str">
        <f>TEXT(Ventas[[#This Row],[Fecha_venta]],"yyyy")</f>
        <v>2012</v>
      </c>
    </row>
    <row r="2678" spans="1:10" x14ac:dyDescent="0.25">
      <c r="A2678">
        <v>19</v>
      </c>
      <c r="B2678" s="1">
        <v>40956</v>
      </c>
      <c r="C2678">
        <v>0</v>
      </c>
      <c r="D2678">
        <v>30.95</v>
      </c>
      <c r="E2678">
        <v>3.8740000000000001</v>
      </c>
      <c r="F2678">
        <v>137.25831030000001</v>
      </c>
      <c r="G2678">
        <v>1424720.27</v>
      </c>
      <c r="H2678" t="str">
        <f>TEXT(Ventas[[#This Row],[Fecha_venta]],"dd")</f>
        <v>17</v>
      </c>
      <c r="I2678" t="str">
        <f>TEXT(Ventas[[#This Row],[Fecha_venta]],"m")</f>
        <v>2</v>
      </c>
      <c r="J2678" t="str">
        <f>TEXT(Ventas[[#This Row],[Fecha_venta]],"yyyy")</f>
        <v>2012</v>
      </c>
    </row>
    <row r="2679" spans="1:10" x14ac:dyDescent="0.25">
      <c r="A2679">
        <v>19</v>
      </c>
      <c r="B2679" s="1">
        <v>40963</v>
      </c>
      <c r="C2679">
        <v>0</v>
      </c>
      <c r="D2679">
        <v>33.909999999999997</v>
      </c>
      <c r="E2679">
        <v>3.9169999999999998</v>
      </c>
      <c r="F2679">
        <v>137.34110340000001</v>
      </c>
      <c r="G2679">
        <v>1352470.09</v>
      </c>
      <c r="H2679" t="str">
        <f>TEXT(Ventas[[#This Row],[Fecha_venta]],"dd")</f>
        <v>24</v>
      </c>
      <c r="I2679" t="str">
        <f>TEXT(Ventas[[#This Row],[Fecha_venta]],"m")</f>
        <v>2</v>
      </c>
      <c r="J2679" t="str">
        <f>TEXT(Ventas[[#This Row],[Fecha_venta]],"yyyy")</f>
        <v>2012</v>
      </c>
    </row>
    <row r="2680" spans="1:10" x14ac:dyDescent="0.25">
      <c r="A2680">
        <v>19</v>
      </c>
      <c r="B2680" s="1">
        <v>40970</v>
      </c>
      <c r="C2680">
        <v>0</v>
      </c>
      <c r="D2680">
        <v>34.83</v>
      </c>
      <c r="E2680">
        <v>3.9830000000000001</v>
      </c>
      <c r="F2680">
        <v>137.42389660000001</v>
      </c>
      <c r="G2680">
        <v>1308977.05</v>
      </c>
      <c r="H2680" t="str">
        <f>TEXT(Ventas[[#This Row],[Fecha_venta]],"dd")</f>
        <v>02</v>
      </c>
      <c r="I2680" t="str">
        <f>TEXT(Ventas[[#This Row],[Fecha_venta]],"m")</f>
        <v>3</v>
      </c>
      <c r="J2680" t="str">
        <f>TEXT(Ventas[[#This Row],[Fecha_venta]],"yyyy")</f>
        <v>2012</v>
      </c>
    </row>
    <row r="2681" spans="1:10" x14ac:dyDescent="0.25">
      <c r="A2681">
        <v>19</v>
      </c>
      <c r="B2681" s="1">
        <v>40977</v>
      </c>
      <c r="C2681">
        <v>0</v>
      </c>
      <c r="D2681">
        <v>38.15</v>
      </c>
      <c r="E2681">
        <v>4.0209999999999999</v>
      </c>
      <c r="F2681">
        <v>137.50668970000001</v>
      </c>
      <c r="G2681">
        <v>1358816.46</v>
      </c>
      <c r="H2681" t="str">
        <f>TEXT(Ventas[[#This Row],[Fecha_venta]],"dd")</f>
        <v>09</v>
      </c>
      <c r="I2681" t="str">
        <f>TEXT(Ventas[[#This Row],[Fecha_venta]],"m")</f>
        <v>3</v>
      </c>
      <c r="J2681" t="str">
        <f>TEXT(Ventas[[#This Row],[Fecha_venta]],"yyyy")</f>
        <v>2012</v>
      </c>
    </row>
    <row r="2682" spans="1:10" x14ac:dyDescent="0.25">
      <c r="A2682">
        <v>19</v>
      </c>
      <c r="B2682" s="1">
        <v>40984</v>
      </c>
      <c r="C2682">
        <v>0</v>
      </c>
      <c r="D2682">
        <v>48.2</v>
      </c>
      <c r="E2682">
        <v>4.0209999999999999</v>
      </c>
      <c r="F2682">
        <v>137.58438709999999</v>
      </c>
      <c r="G2682">
        <v>1312849.1000000001</v>
      </c>
      <c r="H2682" t="str">
        <f>TEXT(Ventas[[#This Row],[Fecha_venta]],"dd")</f>
        <v>16</v>
      </c>
      <c r="I2682" t="str">
        <f>TEXT(Ventas[[#This Row],[Fecha_venta]],"m")</f>
        <v>3</v>
      </c>
      <c r="J2682" t="str">
        <f>TEXT(Ventas[[#This Row],[Fecha_venta]],"yyyy")</f>
        <v>2012</v>
      </c>
    </row>
    <row r="2683" spans="1:10" x14ac:dyDescent="0.25">
      <c r="A2683">
        <v>19</v>
      </c>
      <c r="B2683" s="1">
        <v>40991</v>
      </c>
      <c r="C2683">
        <v>0</v>
      </c>
      <c r="D2683">
        <v>56.72</v>
      </c>
      <c r="E2683">
        <v>4.0540000000000003</v>
      </c>
      <c r="F2683">
        <v>137.65529029999999</v>
      </c>
      <c r="G2683">
        <v>1342254.55</v>
      </c>
      <c r="H2683" t="str">
        <f>TEXT(Ventas[[#This Row],[Fecha_venta]],"dd")</f>
        <v>23</v>
      </c>
      <c r="I2683" t="str">
        <f>TEXT(Ventas[[#This Row],[Fecha_venta]],"m")</f>
        <v>3</v>
      </c>
      <c r="J2683" t="str">
        <f>TEXT(Ventas[[#This Row],[Fecha_venta]],"yyyy")</f>
        <v>2012</v>
      </c>
    </row>
    <row r="2684" spans="1:10" x14ac:dyDescent="0.25">
      <c r="A2684">
        <v>19</v>
      </c>
      <c r="B2684" s="1">
        <v>40998</v>
      </c>
      <c r="C2684">
        <v>0</v>
      </c>
      <c r="D2684">
        <v>43.47</v>
      </c>
      <c r="E2684">
        <v>4.0979999999999999</v>
      </c>
      <c r="F2684">
        <v>137.72619349999999</v>
      </c>
      <c r="G2684">
        <v>1327139.3500000001</v>
      </c>
      <c r="H2684" t="str">
        <f>TEXT(Ventas[[#This Row],[Fecha_venta]],"dd")</f>
        <v>30</v>
      </c>
      <c r="I2684" t="str">
        <f>TEXT(Ventas[[#This Row],[Fecha_venta]],"m")</f>
        <v>3</v>
      </c>
      <c r="J2684" t="str">
        <f>TEXT(Ventas[[#This Row],[Fecha_venta]],"yyyy")</f>
        <v>2012</v>
      </c>
    </row>
    <row r="2685" spans="1:10" x14ac:dyDescent="0.25">
      <c r="A2685">
        <v>19</v>
      </c>
      <c r="B2685" s="1">
        <v>41005</v>
      </c>
      <c r="C2685">
        <v>0</v>
      </c>
      <c r="D2685">
        <v>40.229999999999997</v>
      </c>
      <c r="E2685">
        <v>4.1429999999999998</v>
      </c>
      <c r="F2685">
        <v>137.79709679999999</v>
      </c>
      <c r="G2685">
        <v>1631737.68</v>
      </c>
      <c r="H2685" t="str">
        <f>TEXT(Ventas[[#This Row],[Fecha_venta]],"dd")</f>
        <v>06</v>
      </c>
      <c r="I2685" t="str">
        <f>TEXT(Ventas[[#This Row],[Fecha_venta]],"m")</f>
        <v>4</v>
      </c>
      <c r="J2685" t="str">
        <f>TEXT(Ventas[[#This Row],[Fecha_venta]],"yyyy")</f>
        <v>2012</v>
      </c>
    </row>
    <row r="2686" spans="1:10" x14ac:dyDescent="0.25">
      <c r="A2686">
        <v>19</v>
      </c>
      <c r="B2686" s="1">
        <v>41012</v>
      </c>
      <c r="C2686">
        <v>0</v>
      </c>
      <c r="D2686">
        <v>44.42</v>
      </c>
      <c r="E2686">
        <v>4.1870000000000003</v>
      </c>
      <c r="F2686">
        <v>137.86799999999999</v>
      </c>
      <c r="G2686">
        <v>1365098.46</v>
      </c>
      <c r="H2686" t="str">
        <f>TEXT(Ventas[[#This Row],[Fecha_venta]],"dd")</f>
        <v>13</v>
      </c>
      <c r="I2686" t="str">
        <f>TEXT(Ventas[[#This Row],[Fecha_venta]],"m")</f>
        <v>4</v>
      </c>
      <c r="J2686" t="str">
        <f>TEXT(Ventas[[#This Row],[Fecha_venta]],"yyyy")</f>
        <v>2012</v>
      </c>
    </row>
    <row r="2687" spans="1:10" x14ac:dyDescent="0.25">
      <c r="A2687">
        <v>19</v>
      </c>
      <c r="B2687" s="1">
        <v>41019</v>
      </c>
      <c r="C2687">
        <v>0</v>
      </c>
      <c r="D2687">
        <v>55.2</v>
      </c>
      <c r="E2687">
        <v>4.17</v>
      </c>
      <c r="F2687">
        <v>137.92306669999999</v>
      </c>
      <c r="G2687">
        <v>1255087.26</v>
      </c>
      <c r="H2687" t="str">
        <f>TEXT(Ventas[[#This Row],[Fecha_venta]],"dd")</f>
        <v>20</v>
      </c>
      <c r="I2687" t="str">
        <f>TEXT(Ventas[[#This Row],[Fecha_venta]],"m")</f>
        <v>4</v>
      </c>
      <c r="J2687" t="str">
        <f>TEXT(Ventas[[#This Row],[Fecha_venta]],"yyyy")</f>
        <v>2012</v>
      </c>
    </row>
    <row r="2688" spans="1:10" x14ac:dyDescent="0.25">
      <c r="A2688">
        <v>19</v>
      </c>
      <c r="B2688" s="1">
        <v>41026</v>
      </c>
      <c r="C2688">
        <v>0</v>
      </c>
      <c r="D2688">
        <v>42.45</v>
      </c>
      <c r="E2688">
        <v>4.1630000000000003</v>
      </c>
      <c r="F2688">
        <v>137.9781333</v>
      </c>
      <c r="G2688">
        <v>1285897.24</v>
      </c>
      <c r="H2688" t="str">
        <f>TEXT(Ventas[[#This Row],[Fecha_venta]],"dd")</f>
        <v>27</v>
      </c>
      <c r="I2688" t="str">
        <f>TEXT(Ventas[[#This Row],[Fecha_venta]],"m")</f>
        <v>4</v>
      </c>
      <c r="J2688" t="str">
        <f>TEXT(Ventas[[#This Row],[Fecha_venta]],"yyyy")</f>
        <v>2012</v>
      </c>
    </row>
    <row r="2689" spans="1:10" x14ac:dyDescent="0.25">
      <c r="A2689">
        <v>19</v>
      </c>
      <c r="B2689" s="1">
        <v>41033</v>
      </c>
      <c r="C2689">
        <v>0</v>
      </c>
      <c r="D2689">
        <v>50.76</v>
      </c>
      <c r="E2689">
        <v>4.1239999999999997</v>
      </c>
      <c r="F2689">
        <v>138.03319999999999</v>
      </c>
      <c r="G2689">
        <v>1405007.44</v>
      </c>
      <c r="H2689" t="str">
        <f>TEXT(Ventas[[#This Row],[Fecha_venta]],"dd")</f>
        <v>04</v>
      </c>
      <c r="I2689" t="str">
        <f>TEXT(Ventas[[#This Row],[Fecha_venta]],"m")</f>
        <v>5</v>
      </c>
      <c r="J2689" t="str">
        <f>TEXT(Ventas[[#This Row],[Fecha_venta]],"yyyy")</f>
        <v>2012</v>
      </c>
    </row>
    <row r="2690" spans="1:10" x14ac:dyDescent="0.25">
      <c r="A2690">
        <v>19</v>
      </c>
      <c r="B2690" s="1">
        <v>41040</v>
      </c>
      <c r="C2690">
        <v>0</v>
      </c>
      <c r="D2690">
        <v>55.33</v>
      </c>
      <c r="E2690">
        <v>4.0549999999999997</v>
      </c>
      <c r="F2690">
        <v>138.08826669999999</v>
      </c>
      <c r="G2690">
        <v>1442873.22</v>
      </c>
      <c r="H2690" t="str">
        <f>TEXT(Ventas[[#This Row],[Fecha_venta]],"dd")</f>
        <v>11</v>
      </c>
      <c r="I2690" t="str">
        <f>TEXT(Ventas[[#This Row],[Fecha_venta]],"m")</f>
        <v>5</v>
      </c>
      <c r="J2690" t="str">
        <f>TEXT(Ventas[[#This Row],[Fecha_venta]],"yyyy")</f>
        <v>2012</v>
      </c>
    </row>
    <row r="2691" spans="1:10" x14ac:dyDescent="0.25">
      <c r="A2691">
        <v>19</v>
      </c>
      <c r="B2691" s="1">
        <v>41047</v>
      </c>
      <c r="C2691">
        <v>0</v>
      </c>
      <c r="D2691">
        <v>58.81</v>
      </c>
      <c r="E2691">
        <v>4.0289999999999999</v>
      </c>
      <c r="F2691">
        <v>138.1065806</v>
      </c>
      <c r="G2691">
        <v>1366937.1</v>
      </c>
      <c r="H2691" t="str">
        <f>TEXT(Ventas[[#This Row],[Fecha_venta]],"dd")</f>
        <v>18</v>
      </c>
      <c r="I2691" t="str">
        <f>TEXT(Ventas[[#This Row],[Fecha_venta]],"m")</f>
        <v>5</v>
      </c>
      <c r="J2691" t="str">
        <f>TEXT(Ventas[[#This Row],[Fecha_venta]],"yyyy")</f>
        <v>2012</v>
      </c>
    </row>
    <row r="2692" spans="1:10" x14ac:dyDescent="0.25">
      <c r="A2692">
        <v>19</v>
      </c>
      <c r="B2692" s="1">
        <v>41054</v>
      </c>
      <c r="C2692">
        <v>0</v>
      </c>
      <c r="D2692">
        <v>67.790000000000006</v>
      </c>
      <c r="E2692">
        <v>3.9790000000000001</v>
      </c>
      <c r="F2692">
        <v>138.11019350000001</v>
      </c>
      <c r="G2692">
        <v>1485540.28</v>
      </c>
      <c r="H2692" t="str">
        <f>TEXT(Ventas[[#This Row],[Fecha_venta]],"dd")</f>
        <v>25</v>
      </c>
      <c r="I2692" t="str">
        <f>TEXT(Ventas[[#This Row],[Fecha_venta]],"m")</f>
        <v>5</v>
      </c>
      <c r="J2692" t="str">
        <f>TEXT(Ventas[[#This Row],[Fecha_venta]],"yyyy")</f>
        <v>2012</v>
      </c>
    </row>
    <row r="2693" spans="1:10" x14ac:dyDescent="0.25">
      <c r="A2693">
        <v>19</v>
      </c>
      <c r="B2693" s="1">
        <v>41061</v>
      </c>
      <c r="C2693">
        <v>0</v>
      </c>
      <c r="D2693">
        <v>68.180000000000007</v>
      </c>
      <c r="E2693">
        <v>3.915</v>
      </c>
      <c r="F2693">
        <v>138.11380650000001</v>
      </c>
      <c r="G2693">
        <v>1450733.29</v>
      </c>
      <c r="H2693" t="str">
        <f>TEXT(Ventas[[#This Row],[Fecha_venta]],"dd")</f>
        <v>01</v>
      </c>
      <c r="I2693" t="str">
        <f>TEXT(Ventas[[#This Row],[Fecha_venta]],"m")</f>
        <v>6</v>
      </c>
      <c r="J2693" t="str">
        <f>TEXT(Ventas[[#This Row],[Fecha_venta]],"yyyy")</f>
        <v>2012</v>
      </c>
    </row>
    <row r="2694" spans="1:10" x14ac:dyDescent="0.25">
      <c r="A2694">
        <v>19</v>
      </c>
      <c r="B2694" s="1">
        <v>41068</v>
      </c>
      <c r="C2694">
        <v>0</v>
      </c>
      <c r="D2694">
        <v>60.19</v>
      </c>
      <c r="E2694">
        <v>3.871</v>
      </c>
      <c r="F2694">
        <v>138.11741939999999</v>
      </c>
      <c r="G2694">
        <v>1390122.11</v>
      </c>
      <c r="H2694" t="str">
        <f>TEXT(Ventas[[#This Row],[Fecha_venta]],"dd")</f>
        <v>08</v>
      </c>
      <c r="I2694" t="str">
        <f>TEXT(Ventas[[#This Row],[Fecha_venta]],"m")</f>
        <v>6</v>
      </c>
      <c r="J2694" t="str">
        <f>TEXT(Ventas[[#This Row],[Fecha_venta]],"yyyy")</f>
        <v>2012</v>
      </c>
    </row>
    <row r="2695" spans="1:10" x14ac:dyDescent="0.25">
      <c r="A2695">
        <v>19</v>
      </c>
      <c r="B2695" s="1">
        <v>41075</v>
      </c>
      <c r="C2695">
        <v>0</v>
      </c>
      <c r="D2695">
        <v>68.19</v>
      </c>
      <c r="E2695">
        <v>3.786</v>
      </c>
      <c r="F2695">
        <v>138.12953329999999</v>
      </c>
      <c r="G2695">
        <v>1440263.15</v>
      </c>
      <c r="H2695" t="str">
        <f>TEXT(Ventas[[#This Row],[Fecha_venta]],"dd")</f>
        <v>15</v>
      </c>
      <c r="I2695" t="str">
        <f>TEXT(Ventas[[#This Row],[Fecha_venta]],"m")</f>
        <v>6</v>
      </c>
      <c r="J2695" t="str">
        <f>TEXT(Ventas[[#This Row],[Fecha_venta]],"yyyy")</f>
        <v>2012</v>
      </c>
    </row>
    <row r="2696" spans="1:10" x14ac:dyDescent="0.25">
      <c r="A2696">
        <v>19</v>
      </c>
      <c r="B2696" s="1">
        <v>41082</v>
      </c>
      <c r="C2696">
        <v>0</v>
      </c>
      <c r="D2696">
        <v>75.83</v>
      </c>
      <c r="E2696">
        <v>3.722</v>
      </c>
      <c r="F2696">
        <v>138.16290000000001</v>
      </c>
      <c r="G2696">
        <v>1468350.36</v>
      </c>
      <c r="H2696" t="str">
        <f>TEXT(Ventas[[#This Row],[Fecha_venta]],"dd")</f>
        <v>22</v>
      </c>
      <c r="I2696" t="str">
        <f>TEXT(Ventas[[#This Row],[Fecha_venta]],"m")</f>
        <v>6</v>
      </c>
      <c r="J2696" t="str">
        <f>TEXT(Ventas[[#This Row],[Fecha_venta]],"yyyy")</f>
        <v>2012</v>
      </c>
    </row>
    <row r="2697" spans="1:10" x14ac:dyDescent="0.25">
      <c r="A2697">
        <v>19</v>
      </c>
      <c r="B2697" s="1">
        <v>41089</v>
      </c>
      <c r="C2697">
        <v>0</v>
      </c>
      <c r="D2697">
        <v>69.92</v>
      </c>
      <c r="E2697">
        <v>3.6669999999999998</v>
      </c>
      <c r="F2697">
        <v>138.1962667</v>
      </c>
      <c r="G2697">
        <v>1379652.65</v>
      </c>
      <c r="H2697" t="str">
        <f>TEXT(Ventas[[#This Row],[Fecha_venta]],"dd")</f>
        <v>29</v>
      </c>
      <c r="I2697" t="str">
        <f>TEXT(Ventas[[#This Row],[Fecha_venta]],"m")</f>
        <v>6</v>
      </c>
      <c r="J2697" t="str">
        <f>TEXT(Ventas[[#This Row],[Fecha_venta]],"yyyy")</f>
        <v>2012</v>
      </c>
    </row>
    <row r="2698" spans="1:10" x14ac:dyDescent="0.25">
      <c r="A2698">
        <v>19</v>
      </c>
      <c r="B2698" s="1">
        <v>41096</v>
      </c>
      <c r="C2698">
        <v>0</v>
      </c>
      <c r="D2698">
        <v>76.069999999999993</v>
      </c>
      <c r="E2698">
        <v>3.6459999999999999</v>
      </c>
      <c r="F2698">
        <v>138.22963329999999</v>
      </c>
      <c r="G2698">
        <v>1557120.44</v>
      </c>
      <c r="H2698" t="str">
        <f>TEXT(Ventas[[#This Row],[Fecha_venta]],"dd")</f>
        <v>06</v>
      </c>
      <c r="I2698" t="str">
        <f>TEXT(Ventas[[#This Row],[Fecha_venta]],"m")</f>
        <v>7</v>
      </c>
      <c r="J2698" t="str">
        <f>TEXT(Ventas[[#This Row],[Fecha_venta]],"yyyy")</f>
        <v>2012</v>
      </c>
    </row>
    <row r="2699" spans="1:10" x14ac:dyDescent="0.25">
      <c r="A2699">
        <v>19</v>
      </c>
      <c r="B2699" s="1">
        <v>41103</v>
      </c>
      <c r="C2699">
        <v>0</v>
      </c>
      <c r="D2699">
        <v>73.17</v>
      </c>
      <c r="E2699">
        <v>3.6890000000000001</v>
      </c>
      <c r="F2699">
        <v>138.26300000000001</v>
      </c>
      <c r="G2699">
        <v>1321741.3500000001</v>
      </c>
      <c r="H2699" t="str">
        <f>TEXT(Ventas[[#This Row],[Fecha_venta]],"dd")</f>
        <v>13</v>
      </c>
      <c r="I2699" t="str">
        <f>TEXT(Ventas[[#This Row],[Fecha_venta]],"m")</f>
        <v>7</v>
      </c>
      <c r="J2699" t="str">
        <f>TEXT(Ventas[[#This Row],[Fecha_venta]],"yyyy")</f>
        <v>2012</v>
      </c>
    </row>
    <row r="2700" spans="1:10" x14ac:dyDescent="0.25">
      <c r="A2700">
        <v>19</v>
      </c>
      <c r="B2700" s="1">
        <v>41110</v>
      </c>
      <c r="C2700">
        <v>0</v>
      </c>
      <c r="D2700">
        <v>76.17</v>
      </c>
      <c r="E2700">
        <v>3.7320000000000002</v>
      </c>
      <c r="F2700">
        <v>138.2331935</v>
      </c>
      <c r="G2700">
        <v>1317672.92</v>
      </c>
      <c r="H2700" t="str">
        <f>TEXT(Ventas[[#This Row],[Fecha_venta]],"dd")</f>
        <v>20</v>
      </c>
      <c r="I2700" t="str">
        <f>TEXT(Ventas[[#This Row],[Fecha_venta]],"m")</f>
        <v>7</v>
      </c>
      <c r="J2700" t="str">
        <f>TEXT(Ventas[[#This Row],[Fecha_venta]],"yyyy")</f>
        <v>2012</v>
      </c>
    </row>
    <row r="2701" spans="1:10" x14ac:dyDescent="0.25">
      <c r="A2701">
        <v>19</v>
      </c>
      <c r="B2701" s="1">
        <v>41117</v>
      </c>
      <c r="C2701">
        <v>0</v>
      </c>
      <c r="D2701">
        <v>74.430000000000007</v>
      </c>
      <c r="E2701">
        <v>3.82</v>
      </c>
      <c r="F2701">
        <v>138.20338709999999</v>
      </c>
      <c r="G2701">
        <v>1248915.43</v>
      </c>
      <c r="H2701" t="str">
        <f>TEXT(Ventas[[#This Row],[Fecha_venta]],"dd")</f>
        <v>27</v>
      </c>
      <c r="I2701" t="str">
        <f>TEXT(Ventas[[#This Row],[Fecha_venta]],"m")</f>
        <v>7</v>
      </c>
      <c r="J2701" t="str">
        <f>TEXT(Ventas[[#This Row],[Fecha_venta]],"yyyy")</f>
        <v>2012</v>
      </c>
    </row>
    <row r="2702" spans="1:10" x14ac:dyDescent="0.25">
      <c r="A2702">
        <v>19</v>
      </c>
      <c r="B2702" s="1">
        <v>41124</v>
      </c>
      <c r="C2702">
        <v>0</v>
      </c>
      <c r="D2702">
        <v>73.41</v>
      </c>
      <c r="E2702">
        <v>3.819</v>
      </c>
      <c r="F2702">
        <v>138.17358060000001</v>
      </c>
      <c r="G2702">
        <v>1342123.78</v>
      </c>
      <c r="H2702" t="str">
        <f>TEXT(Ventas[[#This Row],[Fecha_venta]],"dd")</f>
        <v>03</v>
      </c>
      <c r="I2702" t="str">
        <f>TEXT(Ventas[[#This Row],[Fecha_venta]],"m")</f>
        <v>8</v>
      </c>
      <c r="J2702" t="str">
        <f>TEXT(Ventas[[#This Row],[Fecha_venta]],"yyyy")</f>
        <v>2012</v>
      </c>
    </row>
    <row r="2703" spans="1:10" x14ac:dyDescent="0.25">
      <c r="A2703">
        <v>19</v>
      </c>
      <c r="B2703" s="1">
        <v>41131</v>
      </c>
      <c r="C2703">
        <v>0</v>
      </c>
      <c r="D2703">
        <v>74.45</v>
      </c>
      <c r="E2703">
        <v>3.863</v>
      </c>
      <c r="F2703">
        <v>138.1437742</v>
      </c>
      <c r="G2703">
        <v>1408907.89</v>
      </c>
      <c r="H2703" t="str">
        <f>TEXT(Ventas[[#This Row],[Fecha_venta]],"dd")</f>
        <v>10</v>
      </c>
      <c r="I2703" t="str">
        <f>TEXT(Ventas[[#This Row],[Fecha_venta]],"m")</f>
        <v>8</v>
      </c>
      <c r="J2703" t="str">
        <f>TEXT(Ventas[[#This Row],[Fecha_venta]],"yyyy")</f>
        <v>2012</v>
      </c>
    </row>
    <row r="2704" spans="1:10" x14ac:dyDescent="0.25">
      <c r="A2704">
        <v>19</v>
      </c>
      <c r="B2704" s="1">
        <v>41138</v>
      </c>
      <c r="C2704">
        <v>0</v>
      </c>
      <c r="D2704">
        <v>69.83</v>
      </c>
      <c r="E2704">
        <v>3.9630000000000001</v>
      </c>
      <c r="F2704">
        <v>138.18570969999999</v>
      </c>
      <c r="G2704">
        <v>1375101.26</v>
      </c>
      <c r="H2704" t="str">
        <f>TEXT(Ventas[[#This Row],[Fecha_venta]],"dd")</f>
        <v>17</v>
      </c>
      <c r="I2704" t="str">
        <f>TEXT(Ventas[[#This Row],[Fecha_venta]],"m")</f>
        <v>8</v>
      </c>
      <c r="J2704" t="str">
        <f>TEXT(Ventas[[#This Row],[Fecha_venta]],"yyyy")</f>
        <v>2012</v>
      </c>
    </row>
    <row r="2705" spans="1:10" x14ac:dyDescent="0.25">
      <c r="A2705">
        <v>19</v>
      </c>
      <c r="B2705" s="1">
        <v>41145</v>
      </c>
      <c r="C2705">
        <v>0</v>
      </c>
      <c r="D2705">
        <v>66.66</v>
      </c>
      <c r="E2705">
        <v>3.9969999999999999</v>
      </c>
      <c r="F2705">
        <v>138.2814516</v>
      </c>
      <c r="G2705">
        <v>1544653.37</v>
      </c>
      <c r="H2705" t="str">
        <f>TEXT(Ventas[[#This Row],[Fecha_venta]],"dd")</f>
        <v>24</v>
      </c>
      <c r="I2705" t="str">
        <f>TEXT(Ventas[[#This Row],[Fecha_venta]],"m")</f>
        <v>8</v>
      </c>
      <c r="J2705" t="str">
        <f>TEXT(Ventas[[#This Row],[Fecha_venta]],"yyyy")</f>
        <v>2012</v>
      </c>
    </row>
    <row r="2706" spans="1:10" x14ac:dyDescent="0.25">
      <c r="A2706">
        <v>19</v>
      </c>
      <c r="B2706" s="1">
        <v>41152</v>
      </c>
      <c r="C2706">
        <v>0</v>
      </c>
      <c r="D2706">
        <v>71.849999999999994</v>
      </c>
      <c r="E2706">
        <v>4.0259999999999998</v>
      </c>
      <c r="F2706">
        <v>138.3771935</v>
      </c>
      <c r="G2706">
        <v>1542719.87</v>
      </c>
      <c r="H2706" t="str">
        <f>TEXT(Ventas[[#This Row],[Fecha_venta]],"dd")</f>
        <v>31</v>
      </c>
      <c r="I2706" t="str">
        <f>TEXT(Ventas[[#This Row],[Fecha_venta]],"m")</f>
        <v>8</v>
      </c>
      <c r="J2706" t="str">
        <f>TEXT(Ventas[[#This Row],[Fecha_venta]],"yyyy")</f>
        <v>2012</v>
      </c>
    </row>
    <row r="2707" spans="1:10" x14ac:dyDescent="0.25">
      <c r="A2707">
        <v>19</v>
      </c>
      <c r="B2707" s="1">
        <v>41159</v>
      </c>
      <c r="C2707">
        <v>1</v>
      </c>
      <c r="D2707">
        <v>72.2</v>
      </c>
      <c r="E2707">
        <v>4.0759999999999996</v>
      </c>
      <c r="F2707">
        <v>138.47293550000001</v>
      </c>
      <c r="G2707">
        <v>1497073.82</v>
      </c>
      <c r="H2707" t="str">
        <f>TEXT(Ventas[[#This Row],[Fecha_venta]],"dd")</f>
        <v>07</v>
      </c>
      <c r="I2707" t="str">
        <f>TEXT(Ventas[[#This Row],[Fecha_venta]],"m")</f>
        <v>9</v>
      </c>
      <c r="J2707" t="str">
        <f>TEXT(Ventas[[#This Row],[Fecha_venta]],"yyyy")</f>
        <v>2012</v>
      </c>
    </row>
    <row r="2708" spans="1:10" x14ac:dyDescent="0.25">
      <c r="A2708">
        <v>19</v>
      </c>
      <c r="B2708" s="1">
        <v>41166</v>
      </c>
      <c r="C2708">
        <v>0</v>
      </c>
      <c r="D2708">
        <v>65.08</v>
      </c>
      <c r="E2708">
        <v>4.0880000000000001</v>
      </c>
      <c r="F2708">
        <v>138.56729999999999</v>
      </c>
      <c r="G2708">
        <v>1370653.41</v>
      </c>
      <c r="H2708" t="str">
        <f>TEXT(Ventas[[#This Row],[Fecha_venta]],"dd")</f>
        <v>14</v>
      </c>
      <c r="I2708" t="str">
        <f>TEXT(Ventas[[#This Row],[Fecha_venta]],"m")</f>
        <v>9</v>
      </c>
      <c r="J2708" t="str">
        <f>TEXT(Ventas[[#This Row],[Fecha_venta]],"yyyy")</f>
        <v>2012</v>
      </c>
    </row>
    <row r="2709" spans="1:10" x14ac:dyDescent="0.25">
      <c r="A2709">
        <v>19</v>
      </c>
      <c r="B2709" s="1">
        <v>41173</v>
      </c>
      <c r="C2709">
        <v>0</v>
      </c>
      <c r="D2709">
        <v>60.62</v>
      </c>
      <c r="E2709">
        <v>4.2030000000000003</v>
      </c>
      <c r="F2709">
        <v>138.6534</v>
      </c>
      <c r="G2709">
        <v>1338572.29</v>
      </c>
      <c r="H2709" t="str">
        <f>TEXT(Ventas[[#This Row],[Fecha_venta]],"dd")</f>
        <v>21</v>
      </c>
      <c r="I2709" t="str">
        <f>TEXT(Ventas[[#This Row],[Fecha_venta]],"m")</f>
        <v>9</v>
      </c>
      <c r="J2709" t="str">
        <f>TEXT(Ventas[[#This Row],[Fecha_venta]],"yyyy")</f>
        <v>2012</v>
      </c>
    </row>
    <row r="2710" spans="1:10" x14ac:dyDescent="0.25">
      <c r="A2710">
        <v>19</v>
      </c>
      <c r="B2710" s="1">
        <v>41180</v>
      </c>
      <c r="C2710">
        <v>0</v>
      </c>
      <c r="D2710">
        <v>56.81</v>
      </c>
      <c r="E2710">
        <v>4.1580000000000004</v>
      </c>
      <c r="F2710">
        <v>138.73949999999999</v>
      </c>
      <c r="G2710">
        <v>1338299.02</v>
      </c>
      <c r="H2710" t="str">
        <f>TEXT(Ventas[[#This Row],[Fecha_venta]],"dd")</f>
        <v>28</v>
      </c>
      <c r="I2710" t="str">
        <f>TEXT(Ventas[[#This Row],[Fecha_venta]],"m")</f>
        <v>9</v>
      </c>
      <c r="J2710" t="str">
        <f>TEXT(Ventas[[#This Row],[Fecha_venta]],"yyyy")</f>
        <v>2012</v>
      </c>
    </row>
    <row r="2711" spans="1:10" x14ac:dyDescent="0.25">
      <c r="A2711">
        <v>19</v>
      </c>
      <c r="B2711" s="1">
        <v>41187</v>
      </c>
      <c r="C2711">
        <v>0</v>
      </c>
      <c r="D2711">
        <v>59.86</v>
      </c>
      <c r="E2711">
        <v>4.1509999999999998</v>
      </c>
      <c r="F2711">
        <v>138.82560000000001</v>
      </c>
      <c r="G2711">
        <v>1408016.1</v>
      </c>
      <c r="H2711" t="str">
        <f>TEXT(Ventas[[#This Row],[Fecha_venta]],"dd")</f>
        <v>05</v>
      </c>
      <c r="I2711" t="str">
        <f>TEXT(Ventas[[#This Row],[Fecha_venta]],"m")</f>
        <v>10</v>
      </c>
      <c r="J2711" t="str">
        <f>TEXT(Ventas[[#This Row],[Fecha_venta]],"yyyy")</f>
        <v>2012</v>
      </c>
    </row>
    <row r="2712" spans="1:10" x14ac:dyDescent="0.25">
      <c r="A2712">
        <v>19</v>
      </c>
      <c r="B2712" s="1">
        <v>41194</v>
      </c>
      <c r="C2712">
        <v>0</v>
      </c>
      <c r="D2712">
        <v>48.29</v>
      </c>
      <c r="E2712">
        <v>4.1859999999999999</v>
      </c>
      <c r="F2712">
        <v>138.9117</v>
      </c>
      <c r="G2712">
        <v>1352809.5</v>
      </c>
      <c r="H2712" t="str">
        <f>TEXT(Ventas[[#This Row],[Fecha_venta]],"dd")</f>
        <v>12</v>
      </c>
      <c r="I2712" t="str">
        <f>TEXT(Ventas[[#This Row],[Fecha_venta]],"m")</f>
        <v>10</v>
      </c>
      <c r="J2712" t="str">
        <f>TEXT(Ventas[[#This Row],[Fecha_venta]],"yyyy")</f>
        <v>2012</v>
      </c>
    </row>
    <row r="2713" spans="1:10" x14ac:dyDescent="0.25">
      <c r="A2713">
        <v>19</v>
      </c>
      <c r="B2713" s="1">
        <v>41201</v>
      </c>
      <c r="C2713">
        <v>0</v>
      </c>
      <c r="D2713">
        <v>53.44</v>
      </c>
      <c r="E2713">
        <v>4.1529999999999996</v>
      </c>
      <c r="F2713">
        <v>138.83361289999999</v>
      </c>
      <c r="G2713">
        <v>1321102.3500000001</v>
      </c>
      <c r="H2713" t="str">
        <f>TEXT(Ventas[[#This Row],[Fecha_venta]],"dd")</f>
        <v>19</v>
      </c>
      <c r="I2713" t="str">
        <f>TEXT(Ventas[[#This Row],[Fecha_venta]],"m")</f>
        <v>10</v>
      </c>
      <c r="J2713" t="str">
        <f>TEXT(Ventas[[#This Row],[Fecha_venta]],"yyyy")</f>
        <v>2012</v>
      </c>
    </row>
    <row r="2714" spans="1:10" x14ac:dyDescent="0.25">
      <c r="A2714">
        <v>19</v>
      </c>
      <c r="B2714" s="1">
        <v>41208</v>
      </c>
      <c r="C2714">
        <v>0</v>
      </c>
      <c r="D2714">
        <v>56.49</v>
      </c>
      <c r="E2714">
        <v>4.0709999999999997</v>
      </c>
      <c r="F2714">
        <v>138.72816130000001</v>
      </c>
      <c r="G2714">
        <v>1322117.96</v>
      </c>
      <c r="H2714" t="str">
        <f>TEXT(Ventas[[#This Row],[Fecha_venta]],"dd")</f>
        <v>26</v>
      </c>
      <c r="I2714" t="str">
        <f>TEXT(Ventas[[#This Row],[Fecha_venta]],"m")</f>
        <v>10</v>
      </c>
      <c r="J2714" t="str">
        <f>TEXT(Ventas[[#This Row],[Fecha_venta]],"yyyy")</f>
        <v>2012</v>
      </c>
    </row>
    <row r="2715" spans="1:10" x14ac:dyDescent="0.25">
      <c r="A2715">
        <v>20</v>
      </c>
      <c r="B2715" s="1">
        <v>40214</v>
      </c>
      <c r="C2715">
        <v>0</v>
      </c>
      <c r="D2715">
        <v>25.92</v>
      </c>
      <c r="E2715">
        <v>2.7839999999999998</v>
      </c>
      <c r="F2715">
        <v>204.24719350000001</v>
      </c>
      <c r="G2715">
        <v>2401395.4700000002</v>
      </c>
      <c r="H2715" t="str">
        <f>TEXT(Ventas[[#This Row],[Fecha_venta]],"dd")</f>
        <v>05</v>
      </c>
      <c r="I2715" t="str">
        <f>TEXT(Ventas[[#This Row],[Fecha_venta]],"m")</f>
        <v>2</v>
      </c>
      <c r="J2715" t="str">
        <f>TEXT(Ventas[[#This Row],[Fecha_venta]],"yyyy")</f>
        <v>2010</v>
      </c>
    </row>
    <row r="2716" spans="1:10" x14ac:dyDescent="0.25">
      <c r="A2716">
        <v>20</v>
      </c>
      <c r="B2716" s="1">
        <v>40221</v>
      </c>
      <c r="C2716">
        <v>1</v>
      </c>
      <c r="D2716">
        <v>22.12</v>
      </c>
      <c r="E2716">
        <v>2.7730000000000001</v>
      </c>
      <c r="F2716">
        <v>204.3857472</v>
      </c>
      <c r="G2716">
        <v>2109107.9</v>
      </c>
      <c r="H2716" t="str">
        <f>TEXT(Ventas[[#This Row],[Fecha_venta]],"dd")</f>
        <v>12</v>
      </c>
      <c r="I2716" t="str">
        <f>TEXT(Ventas[[#This Row],[Fecha_venta]],"m")</f>
        <v>2</v>
      </c>
      <c r="J2716" t="str">
        <f>TEXT(Ventas[[#This Row],[Fecha_venta]],"yyyy")</f>
        <v>2010</v>
      </c>
    </row>
    <row r="2717" spans="1:10" x14ac:dyDescent="0.25">
      <c r="A2717">
        <v>20</v>
      </c>
      <c r="B2717" s="1">
        <v>40228</v>
      </c>
      <c r="C2717">
        <v>0</v>
      </c>
      <c r="D2717">
        <v>25.43</v>
      </c>
      <c r="E2717">
        <v>2.7450000000000001</v>
      </c>
      <c r="F2717">
        <v>204.4321004</v>
      </c>
      <c r="G2717">
        <v>2161549.7599999998</v>
      </c>
      <c r="H2717" t="str">
        <f>TEXT(Ventas[[#This Row],[Fecha_venta]],"dd")</f>
        <v>19</v>
      </c>
      <c r="I2717" t="str">
        <f>TEXT(Ventas[[#This Row],[Fecha_venta]],"m")</f>
        <v>2</v>
      </c>
      <c r="J2717" t="str">
        <f>TEXT(Ventas[[#This Row],[Fecha_venta]],"yyyy")</f>
        <v>2010</v>
      </c>
    </row>
    <row r="2718" spans="1:10" x14ac:dyDescent="0.25">
      <c r="A2718">
        <v>20</v>
      </c>
      <c r="B2718" s="1">
        <v>40235</v>
      </c>
      <c r="C2718">
        <v>0</v>
      </c>
      <c r="D2718">
        <v>32.32</v>
      </c>
      <c r="E2718">
        <v>2.754</v>
      </c>
      <c r="F2718">
        <v>204.46308690000001</v>
      </c>
      <c r="G2718">
        <v>1898193.95</v>
      </c>
      <c r="H2718" t="str">
        <f>TEXT(Ventas[[#This Row],[Fecha_venta]],"dd")</f>
        <v>26</v>
      </c>
      <c r="I2718" t="str">
        <f>TEXT(Ventas[[#This Row],[Fecha_venta]],"m")</f>
        <v>2</v>
      </c>
      <c r="J2718" t="str">
        <f>TEXT(Ventas[[#This Row],[Fecha_venta]],"yyyy")</f>
        <v>2010</v>
      </c>
    </row>
    <row r="2719" spans="1:10" x14ac:dyDescent="0.25">
      <c r="A2719">
        <v>20</v>
      </c>
      <c r="B2719" s="1">
        <v>40242</v>
      </c>
      <c r="C2719">
        <v>0</v>
      </c>
      <c r="D2719">
        <v>31.75</v>
      </c>
      <c r="E2719">
        <v>2.7770000000000001</v>
      </c>
      <c r="F2719">
        <v>204.49407339999999</v>
      </c>
      <c r="G2719">
        <v>2119213.7200000002</v>
      </c>
      <c r="H2719" t="str">
        <f>TEXT(Ventas[[#This Row],[Fecha_venta]],"dd")</f>
        <v>05</v>
      </c>
      <c r="I2719" t="str">
        <f>TEXT(Ventas[[#This Row],[Fecha_venta]],"m")</f>
        <v>3</v>
      </c>
      <c r="J2719" t="str">
        <f>TEXT(Ventas[[#This Row],[Fecha_venta]],"yyyy")</f>
        <v>2010</v>
      </c>
    </row>
    <row r="2720" spans="1:10" x14ac:dyDescent="0.25">
      <c r="A2720">
        <v>20</v>
      </c>
      <c r="B2720" s="1">
        <v>40249</v>
      </c>
      <c r="C2720">
        <v>0</v>
      </c>
      <c r="D2720">
        <v>43.82</v>
      </c>
      <c r="E2720">
        <v>2.8180000000000001</v>
      </c>
      <c r="F2720">
        <v>204.52505980000001</v>
      </c>
      <c r="G2720">
        <v>2010974.84</v>
      </c>
      <c r="H2720" t="str">
        <f>TEXT(Ventas[[#This Row],[Fecha_venta]],"dd")</f>
        <v>12</v>
      </c>
      <c r="I2720" t="str">
        <f>TEXT(Ventas[[#This Row],[Fecha_venta]],"m")</f>
        <v>3</v>
      </c>
      <c r="J2720" t="str">
        <f>TEXT(Ventas[[#This Row],[Fecha_venta]],"yyyy")</f>
        <v>2010</v>
      </c>
    </row>
    <row r="2721" spans="1:10" x14ac:dyDescent="0.25">
      <c r="A2721">
        <v>20</v>
      </c>
      <c r="B2721" s="1">
        <v>40256</v>
      </c>
      <c r="C2721">
        <v>0</v>
      </c>
      <c r="D2721">
        <v>47.32</v>
      </c>
      <c r="E2721">
        <v>2.8439999999999999</v>
      </c>
      <c r="F2721">
        <v>204.3782258</v>
      </c>
      <c r="G2721">
        <v>1951848.43</v>
      </c>
      <c r="H2721" t="str">
        <f>TEXT(Ventas[[#This Row],[Fecha_venta]],"dd")</f>
        <v>19</v>
      </c>
      <c r="I2721" t="str">
        <f>TEXT(Ventas[[#This Row],[Fecha_venta]],"m")</f>
        <v>3</v>
      </c>
      <c r="J2721" t="str">
        <f>TEXT(Ventas[[#This Row],[Fecha_venta]],"yyyy")</f>
        <v>2010</v>
      </c>
    </row>
    <row r="2722" spans="1:10" x14ac:dyDescent="0.25">
      <c r="A2722">
        <v>20</v>
      </c>
      <c r="B2722" s="1">
        <v>40263</v>
      </c>
      <c r="C2722">
        <v>0</v>
      </c>
      <c r="D2722">
        <v>50.49</v>
      </c>
      <c r="E2722">
        <v>2.8540000000000001</v>
      </c>
      <c r="F2722">
        <v>204.20175499999999</v>
      </c>
      <c r="G2722">
        <v>1894742.95</v>
      </c>
      <c r="H2722" t="str">
        <f>TEXT(Ventas[[#This Row],[Fecha_venta]],"dd")</f>
        <v>26</v>
      </c>
      <c r="I2722" t="str">
        <f>TEXT(Ventas[[#This Row],[Fecha_venta]],"m")</f>
        <v>3</v>
      </c>
      <c r="J2722" t="str">
        <f>TEXT(Ventas[[#This Row],[Fecha_venta]],"yyyy")</f>
        <v>2010</v>
      </c>
    </row>
    <row r="2723" spans="1:10" x14ac:dyDescent="0.25">
      <c r="A2723">
        <v>20</v>
      </c>
      <c r="B2723" s="1">
        <v>40270</v>
      </c>
      <c r="C2723">
        <v>0</v>
      </c>
      <c r="D2723">
        <v>51</v>
      </c>
      <c r="E2723">
        <v>2.85</v>
      </c>
      <c r="F2723">
        <v>204.02528419999999</v>
      </c>
      <c r="G2723">
        <v>2405395.2200000002</v>
      </c>
      <c r="H2723" t="str">
        <f>TEXT(Ventas[[#This Row],[Fecha_venta]],"dd")</f>
        <v>02</v>
      </c>
      <c r="I2723" t="str">
        <f>TEXT(Ventas[[#This Row],[Fecha_venta]],"m")</f>
        <v>4</v>
      </c>
      <c r="J2723" t="str">
        <f>TEXT(Ventas[[#This Row],[Fecha_venta]],"yyyy")</f>
        <v>2010</v>
      </c>
    </row>
    <row r="2724" spans="1:10" x14ac:dyDescent="0.25">
      <c r="A2724">
        <v>20</v>
      </c>
      <c r="B2724" s="1">
        <v>40277</v>
      </c>
      <c r="C2724">
        <v>0</v>
      </c>
      <c r="D2724">
        <v>65.099999999999994</v>
      </c>
      <c r="E2724">
        <v>2.8690000000000002</v>
      </c>
      <c r="F2724">
        <v>203.84881340000001</v>
      </c>
      <c r="G2724">
        <v>2007796.26</v>
      </c>
      <c r="H2724" t="str">
        <f>TEXT(Ventas[[#This Row],[Fecha_venta]],"dd")</f>
        <v>09</v>
      </c>
      <c r="I2724" t="str">
        <f>TEXT(Ventas[[#This Row],[Fecha_venta]],"m")</f>
        <v>4</v>
      </c>
      <c r="J2724" t="str">
        <f>TEXT(Ventas[[#This Row],[Fecha_venta]],"yyyy")</f>
        <v>2010</v>
      </c>
    </row>
    <row r="2725" spans="1:10" x14ac:dyDescent="0.25">
      <c r="A2725">
        <v>20</v>
      </c>
      <c r="B2725" s="1">
        <v>40284</v>
      </c>
      <c r="C2725">
        <v>0</v>
      </c>
      <c r="D2725">
        <v>55.43</v>
      </c>
      <c r="E2725">
        <v>2.899</v>
      </c>
      <c r="F2725">
        <v>203.7307486</v>
      </c>
      <c r="G2725">
        <v>1985784.59</v>
      </c>
      <c r="H2725" t="str">
        <f>TEXT(Ventas[[#This Row],[Fecha_venta]],"dd")</f>
        <v>16</v>
      </c>
      <c r="I2725" t="str">
        <f>TEXT(Ventas[[#This Row],[Fecha_venta]],"m")</f>
        <v>4</v>
      </c>
      <c r="J2725" t="str">
        <f>TEXT(Ventas[[#This Row],[Fecha_venta]],"yyyy")</f>
        <v>2010</v>
      </c>
    </row>
    <row r="2726" spans="1:10" x14ac:dyDescent="0.25">
      <c r="A2726">
        <v>20</v>
      </c>
      <c r="B2726" s="1">
        <v>40291</v>
      </c>
      <c r="C2726">
        <v>0</v>
      </c>
      <c r="D2726">
        <v>50.65</v>
      </c>
      <c r="E2726">
        <v>2.9020000000000001</v>
      </c>
      <c r="F2726">
        <v>203.6905586</v>
      </c>
      <c r="G2726">
        <v>1878862.42</v>
      </c>
      <c r="H2726" t="str">
        <f>TEXT(Ventas[[#This Row],[Fecha_venta]],"dd")</f>
        <v>23</v>
      </c>
      <c r="I2726" t="str">
        <f>TEXT(Ventas[[#This Row],[Fecha_venta]],"m")</f>
        <v>4</v>
      </c>
      <c r="J2726" t="str">
        <f>TEXT(Ventas[[#This Row],[Fecha_venta]],"yyyy")</f>
        <v>2010</v>
      </c>
    </row>
    <row r="2727" spans="1:10" x14ac:dyDescent="0.25">
      <c r="A2727">
        <v>20</v>
      </c>
      <c r="B2727" s="1">
        <v>40298</v>
      </c>
      <c r="C2727">
        <v>0</v>
      </c>
      <c r="D2727">
        <v>54.75</v>
      </c>
      <c r="E2727">
        <v>2.9209999999999998</v>
      </c>
      <c r="F2727">
        <v>203.65036850000001</v>
      </c>
      <c r="G2727">
        <v>1919053.21</v>
      </c>
      <c r="H2727" t="str">
        <f>TEXT(Ventas[[#This Row],[Fecha_venta]],"dd")</f>
        <v>30</v>
      </c>
      <c r="I2727" t="str">
        <f>TEXT(Ventas[[#This Row],[Fecha_venta]],"m")</f>
        <v>4</v>
      </c>
      <c r="J2727" t="str">
        <f>TEXT(Ventas[[#This Row],[Fecha_venta]],"yyyy")</f>
        <v>2010</v>
      </c>
    </row>
    <row r="2728" spans="1:10" x14ac:dyDescent="0.25">
      <c r="A2728">
        <v>20</v>
      </c>
      <c r="B2728" s="1">
        <v>40305</v>
      </c>
      <c r="C2728">
        <v>0</v>
      </c>
      <c r="D2728">
        <v>66.739999999999995</v>
      </c>
      <c r="E2728">
        <v>2.9660000000000002</v>
      </c>
      <c r="F2728">
        <v>203.6101784</v>
      </c>
      <c r="G2728">
        <v>2137202.38</v>
      </c>
      <c r="H2728" t="str">
        <f>TEXT(Ventas[[#This Row],[Fecha_venta]],"dd")</f>
        <v>07</v>
      </c>
      <c r="I2728" t="str">
        <f>TEXT(Ventas[[#This Row],[Fecha_venta]],"m")</f>
        <v>5</v>
      </c>
      <c r="J2728" t="str">
        <f>TEXT(Ventas[[#This Row],[Fecha_venta]],"yyyy")</f>
        <v>2010</v>
      </c>
    </row>
    <row r="2729" spans="1:10" x14ac:dyDescent="0.25">
      <c r="A2729">
        <v>20</v>
      </c>
      <c r="B2729" s="1">
        <v>40312</v>
      </c>
      <c r="C2729">
        <v>0</v>
      </c>
      <c r="D2729">
        <v>55.91</v>
      </c>
      <c r="E2729">
        <v>2.9820000000000002</v>
      </c>
      <c r="F2729">
        <v>203.61339150000001</v>
      </c>
      <c r="G2729">
        <v>2033211.62</v>
      </c>
      <c r="H2729" t="str">
        <f>TEXT(Ventas[[#This Row],[Fecha_venta]],"dd")</f>
        <v>14</v>
      </c>
      <c r="I2729" t="str">
        <f>TEXT(Ventas[[#This Row],[Fecha_venta]],"m")</f>
        <v>5</v>
      </c>
      <c r="J2729" t="str">
        <f>TEXT(Ventas[[#This Row],[Fecha_venta]],"yyyy")</f>
        <v>2010</v>
      </c>
    </row>
    <row r="2730" spans="1:10" x14ac:dyDescent="0.25">
      <c r="A2730">
        <v>20</v>
      </c>
      <c r="B2730" s="1">
        <v>40319</v>
      </c>
      <c r="C2730">
        <v>0</v>
      </c>
      <c r="D2730">
        <v>60.38</v>
      </c>
      <c r="E2730">
        <v>2.9580000000000002</v>
      </c>
      <c r="F2730">
        <v>203.87702350000001</v>
      </c>
      <c r="G2730">
        <v>1893736.9</v>
      </c>
      <c r="H2730" t="str">
        <f>TEXT(Ventas[[#This Row],[Fecha_venta]],"dd")</f>
        <v>21</v>
      </c>
      <c r="I2730" t="str">
        <f>TEXT(Ventas[[#This Row],[Fecha_venta]],"m")</f>
        <v>5</v>
      </c>
      <c r="J2730" t="str">
        <f>TEXT(Ventas[[#This Row],[Fecha_venta]],"yyyy")</f>
        <v>2010</v>
      </c>
    </row>
    <row r="2731" spans="1:10" x14ac:dyDescent="0.25">
      <c r="A2731">
        <v>20</v>
      </c>
      <c r="B2731" s="1">
        <v>40326</v>
      </c>
      <c r="C2731">
        <v>0</v>
      </c>
      <c r="D2731">
        <v>70.97</v>
      </c>
      <c r="E2731">
        <v>2.899</v>
      </c>
      <c r="F2731">
        <v>204.1406556</v>
      </c>
      <c r="G2731">
        <v>2065984.95</v>
      </c>
      <c r="H2731" t="str">
        <f>TEXT(Ventas[[#This Row],[Fecha_venta]],"dd")</f>
        <v>28</v>
      </c>
      <c r="I2731" t="str">
        <f>TEXT(Ventas[[#This Row],[Fecha_venta]],"m")</f>
        <v>5</v>
      </c>
      <c r="J2731" t="str">
        <f>TEXT(Ventas[[#This Row],[Fecha_venta]],"yyyy")</f>
        <v>2010</v>
      </c>
    </row>
    <row r="2732" spans="1:10" x14ac:dyDescent="0.25">
      <c r="A2732">
        <v>20</v>
      </c>
      <c r="B2732" s="1">
        <v>40333</v>
      </c>
      <c r="C2732">
        <v>0</v>
      </c>
      <c r="D2732">
        <v>72.52</v>
      </c>
      <c r="E2732">
        <v>2.847</v>
      </c>
      <c r="F2732">
        <v>204.4042877</v>
      </c>
      <c r="G2732">
        <v>2203619.35</v>
      </c>
      <c r="H2732" t="str">
        <f>TEXT(Ventas[[#This Row],[Fecha_venta]],"dd")</f>
        <v>04</v>
      </c>
      <c r="I2732" t="str">
        <f>TEXT(Ventas[[#This Row],[Fecha_venta]],"m")</f>
        <v>6</v>
      </c>
      <c r="J2732" t="str">
        <f>TEXT(Ventas[[#This Row],[Fecha_venta]],"yyyy")</f>
        <v>2010</v>
      </c>
    </row>
    <row r="2733" spans="1:10" x14ac:dyDescent="0.25">
      <c r="A2733">
        <v>20</v>
      </c>
      <c r="B2733" s="1">
        <v>40340</v>
      </c>
      <c r="C2733">
        <v>0</v>
      </c>
      <c r="D2733">
        <v>67.319999999999993</v>
      </c>
      <c r="E2733">
        <v>2.8090000000000002</v>
      </c>
      <c r="F2733">
        <v>204.66791979999999</v>
      </c>
      <c r="G2733">
        <v>2100489.79</v>
      </c>
      <c r="H2733" t="str">
        <f>TEXT(Ventas[[#This Row],[Fecha_venta]],"dd")</f>
        <v>11</v>
      </c>
      <c r="I2733" t="str">
        <f>TEXT(Ventas[[#This Row],[Fecha_venta]],"m")</f>
        <v>6</v>
      </c>
      <c r="J2733" t="str">
        <f>TEXT(Ventas[[#This Row],[Fecha_venta]],"yyyy")</f>
        <v>2010</v>
      </c>
    </row>
    <row r="2734" spans="1:10" x14ac:dyDescent="0.25">
      <c r="A2734">
        <v>20</v>
      </c>
      <c r="B2734" s="1">
        <v>40347</v>
      </c>
      <c r="C2734">
        <v>0</v>
      </c>
      <c r="D2734">
        <v>72.62</v>
      </c>
      <c r="E2734">
        <v>2.78</v>
      </c>
      <c r="F2734">
        <v>204.67003600000001</v>
      </c>
      <c r="G2734">
        <v>2091903.63</v>
      </c>
      <c r="H2734" t="str">
        <f>TEXT(Ventas[[#This Row],[Fecha_venta]],"dd")</f>
        <v>18</v>
      </c>
      <c r="I2734" t="str">
        <f>TEXT(Ventas[[#This Row],[Fecha_venta]],"m")</f>
        <v>6</v>
      </c>
      <c r="J2734" t="str">
        <f>TEXT(Ventas[[#This Row],[Fecha_venta]],"yyyy")</f>
        <v>2010</v>
      </c>
    </row>
    <row r="2735" spans="1:10" x14ac:dyDescent="0.25">
      <c r="A2735">
        <v>20</v>
      </c>
      <c r="B2735" s="1">
        <v>40354</v>
      </c>
      <c r="C2735">
        <v>0</v>
      </c>
      <c r="D2735">
        <v>75.17</v>
      </c>
      <c r="E2735">
        <v>2.8079999999999998</v>
      </c>
      <c r="F2735">
        <v>204.5675459</v>
      </c>
      <c r="G2735">
        <v>1973135.87</v>
      </c>
      <c r="H2735" t="str">
        <f>TEXT(Ventas[[#This Row],[Fecha_venta]],"dd")</f>
        <v>25</v>
      </c>
      <c r="I2735" t="str">
        <f>TEXT(Ventas[[#This Row],[Fecha_venta]],"m")</f>
        <v>6</v>
      </c>
      <c r="J2735" t="str">
        <f>TEXT(Ventas[[#This Row],[Fecha_venta]],"yyyy")</f>
        <v>2010</v>
      </c>
    </row>
    <row r="2736" spans="1:10" x14ac:dyDescent="0.25">
      <c r="A2736">
        <v>20</v>
      </c>
      <c r="B2736" s="1">
        <v>40361</v>
      </c>
      <c r="C2736">
        <v>0</v>
      </c>
      <c r="D2736">
        <v>70.099999999999994</v>
      </c>
      <c r="E2736">
        <v>2.8149999999999999</v>
      </c>
      <c r="F2736">
        <v>204.46505590000001</v>
      </c>
      <c r="G2736">
        <v>2143676.77</v>
      </c>
      <c r="H2736" t="str">
        <f>TEXT(Ventas[[#This Row],[Fecha_venta]],"dd")</f>
        <v>02</v>
      </c>
      <c r="I2736" t="str">
        <f>TEXT(Ventas[[#This Row],[Fecha_venta]],"m")</f>
        <v>7</v>
      </c>
      <c r="J2736" t="str">
        <f>TEXT(Ventas[[#This Row],[Fecha_venta]],"yyyy")</f>
        <v>2010</v>
      </c>
    </row>
    <row r="2737" spans="1:10" x14ac:dyDescent="0.25">
      <c r="A2737">
        <v>20</v>
      </c>
      <c r="B2737" s="1">
        <v>40368</v>
      </c>
      <c r="C2737">
        <v>0</v>
      </c>
      <c r="D2737">
        <v>78.09</v>
      </c>
      <c r="E2737">
        <v>2.7930000000000001</v>
      </c>
      <c r="F2737">
        <v>204.3625658</v>
      </c>
      <c r="G2737">
        <v>2107285.85</v>
      </c>
      <c r="H2737" t="str">
        <f>TEXT(Ventas[[#This Row],[Fecha_venta]],"dd")</f>
        <v>09</v>
      </c>
      <c r="I2737" t="str">
        <f>TEXT(Ventas[[#This Row],[Fecha_venta]],"m")</f>
        <v>7</v>
      </c>
      <c r="J2737" t="str">
        <f>TEXT(Ventas[[#This Row],[Fecha_venta]],"yyyy")</f>
        <v>2010</v>
      </c>
    </row>
    <row r="2738" spans="1:10" x14ac:dyDescent="0.25">
      <c r="A2738">
        <v>20</v>
      </c>
      <c r="B2738" s="1">
        <v>40375</v>
      </c>
      <c r="C2738">
        <v>0</v>
      </c>
      <c r="D2738">
        <v>75.14</v>
      </c>
      <c r="E2738">
        <v>2.7829999999999999</v>
      </c>
      <c r="F2738">
        <v>204.3571656</v>
      </c>
      <c r="G2738">
        <v>2031852.16</v>
      </c>
      <c r="H2738" t="str">
        <f>TEXT(Ventas[[#This Row],[Fecha_venta]],"dd")</f>
        <v>16</v>
      </c>
      <c r="I2738" t="str">
        <f>TEXT(Ventas[[#This Row],[Fecha_venta]],"m")</f>
        <v>7</v>
      </c>
      <c r="J2738" t="str">
        <f>TEXT(Ventas[[#This Row],[Fecha_venta]],"yyyy")</f>
        <v>2010</v>
      </c>
    </row>
    <row r="2739" spans="1:10" x14ac:dyDescent="0.25">
      <c r="A2739">
        <v>20</v>
      </c>
      <c r="B2739" s="1">
        <v>40382</v>
      </c>
      <c r="C2739">
        <v>0</v>
      </c>
      <c r="D2739">
        <v>77.75</v>
      </c>
      <c r="E2739">
        <v>2.7709999999999999</v>
      </c>
      <c r="F2739">
        <v>204.48121879999999</v>
      </c>
      <c r="G2739">
        <v>1900535.9</v>
      </c>
      <c r="H2739" t="str">
        <f>TEXT(Ventas[[#This Row],[Fecha_venta]],"dd")</f>
        <v>23</v>
      </c>
      <c r="I2739" t="str">
        <f>TEXT(Ventas[[#This Row],[Fecha_venta]],"m")</f>
        <v>7</v>
      </c>
      <c r="J2739" t="str">
        <f>TEXT(Ventas[[#This Row],[Fecha_venta]],"yyyy")</f>
        <v>2010</v>
      </c>
    </row>
    <row r="2740" spans="1:10" x14ac:dyDescent="0.25">
      <c r="A2740">
        <v>20</v>
      </c>
      <c r="B2740" s="1">
        <v>40389</v>
      </c>
      <c r="C2740">
        <v>0</v>
      </c>
      <c r="D2740">
        <v>76.03</v>
      </c>
      <c r="E2740">
        <v>2.7810000000000001</v>
      </c>
      <c r="F2740">
        <v>204.60527200000001</v>
      </c>
      <c r="G2740">
        <v>1955896.59</v>
      </c>
      <c r="H2740" t="str">
        <f>TEXT(Ventas[[#This Row],[Fecha_venta]],"dd")</f>
        <v>30</v>
      </c>
      <c r="I2740" t="str">
        <f>TEXT(Ventas[[#This Row],[Fecha_venta]],"m")</f>
        <v>7</v>
      </c>
      <c r="J2740" t="str">
        <f>TEXT(Ventas[[#This Row],[Fecha_venta]],"yyyy")</f>
        <v>2010</v>
      </c>
    </row>
    <row r="2741" spans="1:10" x14ac:dyDescent="0.25">
      <c r="A2741">
        <v>20</v>
      </c>
      <c r="B2741" s="1">
        <v>40396</v>
      </c>
      <c r="C2741">
        <v>0</v>
      </c>
      <c r="D2741">
        <v>74.569999999999993</v>
      </c>
      <c r="E2741">
        <v>2.7839999999999998</v>
      </c>
      <c r="F2741">
        <v>204.72932520000001</v>
      </c>
      <c r="G2741">
        <v>1910177.38</v>
      </c>
      <c r="H2741" t="str">
        <f>TEXT(Ventas[[#This Row],[Fecha_venta]],"dd")</f>
        <v>06</v>
      </c>
      <c r="I2741" t="str">
        <f>TEXT(Ventas[[#This Row],[Fecha_venta]],"m")</f>
        <v>8</v>
      </c>
      <c r="J2741" t="str">
        <f>TEXT(Ventas[[#This Row],[Fecha_venta]],"yyyy")</f>
        <v>2010</v>
      </c>
    </row>
    <row r="2742" spans="1:10" x14ac:dyDescent="0.25">
      <c r="A2742">
        <v>20</v>
      </c>
      <c r="B2742" s="1">
        <v>40403</v>
      </c>
      <c r="C2742">
        <v>0</v>
      </c>
      <c r="D2742">
        <v>75.98</v>
      </c>
      <c r="E2742">
        <v>2.8050000000000002</v>
      </c>
      <c r="F2742">
        <v>204.8533784</v>
      </c>
      <c r="G2742">
        <v>2071022.45</v>
      </c>
      <c r="H2742" t="str">
        <f>TEXT(Ventas[[#This Row],[Fecha_venta]],"dd")</f>
        <v>13</v>
      </c>
      <c r="I2742" t="str">
        <f>TEXT(Ventas[[#This Row],[Fecha_venta]],"m")</f>
        <v>8</v>
      </c>
      <c r="J2742" t="str">
        <f>TEXT(Ventas[[#This Row],[Fecha_venta]],"yyyy")</f>
        <v>2010</v>
      </c>
    </row>
    <row r="2743" spans="1:10" x14ac:dyDescent="0.25">
      <c r="A2743">
        <v>20</v>
      </c>
      <c r="B2743" s="1">
        <v>40410</v>
      </c>
      <c r="C2743">
        <v>0</v>
      </c>
      <c r="D2743">
        <v>75.34</v>
      </c>
      <c r="E2743">
        <v>2.7789999999999999</v>
      </c>
      <c r="F2743">
        <v>204.82170439999999</v>
      </c>
      <c r="G2743">
        <v>1975374.56</v>
      </c>
      <c r="H2743" t="str">
        <f>TEXT(Ventas[[#This Row],[Fecha_venta]],"dd")</f>
        <v>20</v>
      </c>
      <c r="I2743" t="str">
        <f>TEXT(Ventas[[#This Row],[Fecha_venta]],"m")</f>
        <v>8</v>
      </c>
      <c r="J2743" t="str">
        <f>TEXT(Ventas[[#This Row],[Fecha_venta]],"yyyy")</f>
        <v>2010</v>
      </c>
    </row>
    <row r="2744" spans="1:10" x14ac:dyDescent="0.25">
      <c r="A2744">
        <v>20</v>
      </c>
      <c r="B2744" s="1">
        <v>40417</v>
      </c>
      <c r="C2744">
        <v>0</v>
      </c>
      <c r="D2744">
        <v>70.510000000000005</v>
      </c>
      <c r="E2744">
        <v>2.7549999999999999</v>
      </c>
      <c r="F2744">
        <v>204.7900305</v>
      </c>
      <c r="G2744">
        <v>1946369.57</v>
      </c>
      <c r="H2744" t="str">
        <f>TEXT(Ventas[[#This Row],[Fecha_venta]],"dd")</f>
        <v>27</v>
      </c>
      <c r="I2744" t="str">
        <f>TEXT(Ventas[[#This Row],[Fecha_venta]],"m")</f>
        <v>8</v>
      </c>
      <c r="J2744" t="str">
        <f>TEXT(Ventas[[#This Row],[Fecha_venta]],"yyyy")</f>
        <v>2010</v>
      </c>
    </row>
    <row r="2745" spans="1:10" x14ac:dyDescent="0.25">
      <c r="A2745">
        <v>20</v>
      </c>
      <c r="B2745" s="1">
        <v>40424</v>
      </c>
      <c r="C2745">
        <v>0</v>
      </c>
      <c r="D2745">
        <v>75.5</v>
      </c>
      <c r="E2745">
        <v>2.7149999999999999</v>
      </c>
      <c r="F2745">
        <v>204.75835660000001</v>
      </c>
      <c r="G2745">
        <v>2121561.41</v>
      </c>
      <c r="H2745" t="str">
        <f>TEXT(Ventas[[#This Row],[Fecha_venta]],"dd")</f>
        <v>03</v>
      </c>
      <c r="I2745" t="str">
        <f>TEXT(Ventas[[#This Row],[Fecha_venta]],"m")</f>
        <v>9</v>
      </c>
      <c r="J2745" t="str">
        <f>TEXT(Ventas[[#This Row],[Fecha_venta]],"yyyy")</f>
        <v>2010</v>
      </c>
    </row>
    <row r="2746" spans="1:10" x14ac:dyDescent="0.25">
      <c r="A2746">
        <v>20</v>
      </c>
      <c r="B2746" s="1">
        <v>40431</v>
      </c>
      <c r="C2746">
        <v>1</v>
      </c>
      <c r="D2746">
        <v>65.02</v>
      </c>
      <c r="E2746">
        <v>2.6989999999999998</v>
      </c>
      <c r="F2746">
        <v>204.7266827</v>
      </c>
      <c r="G2746">
        <v>2014954.79</v>
      </c>
      <c r="H2746" t="str">
        <f>TEXT(Ventas[[#This Row],[Fecha_venta]],"dd")</f>
        <v>10</v>
      </c>
      <c r="I2746" t="str">
        <f>TEXT(Ventas[[#This Row],[Fecha_venta]],"m")</f>
        <v>9</v>
      </c>
      <c r="J2746" t="str">
        <f>TEXT(Ventas[[#This Row],[Fecha_venta]],"yyyy")</f>
        <v>2010</v>
      </c>
    </row>
    <row r="2747" spans="1:10" x14ac:dyDescent="0.25">
      <c r="A2747">
        <v>20</v>
      </c>
      <c r="B2747" s="1">
        <v>40438</v>
      </c>
      <c r="C2747">
        <v>0</v>
      </c>
      <c r="D2747">
        <v>65.28</v>
      </c>
      <c r="E2747">
        <v>2.706</v>
      </c>
      <c r="F2747">
        <v>204.75132790000001</v>
      </c>
      <c r="G2747">
        <v>1948359.78</v>
      </c>
      <c r="H2747" t="str">
        <f>TEXT(Ventas[[#This Row],[Fecha_venta]],"dd")</f>
        <v>17</v>
      </c>
      <c r="I2747" t="str">
        <f>TEXT(Ventas[[#This Row],[Fecha_venta]],"m")</f>
        <v>9</v>
      </c>
      <c r="J2747" t="str">
        <f>TEXT(Ventas[[#This Row],[Fecha_venta]],"yyyy")</f>
        <v>2010</v>
      </c>
    </row>
    <row r="2748" spans="1:10" x14ac:dyDescent="0.25">
      <c r="A2748">
        <v>20</v>
      </c>
      <c r="B2748" s="1">
        <v>40445</v>
      </c>
      <c r="C2748">
        <v>0</v>
      </c>
      <c r="D2748">
        <v>69.37</v>
      </c>
      <c r="E2748">
        <v>2.7130000000000001</v>
      </c>
      <c r="F2748">
        <v>204.81821260000001</v>
      </c>
      <c r="G2748">
        <v>1789687.65</v>
      </c>
      <c r="H2748" t="str">
        <f>TEXT(Ventas[[#This Row],[Fecha_venta]],"dd")</f>
        <v>24</v>
      </c>
      <c r="I2748" t="str">
        <f>TEXT(Ventas[[#This Row],[Fecha_venta]],"m")</f>
        <v>9</v>
      </c>
      <c r="J2748" t="str">
        <f>TEXT(Ventas[[#This Row],[Fecha_venta]],"yyyy")</f>
        <v>2010</v>
      </c>
    </row>
    <row r="2749" spans="1:10" x14ac:dyDescent="0.25">
      <c r="A2749">
        <v>20</v>
      </c>
      <c r="B2749" s="1">
        <v>40452</v>
      </c>
      <c r="C2749">
        <v>0</v>
      </c>
      <c r="D2749">
        <v>61.08</v>
      </c>
      <c r="E2749">
        <v>2.7069999999999999</v>
      </c>
      <c r="F2749">
        <v>204.88509730000001</v>
      </c>
      <c r="G2749">
        <v>1933719.21</v>
      </c>
      <c r="H2749" t="str">
        <f>TEXT(Ventas[[#This Row],[Fecha_venta]],"dd")</f>
        <v>01</v>
      </c>
      <c r="I2749" t="str">
        <f>TEXT(Ventas[[#This Row],[Fecha_venta]],"m")</f>
        <v>10</v>
      </c>
      <c r="J2749" t="str">
        <f>TEXT(Ventas[[#This Row],[Fecha_venta]],"yyyy")</f>
        <v>2010</v>
      </c>
    </row>
    <row r="2750" spans="1:10" x14ac:dyDescent="0.25">
      <c r="A2750">
        <v>20</v>
      </c>
      <c r="B2750" s="1">
        <v>40459</v>
      </c>
      <c r="C2750">
        <v>0</v>
      </c>
      <c r="D2750">
        <v>51.5</v>
      </c>
      <c r="E2750">
        <v>2.7639999999999998</v>
      </c>
      <c r="F2750">
        <v>204.95198199999999</v>
      </c>
      <c r="G2750">
        <v>2060389.27</v>
      </c>
      <c r="H2750" t="str">
        <f>TEXT(Ventas[[#This Row],[Fecha_venta]],"dd")</f>
        <v>08</v>
      </c>
      <c r="I2750" t="str">
        <f>TEXT(Ventas[[#This Row],[Fecha_venta]],"m")</f>
        <v>10</v>
      </c>
      <c r="J2750" t="str">
        <f>TEXT(Ventas[[#This Row],[Fecha_venta]],"yyyy")</f>
        <v>2010</v>
      </c>
    </row>
    <row r="2751" spans="1:10" x14ac:dyDescent="0.25">
      <c r="A2751">
        <v>20</v>
      </c>
      <c r="B2751" s="1">
        <v>40466</v>
      </c>
      <c r="C2751">
        <v>0</v>
      </c>
      <c r="D2751">
        <v>59.17</v>
      </c>
      <c r="E2751">
        <v>2.8679999999999999</v>
      </c>
      <c r="F2751">
        <v>205.0137637</v>
      </c>
      <c r="G2751">
        <v>1950676.39</v>
      </c>
      <c r="H2751" t="str">
        <f>TEXT(Ventas[[#This Row],[Fecha_venta]],"dd")</f>
        <v>15</v>
      </c>
      <c r="I2751" t="str">
        <f>TEXT(Ventas[[#This Row],[Fecha_venta]],"m")</f>
        <v>10</v>
      </c>
      <c r="J2751" t="str">
        <f>TEXT(Ventas[[#This Row],[Fecha_venta]],"yyyy")</f>
        <v>2010</v>
      </c>
    </row>
    <row r="2752" spans="1:10" x14ac:dyDescent="0.25">
      <c r="A2752">
        <v>20</v>
      </c>
      <c r="B2752" s="1">
        <v>40473</v>
      </c>
      <c r="C2752">
        <v>0</v>
      </c>
      <c r="D2752">
        <v>50.52</v>
      </c>
      <c r="E2752">
        <v>2.9169999999999998</v>
      </c>
      <c r="F2752">
        <v>205.06278810000001</v>
      </c>
      <c r="G2752">
        <v>1893955.27</v>
      </c>
      <c r="H2752" t="str">
        <f>TEXT(Ventas[[#This Row],[Fecha_venta]],"dd")</f>
        <v>22</v>
      </c>
      <c r="I2752" t="str">
        <f>TEXT(Ventas[[#This Row],[Fecha_venta]],"m")</f>
        <v>10</v>
      </c>
      <c r="J2752" t="str">
        <f>TEXT(Ventas[[#This Row],[Fecha_venta]],"yyyy")</f>
        <v>2010</v>
      </c>
    </row>
    <row r="2753" spans="1:10" x14ac:dyDescent="0.25">
      <c r="A2753">
        <v>20</v>
      </c>
      <c r="B2753" s="1">
        <v>40480</v>
      </c>
      <c r="C2753">
        <v>0</v>
      </c>
      <c r="D2753">
        <v>57.56</v>
      </c>
      <c r="E2753">
        <v>2.9209999999999998</v>
      </c>
      <c r="F2753">
        <v>205.11181260000001</v>
      </c>
      <c r="G2753">
        <v>1891816</v>
      </c>
      <c r="H2753" t="str">
        <f>TEXT(Ventas[[#This Row],[Fecha_venta]],"dd")</f>
        <v>29</v>
      </c>
      <c r="I2753" t="str">
        <f>TEXT(Ventas[[#This Row],[Fecha_venta]],"m")</f>
        <v>10</v>
      </c>
      <c r="J2753" t="str">
        <f>TEXT(Ventas[[#This Row],[Fecha_venta]],"yyyy")</f>
        <v>2010</v>
      </c>
    </row>
    <row r="2754" spans="1:10" x14ac:dyDescent="0.25">
      <c r="A2754">
        <v>20</v>
      </c>
      <c r="B2754" s="1">
        <v>40487</v>
      </c>
      <c r="C2754">
        <v>0</v>
      </c>
      <c r="D2754">
        <v>42.78</v>
      </c>
      <c r="E2754">
        <v>2.9169999999999998</v>
      </c>
      <c r="F2754">
        <v>205.16083699999999</v>
      </c>
      <c r="G2754">
        <v>2184316.64</v>
      </c>
      <c r="H2754" t="str">
        <f>TEXT(Ventas[[#This Row],[Fecha_venta]],"dd")</f>
        <v>05</v>
      </c>
      <c r="I2754" t="str">
        <f>TEXT(Ventas[[#This Row],[Fecha_venta]],"m")</f>
        <v>11</v>
      </c>
      <c r="J2754" t="str">
        <f>TEXT(Ventas[[#This Row],[Fecha_venta]],"yyyy")</f>
        <v>2010</v>
      </c>
    </row>
    <row r="2755" spans="1:10" x14ac:dyDescent="0.25">
      <c r="A2755">
        <v>20</v>
      </c>
      <c r="B2755" s="1">
        <v>40494</v>
      </c>
      <c r="C2755">
        <v>0</v>
      </c>
      <c r="D2755">
        <v>42.38</v>
      </c>
      <c r="E2755">
        <v>2.931</v>
      </c>
      <c r="F2755">
        <v>205.20986139999999</v>
      </c>
      <c r="G2755">
        <v>2187765.2799999998</v>
      </c>
      <c r="H2755" t="str">
        <f>TEXT(Ventas[[#This Row],[Fecha_venta]],"dd")</f>
        <v>12</v>
      </c>
      <c r="I2755" t="str">
        <f>TEXT(Ventas[[#This Row],[Fecha_venta]],"m")</f>
        <v>11</v>
      </c>
      <c r="J2755" t="str">
        <f>TEXT(Ventas[[#This Row],[Fecha_venta]],"yyyy")</f>
        <v>2010</v>
      </c>
    </row>
    <row r="2756" spans="1:10" x14ac:dyDescent="0.25">
      <c r="A2756">
        <v>20</v>
      </c>
      <c r="B2756" s="1">
        <v>40501</v>
      </c>
      <c r="C2756">
        <v>0</v>
      </c>
      <c r="D2756">
        <v>45.88</v>
      </c>
      <c r="E2756">
        <v>3</v>
      </c>
      <c r="F2756">
        <v>205.09928110000001</v>
      </c>
      <c r="G2756">
        <v>2105058.91</v>
      </c>
      <c r="H2756" t="str">
        <f>TEXT(Ventas[[#This Row],[Fecha_venta]],"dd")</f>
        <v>19</v>
      </c>
      <c r="I2756" t="str">
        <f>TEXT(Ventas[[#This Row],[Fecha_venta]],"m")</f>
        <v>11</v>
      </c>
      <c r="J2756" t="str">
        <f>TEXT(Ventas[[#This Row],[Fecha_venta]],"yyyy")</f>
        <v>2010</v>
      </c>
    </row>
    <row r="2757" spans="1:10" x14ac:dyDescent="0.25">
      <c r="A2757">
        <v>20</v>
      </c>
      <c r="B2757" s="1">
        <v>40508</v>
      </c>
      <c r="C2757">
        <v>1</v>
      </c>
      <c r="D2757">
        <v>46.66</v>
      </c>
      <c r="E2757">
        <v>3.0390000000000001</v>
      </c>
      <c r="F2757">
        <v>204.96209999999999</v>
      </c>
      <c r="G2757">
        <v>2811634.04</v>
      </c>
      <c r="H2757" t="str">
        <f>TEXT(Ventas[[#This Row],[Fecha_venta]],"dd")</f>
        <v>26</v>
      </c>
      <c r="I2757" t="str">
        <f>TEXT(Ventas[[#This Row],[Fecha_venta]],"m")</f>
        <v>11</v>
      </c>
      <c r="J2757" t="str">
        <f>TEXT(Ventas[[#This Row],[Fecha_venta]],"yyyy")</f>
        <v>2010</v>
      </c>
    </row>
    <row r="2758" spans="1:10" x14ac:dyDescent="0.25">
      <c r="A2758">
        <v>20</v>
      </c>
      <c r="B2758" s="1">
        <v>40515</v>
      </c>
      <c r="C2758">
        <v>0</v>
      </c>
      <c r="D2758">
        <v>35.47</v>
      </c>
      <c r="E2758">
        <v>3.0459999999999998</v>
      </c>
      <c r="F2758">
        <v>204.8249189</v>
      </c>
      <c r="G2758">
        <v>2416051.17</v>
      </c>
      <c r="H2758" t="str">
        <f>TEXT(Ventas[[#This Row],[Fecha_venta]],"dd")</f>
        <v>03</v>
      </c>
      <c r="I2758" t="str">
        <f>TEXT(Ventas[[#This Row],[Fecha_venta]],"m")</f>
        <v>12</v>
      </c>
      <c r="J2758" t="str">
        <f>TEXT(Ventas[[#This Row],[Fecha_venta]],"yyyy")</f>
        <v>2010</v>
      </c>
    </row>
    <row r="2759" spans="1:10" x14ac:dyDescent="0.25">
      <c r="A2759">
        <v>20</v>
      </c>
      <c r="B2759" s="1">
        <v>40522</v>
      </c>
      <c r="C2759">
        <v>0</v>
      </c>
      <c r="D2759">
        <v>24.27</v>
      </c>
      <c r="E2759">
        <v>3.109</v>
      </c>
      <c r="F2759">
        <v>204.68773780000001</v>
      </c>
      <c r="G2759">
        <v>2752122.08</v>
      </c>
      <c r="H2759" t="str">
        <f>TEXT(Ventas[[#This Row],[Fecha_venta]],"dd")</f>
        <v>10</v>
      </c>
      <c r="I2759" t="str">
        <f>TEXT(Ventas[[#This Row],[Fecha_venta]],"m")</f>
        <v>12</v>
      </c>
      <c r="J2759" t="str">
        <f>TEXT(Ventas[[#This Row],[Fecha_venta]],"yyyy")</f>
        <v>2010</v>
      </c>
    </row>
    <row r="2760" spans="1:10" x14ac:dyDescent="0.25">
      <c r="A2760">
        <v>20</v>
      </c>
      <c r="B2760" s="1">
        <v>40529</v>
      </c>
      <c r="C2760">
        <v>0</v>
      </c>
      <c r="D2760">
        <v>24.07</v>
      </c>
      <c r="E2760">
        <v>3.14</v>
      </c>
      <c r="F2760">
        <v>204.63211939999999</v>
      </c>
      <c r="G2760">
        <v>2819193.17</v>
      </c>
      <c r="H2760" t="str">
        <f>TEXT(Ventas[[#This Row],[Fecha_venta]],"dd")</f>
        <v>17</v>
      </c>
      <c r="I2760" t="str">
        <f>TEXT(Ventas[[#This Row],[Fecha_venta]],"m")</f>
        <v>12</v>
      </c>
      <c r="J2760" t="str">
        <f>TEXT(Ventas[[#This Row],[Fecha_venta]],"yyyy")</f>
        <v>2010</v>
      </c>
    </row>
    <row r="2761" spans="1:10" x14ac:dyDescent="0.25">
      <c r="A2761">
        <v>20</v>
      </c>
      <c r="B2761" s="1">
        <v>40536</v>
      </c>
      <c r="C2761">
        <v>0</v>
      </c>
      <c r="D2761">
        <v>25.17</v>
      </c>
      <c r="E2761">
        <v>3.141</v>
      </c>
      <c r="F2761">
        <v>204.6376731</v>
      </c>
      <c r="G2761">
        <v>3766687.43</v>
      </c>
      <c r="H2761" t="str">
        <f>TEXT(Ventas[[#This Row],[Fecha_venta]],"dd")</f>
        <v>24</v>
      </c>
      <c r="I2761" t="str">
        <f>TEXT(Ventas[[#This Row],[Fecha_venta]],"m")</f>
        <v>12</v>
      </c>
      <c r="J2761" t="str">
        <f>TEXT(Ventas[[#This Row],[Fecha_venta]],"yyyy")</f>
        <v>2010</v>
      </c>
    </row>
    <row r="2762" spans="1:10" x14ac:dyDescent="0.25">
      <c r="A2762">
        <v>20</v>
      </c>
      <c r="B2762" s="1">
        <v>40543</v>
      </c>
      <c r="C2762">
        <v>1</v>
      </c>
      <c r="D2762">
        <v>28.85</v>
      </c>
      <c r="E2762">
        <v>3.1789999999999998</v>
      </c>
      <c r="F2762">
        <v>204.64322670000001</v>
      </c>
      <c r="G2762">
        <v>1799737.79</v>
      </c>
      <c r="H2762" t="str">
        <f>TEXT(Ventas[[#This Row],[Fecha_venta]],"dd")</f>
        <v>31</v>
      </c>
      <c r="I2762" t="str">
        <f>TEXT(Ventas[[#This Row],[Fecha_venta]],"m")</f>
        <v>12</v>
      </c>
      <c r="J2762" t="str">
        <f>TEXT(Ventas[[#This Row],[Fecha_venta]],"yyyy")</f>
        <v>2010</v>
      </c>
    </row>
    <row r="2763" spans="1:10" x14ac:dyDescent="0.25">
      <c r="A2763">
        <v>20</v>
      </c>
      <c r="B2763" s="1">
        <v>40550</v>
      </c>
      <c r="C2763">
        <v>0</v>
      </c>
      <c r="D2763">
        <v>31.43</v>
      </c>
      <c r="E2763">
        <v>3.1930000000000001</v>
      </c>
      <c r="F2763">
        <v>204.6487803</v>
      </c>
      <c r="G2763">
        <v>1843030.95</v>
      </c>
      <c r="H2763" t="str">
        <f>TEXT(Ventas[[#This Row],[Fecha_venta]],"dd")</f>
        <v>07</v>
      </c>
      <c r="I2763" t="str">
        <f>TEXT(Ventas[[#This Row],[Fecha_venta]],"m")</f>
        <v>1</v>
      </c>
      <c r="J2763" t="str">
        <f>TEXT(Ventas[[#This Row],[Fecha_venta]],"yyyy")</f>
        <v>2011</v>
      </c>
    </row>
    <row r="2764" spans="1:10" x14ac:dyDescent="0.25">
      <c r="A2764">
        <v>20</v>
      </c>
      <c r="B2764" s="1">
        <v>40557</v>
      </c>
      <c r="C2764">
        <v>0</v>
      </c>
      <c r="D2764">
        <v>20.39</v>
      </c>
      <c r="E2764">
        <v>3.2050000000000001</v>
      </c>
      <c r="F2764">
        <v>204.7026042</v>
      </c>
      <c r="G2764">
        <v>1884345.01</v>
      </c>
      <c r="H2764" t="str">
        <f>TEXT(Ventas[[#This Row],[Fecha_venta]],"dd")</f>
        <v>14</v>
      </c>
      <c r="I2764" t="str">
        <f>TEXT(Ventas[[#This Row],[Fecha_venta]],"m")</f>
        <v>1</v>
      </c>
      <c r="J2764" t="str">
        <f>TEXT(Ventas[[#This Row],[Fecha_venta]],"yyyy")</f>
        <v>2011</v>
      </c>
    </row>
    <row r="2765" spans="1:10" x14ac:dyDescent="0.25">
      <c r="A2765">
        <v>20</v>
      </c>
      <c r="B2765" s="1">
        <v>40564</v>
      </c>
      <c r="C2765">
        <v>0</v>
      </c>
      <c r="D2765">
        <v>27.43</v>
      </c>
      <c r="E2765">
        <v>3.2290000000000001</v>
      </c>
      <c r="F2765">
        <v>205.0460497</v>
      </c>
      <c r="G2765">
        <v>1781805.66</v>
      </c>
      <c r="H2765" t="str">
        <f>TEXT(Ventas[[#This Row],[Fecha_venta]],"dd")</f>
        <v>21</v>
      </c>
      <c r="I2765" t="str">
        <f>TEXT(Ventas[[#This Row],[Fecha_venta]],"m")</f>
        <v>1</v>
      </c>
      <c r="J2765" t="str">
        <f>TEXT(Ventas[[#This Row],[Fecha_venta]],"yyyy")</f>
        <v>2011</v>
      </c>
    </row>
    <row r="2766" spans="1:10" x14ac:dyDescent="0.25">
      <c r="A2766">
        <v>20</v>
      </c>
      <c r="B2766" s="1">
        <v>40571</v>
      </c>
      <c r="C2766">
        <v>0</v>
      </c>
      <c r="D2766">
        <v>23.21</v>
      </c>
      <c r="E2766">
        <v>3.2370000000000001</v>
      </c>
      <c r="F2766">
        <v>205.3894952</v>
      </c>
      <c r="G2766">
        <v>1761506.68</v>
      </c>
      <c r="H2766" t="str">
        <f>TEXT(Ventas[[#This Row],[Fecha_venta]],"dd")</f>
        <v>28</v>
      </c>
      <c r="I2766" t="str">
        <f>TEXT(Ventas[[#This Row],[Fecha_venta]],"m")</f>
        <v>1</v>
      </c>
      <c r="J2766" t="str">
        <f>TEXT(Ventas[[#This Row],[Fecha_venta]],"yyyy")</f>
        <v>2011</v>
      </c>
    </row>
    <row r="2767" spans="1:10" x14ac:dyDescent="0.25">
      <c r="A2767">
        <v>20</v>
      </c>
      <c r="B2767" s="1">
        <v>40578</v>
      </c>
      <c r="C2767">
        <v>0</v>
      </c>
      <c r="D2767">
        <v>28.58</v>
      </c>
      <c r="E2767">
        <v>3.2309999999999999</v>
      </c>
      <c r="F2767">
        <v>205.7329407</v>
      </c>
      <c r="G2767">
        <v>2351143.0699999998</v>
      </c>
      <c r="H2767" t="str">
        <f>TEXT(Ventas[[#This Row],[Fecha_venta]],"dd")</f>
        <v>04</v>
      </c>
      <c r="I2767" t="str">
        <f>TEXT(Ventas[[#This Row],[Fecha_venta]],"m")</f>
        <v>2</v>
      </c>
      <c r="J2767" t="str">
        <f>TEXT(Ventas[[#This Row],[Fecha_venta]],"yyyy")</f>
        <v>2011</v>
      </c>
    </row>
    <row r="2768" spans="1:10" x14ac:dyDescent="0.25">
      <c r="A2768">
        <v>20</v>
      </c>
      <c r="B2768" s="1">
        <v>40585</v>
      </c>
      <c r="C2768">
        <v>1</v>
      </c>
      <c r="D2768">
        <v>25.38</v>
      </c>
      <c r="E2768">
        <v>3.2389999999999999</v>
      </c>
      <c r="F2768">
        <v>206.0763862</v>
      </c>
      <c r="G2768">
        <v>2211388.14</v>
      </c>
      <c r="H2768" t="str">
        <f>TEXT(Ventas[[#This Row],[Fecha_venta]],"dd")</f>
        <v>11</v>
      </c>
      <c r="I2768" t="str">
        <f>TEXT(Ventas[[#This Row],[Fecha_venta]],"m")</f>
        <v>2</v>
      </c>
      <c r="J2768" t="str">
        <f>TEXT(Ventas[[#This Row],[Fecha_venta]],"yyyy")</f>
        <v>2011</v>
      </c>
    </row>
    <row r="2769" spans="1:10" x14ac:dyDescent="0.25">
      <c r="A2769">
        <v>20</v>
      </c>
      <c r="B2769" s="1">
        <v>40592</v>
      </c>
      <c r="C2769">
        <v>0</v>
      </c>
      <c r="D2769">
        <v>42.95</v>
      </c>
      <c r="E2769">
        <v>3.2450000000000001</v>
      </c>
      <c r="F2769">
        <v>206.3694701</v>
      </c>
      <c r="G2769">
        <v>2258616.2400000002</v>
      </c>
      <c r="H2769" t="str">
        <f>TEXT(Ventas[[#This Row],[Fecha_venta]],"dd")</f>
        <v>18</v>
      </c>
      <c r="I2769" t="str">
        <f>TEXT(Ventas[[#This Row],[Fecha_venta]],"m")</f>
        <v>2</v>
      </c>
      <c r="J2769" t="str">
        <f>TEXT(Ventas[[#This Row],[Fecha_venta]],"yyyy")</f>
        <v>2011</v>
      </c>
    </row>
    <row r="2770" spans="1:10" x14ac:dyDescent="0.25">
      <c r="A2770">
        <v>20</v>
      </c>
      <c r="B2770" s="1">
        <v>40599</v>
      </c>
      <c r="C2770">
        <v>0</v>
      </c>
      <c r="D2770">
        <v>33.200000000000003</v>
      </c>
      <c r="E2770">
        <v>3.274</v>
      </c>
      <c r="F2770">
        <v>206.6424093</v>
      </c>
      <c r="G2770">
        <v>1938608.52</v>
      </c>
      <c r="H2770" t="str">
        <f>TEXT(Ventas[[#This Row],[Fecha_venta]],"dd")</f>
        <v>25</v>
      </c>
      <c r="I2770" t="str">
        <f>TEXT(Ventas[[#This Row],[Fecha_venta]],"m")</f>
        <v>2</v>
      </c>
      <c r="J2770" t="str">
        <f>TEXT(Ventas[[#This Row],[Fecha_venta]],"yyyy")</f>
        <v>2011</v>
      </c>
    </row>
    <row r="2771" spans="1:10" x14ac:dyDescent="0.25">
      <c r="A2771">
        <v>20</v>
      </c>
      <c r="B2771" s="1">
        <v>40606</v>
      </c>
      <c r="C2771">
        <v>0</v>
      </c>
      <c r="D2771">
        <v>37.33</v>
      </c>
      <c r="E2771">
        <v>3.4329999999999998</v>
      </c>
      <c r="F2771">
        <v>206.91534849999999</v>
      </c>
      <c r="G2771">
        <v>2143424.61</v>
      </c>
      <c r="H2771" t="str">
        <f>TEXT(Ventas[[#This Row],[Fecha_venta]],"dd")</f>
        <v>04</v>
      </c>
      <c r="I2771" t="str">
        <f>TEXT(Ventas[[#This Row],[Fecha_venta]],"m")</f>
        <v>3</v>
      </c>
      <c r="J2771" t="str">
        <f>TEXT(Ventas[[#This Row],[Fecha_venta]],"yyyy")</f>
        <v>2011</v>
      </c>
    </row>
    <row r="2772" spans="1:10" x14ac:dyDescent="0.25">
      <c r="A2772">
        <v>20</v>
      </c>
      <c r="B2772" s="1">
        <v>40613</v>
      </c>
      <c r="C2772">
        <v>0</v>
      </c>
      <c r="D2772">
        <v>39.53</v>
      </c>
      <c r="E2772">
        <v>3.5819999999999999</v>
      </c>
      <c r="F2772">
        <v>207.1882876</v>
      </c>
      <c r="G2772">
        <v>1990932.77</v>
      </c>
      <c r="H2772" t="str">
        <f>TEXT(Ventas[[#This Row],[Fecha_venta]],"dd")</f>
        <v>11</v>
      </c>
      <c r="I2772" t="str">
        <f>TEXT(Ventas[[#This Row],[Fecha_venta]],"m")</f>
        <v>3</v>
      </c>
      <c r="J2772" t="str">
        <f>TEXT(Ventas[[#This Row],[Fecha_venta]],"yyyy")</f>
        <v>2011</v>
      </c>
    </row>
    <row r="2773" spans="1:10" x14ac:dyDescent="0.25">
      <c r="A2773">
        <v>20</v>
      </c>
      <c r="B2773" s="1">
        <v>40620</v>
      </c>
      <c r="C2773">
        <v>0</v>
      </c>
      <c r="D2773">
        <v>44.8</v>
      </c>
      <c r="E2773">
        <v>3.6309999999999998</v>
      </c>
      <c r="F2773">
        <v>207.42838449999999</v>
      </c>
      <c r="G2773">
        <v>1931668.64</v>
      </c>
      <c r="H2773" t="str">
        <f>TEXT(Ventas[[#This Row],[Fecha_venta]],"dd")</f>
        <v>18</v>
      </c>
      <c r="I2773" t="str">
        <f>TEXT(Ventas[[#This Row],[Fecha_venta]],"m")</f>
        <v>3</v>
      </c>
      <c r="J2773" t="str">
        <f>TEXT(Ventas[[#This Row],[Fecha_venta]],"yyyy")</f>
        <v>2011</v>
      </c>
    </row>
    <row r="2774" spans="1:10" x14ac:dyDescent="0.25">
      <c r="A2774">
        <v>20</v>
      </c>
      <c r="B2774" s="1">
        <v>40627</v>
      </c>
      <c r="C2774">
        <v>0</v>
      </c>
      <c r="D2774">
        <v>44.83</v>
      </c>
      <c r="E2774">
        <v>3.625</v>
      </c>
      <c r="F2774">
        <v>207.65534439999999</v>
      </c>
      <c r="G2774">
        <v>1824711.21</v>
      </c>
      <c r="H2774" t="str">
        <f>TEXT(Ventas[[#This Row],[Fecha_venta]],"dd")</f>
        <v>25</v>
      </c>
      <c r="I2774" t="str">
        <f>TEXT(Ventas[[#This Row],[Fecha_venta]],"m")</f>
        <v>3</v>
      </c>
      <c r="J2774" t="str">
        <f>TEXT(Ventas[[#This Row],[Fecha_venta]],"yyyy")</f>
        <v>2011</v>
      </c>
    </row>
    <row r="2775" spans="1:10" x14ac:dyDescent="0.25">
      <c r="A2775">
        <v>20</v>
      </c>
      <c r="B2775" s="1">
        <v>40634</v>
      </c>
      <c r="C2775">
        <v>0</v>
      </c>
      <c r="D2775">
        <v>32.43</v>
      </c>
      <c r="E2775">
        <v>3.6379999999999999</v>
      </c>
      <c r="F2775">
        <v>207.88230429999999</v>
      </c>
      <c r="G2775">
        <v>1927993.09</v>
      </c>
      <c r="H2775" t="str">
        <f>TEXT(Ventas[[#This Row],[Fecha_venta]],"dd")</f>
        <v>01</v>
      </c>
      <c r="I2775" t="str">
        <f>TEXT(Ventas[[#This Row],[Fecha_venta]],"m")</f>
        <v>4</v>
      </c>
      <c r="J2775" t="str">
        <f>TEXT(Ventas[[#This Row],[Fecha_venta]],"yyyy")</f>
        <v>2011</v>
      </c>
    </row>
    <row r="2776" spans="1:10" x14ac:dyDescent="0.25">
      <c r="A2776">
        <v>20</v>
      </c>
      <c r="B2776" s="1">
        <v>40641</v>
      </c>
      <c r="C2776">
        <v>0</v>
      </c>
      <c r="D2776">
        <v>47.09</v>
      </c>
      <c r="E2776">
        <v>3.72</v>
      </c>
      <c r="F2776">
        <v>208.10926420000001</v>
      </c>
      <c r="G2776">
        <v>2027056.39</v>
      </c>
      <c r="H2776" t="str">
        <f>TEXT(Ventas[[#This Row],[Fecha_venta]],"dd")</f>
        <v>08</v>
      </c>
      <c r="I2776" t="str">
        <f>TEXT(Ventas[[#This Row],[Fecha_venta]],"m")</f>
        <v>4</v>
      </c>
      <c r="J2776" t="str">
        <f>TEXT(Ventas[[#This Row],[Fecha_venta]],"yyyy")</f>
        <v>2011</v>
      </c>
    </row>
    <row r="2777" spans="1:10" x14ac:dyDescent="0.25">
      <c r="A2777">
        <v>20</v>
      </c>
      <c r="B2777" s="1">
        <v>40648</v>
      </c>
      <c r="C2777">
        <v>0</v>
      </c>
      <c r="D2777">
        <v>55</v>
      </c>
      <c r="E2777">
        <v>3.8210000000000002</v>
      </c>
      <c r="F2777">
        <v>208.3172811</v>
      </c>
      <c r="G2777">
        <v>2057406.33</v>
      </c>
      <c r="H2777" t="str">
        <f>TEXT(Ventas[[#This Row],[Fecha_venta]],"dd")</f>
        <v>15</v>
      </c>
      <c r="I2777" t="str">
        <f>TEXT(Ventas[[#This Row],[Fecha_venta]],"m")</f>
        <v>4</v>
      </c>
      <c r="J2777" t="str">
        <f>TEXT(Ventas[[#This Row],[Fecha_venta]],"yyyy")</f>
        <v>2011</v>
      </c>
    </row>
    <row r="2778" spans="1:10" x14ac:dyDescent="0.25">
      <c r="A2778">
        <v>20</v>
      </c>
      <c r="B2778" s="1">
        <v>40655</v>
      </c>
      <c r="C2778">
        <v>0</v>
      </c>
      <c r="D2778">
        <v>52.56</v>
      </c>
      <c r="E2778">
        <v>3.8919999999999999</v>
      </c>
      <c r="F2778">
        <v>208.47794049999999</v>
      </c>
      <c r="G2778">
        <v>2313861.81</v>
      </c>
      <c r="H2778" t="str">
        <f>TEXT(Ventas[[#This Row],[Fecha_venta]],"dd")</f>
        <v>22</v>
      </c>
      <c r="I2778" t="str">
        <f>TEXT(Ventas[[#This Row],[Fecha_venta]],"m")</f>
        <v>4</v>
      </c>
      <c r="J2778" t="str">
        <f>TEXT(Ventas[[#This Row],[Fecha_venta]],"yyyy")</f>
        <v>2011</v>
      </c>
    </row>
    <row r="2779" spans="1:10" x14ac:dyDescent="0.25">
      <c r="A2779">
        <v>20</v>
      </c>
      <c r="B2779" s="1">
        <v>40662</v>
      </c>
      <c r="C2779">
        <v>0</v>
      </c>
      <c r="D2779">
        <v>62.97</v>
      </c>
      <c r="E2779">
        <v>3.9620000000000002</v>
      </c>
      <c r="F2779">
        <v>208.6386</v>
      </c>
      <c r="G2779">
        <v>1881788.19</v>
      </c>
      <c r="H2779" t="str">
        <f>TEXT(Ventas[[#This Row],[Fecha_venta]],"dd")</f>
        <v>29</v>
      </c>
      <c r="I2779" t="str">
        <f>TEXT(Ventas[[#This Row],[Fecha_venta]],"m")</f>
        <v>4</v>
      </c>
      <c r="J2779" t="str">
        <f>TEXT(Ventas[[#This Row],[Fecha_venta]],"yyyy")</f>
        <v>2011</v>
      </c>
    </row>
    <row r="2780" spans="1:10" x14ac:dyDescent="0.25">
      <c r="A2780">
        <v>20</v>
      </c>
      <c r="B2780" s="1">
        <v>40669</v>
      </c>
      <c r="C2780">
        <v>0</v>
      </c>
      <c r="D2780">
        <v>53.41</v>
      </c>
      <c r="E2780">
        <v>4.0460000000000003</v>
      </c>
      <c r="F2780">
        <v>208.79925950000001</v>
      </c>
      <c r="G2780">
        <v>2090838.44</v>
      </c>
      <c r="H2780" t="str">
        <f>TEXT(Ventas[[#This Row],[Fecha_venta]],"dd")</f>
        <v>06</v>
      </c>
      <c r="I2780" t="str">
        <f>TEXT(Ventas[[#This Row],[Fecha_venta]],"m")</f>
        <v>5</v>
      </c>
      <c r="J2780" t="str">
        <f>TEXT(Ventas[[#This Row],[Fecha_venta]],"yyyy")</f>
        <v>2011</v>
      </c>
    </row>
    <row r="2781" spans="1:10" x14ac:dyDescent="0.25">
      <c r="A2781">
        <v>20</v>
      </c>
      <c r="B2781" s="1">
        <v>40676</v>
      </c>
      <c r="C2781">
        <v>0</v>
      </c>
      <c r="D2781">
        <v>62.26</v>
      </c>
      <c r="E2781">
        <v>4.0659999999999998</v>
      </c>
      <c r="F2781">
        <v>208.95991889999999</v>
      </c>
      <c r="G2781">
        <v>2036748.53</v>
      </c>
      <c r="H2781" t="str">
        <f>TEXT(Ventas[[#This Row],[Fecha_venta]],"dd")</f>
        <v>13</v>
      </c>
      <c r="I2781" t="str">
        <f>TEXT(Ventas[[#This Row],[Fecha_venta]],"m")</f>
        <v>5</v>
      </c>
      <c r="J2781" t="str">
        <f>TEXT(Ventas[[#This Row],[Fecha_venta]],"yyyy")</f>
        <v>2011</v>
      </c>
    </row>
    <row r="2782" spans="1:10" x14ac:dyDescent="0.25">
      <c r="A2782">
        <v>20</v>
      </c>
      <c r="B2782" s="1">
        <v>40683</v>
      </c>
      <c r="C2782">
        <v>0</v>
      </c>
      <c r="D2782">
        <v>59.01</v>
      </c>
      <c r="E2782">
        <v>4.0620000000000003</v>
      </c>
      <c r="F2782">
        <v>208.75831650000001</v>
      </c>
      <c r="G2782">
        <v>1953416.06</v>
      </c>
      <c r="H2782" t="str">
        <f>TEXT(Ventas[[#This Row],[Fecha_venta]],"dd")</f>
        <v>20</v>
      </c>
      <c r="I2782" t="str">
        <f>TEXT(Ventas[[#This Row],[Fecha_venta]],"m")</f>
        <v>5</v>
      </c>
      <c r="J2782" t="str">
        <f>TEXT(Ventas[[#This Row],[Fecha_venta]],"yyyy")</f>
        <v>2011</v>
      </c>
    </row>
    <row r="2783" spans="1:10" x14ac:dyDescent="0.25">
      <c r="A2783">
        <v>20</v>
      </c>
      <c r="B2783" s="1">
        <v>40690</v>
      </c>
      <c r="C2783">
        <v>0</v>
      </c>
      <c r="D2783">
        <v>69.12</v>
      </c>
      <c r="E2783">
        <v>3.9849999999999999</v>
      </c>
      <c r="F2783">
        <v>208.556714</v>
      </c>
      <c r="G2783">
        <v>1944433.17</v>
      </c>
      <c r="H2783" t="str">
        <f>TEXT(Ventas[[#This Row],[Fecha_venta]],"dd")</f>
        <v>27</v>
      </c>
      <c r="I2783" t="str">
        <f>TEXT(Ventas[[#This Row],[Fecha_venta]],"m")</f>
        <v>5</v>
      </c>
      <c r="J2783" t="str">
        <f>TEXT(Ventas[[#This Row],[Fecha_venta]],"yyyy")</f>
        <v>2011</v>
      </c>
    </row>
    <row r="2784" spans="1:10" x14ac:dyDescent="0.25">
      <c r="A2784">
        <v>20</v>
      </c>
      <c r="B2784" s="1">
        <v>40697</v>
      </c>
      <c r="C2784">
        <v>0</v>
      </c>
      <c r="D2784">
        <v>73.510000000000005</v>
      </c>
      <c r="E2784">
        <v>3.9220000000000002</v>
      </c>
      <c r="F2784">
        <v>208.35511159999999</v>
      </c>
      <c r="G2784">
        <v>2182246.69</v>
      </c>
      <c r="H2784" t="str">
        <f>TEXT(Ventas[[#This Row],[Fecha_venta]],"dd")</f>
        <v>03</v>
      </c>
      <c r="I2784" t="str">
        <f>TEXT(Ventas[[#This Row],[Fecha_venta]],"m")</f>
        <v>6</v>
      </c>
      <c r="J2784" t="str">
        <f>TEXT(Ventas[[#This Row],[Fecha_venta]],"yyyy")</f>
        <v>2011</v>
      </c>
    </row>
    <row r="2785" spans="1:10" x14ac:dyDescent="0.25">
      <c r="A2785">
        <v>20</v>
      </c>
      <c r="B2785" s="1">
        <v>40704</v>
      </c>
      <c r="C2785">
        <v>0</v>
      </c>
      <c r="D2785">
        <v>73.64</v>
      </c>
      <c r="E2785">
        <v>3.8809999999999998</v>
      </c>
      <c r="F2785">
        <v>208.1535092</v>
      </c>
      <c r="G2785">
        <v>2135062.04</v>
      </c>
      <c r="H2785" t="str">
        <f>TEXT(Ventas[[#This Row],[Fecha_venta]],"dd")</f>
        <v>10</v>
      </c>
      <c r="I2785" t="str">
        <f>TEXT(Ventas[[#This Row],[Fecha_venta]],"m")</f>
        <v>6</v>
      </c>
      <c r="J2785" t="str">
        <f>TEXT(Ventas[[#This Row],[Fecha_venta]],"yyyy")</f>
        <v>2011</v>
      </c>
    </row>
    <row r="2786" spans="1:10" x14ac:dyDescent="0.25">
      <c r="A2786">
        <v>20</v>
      </c>
      <c r="B2786" s="1">
        <v>40711</v>
      </c>
      <c r="C2786">
        <v>0</v>
      </c>
      <c r="D2786">
        <v>66.41</v>
      </c>
      <c r="E2786">
        <v>3.8420000000000001</v>
      </c>
      <c r="F2786">
        <v>208.12656039999999</v>
      </c>
      <c r="G2786">
        <v>2065191.27</v>
      </c>
      <c r="H2786" t="str">
        <f>TEXT(Ventas[[#This Row],[Fecha_venta]],"dd")</f>
        <v>17</v>
      </c>
      <c r="I2786" t="str">
        <f>TEXT(Ventas[[#This Row],[Fecha_venta]],"m")</f>
        <v>6</v>
      </c>
      <c r="J2786" t="str">
        <f>TEXT(Ventas[[#This Row],[Fecha_venta]],"yyyy")</f>
        <v>2011</v>
      </c>
    </row>
    <row r="2787" spans="1:10" x14ac:dyDescent="0.25">
      <c r="A2787">
        <v>20</v>
      </c>
      <c r="B2787" s="1">
        <v>40718</v>
      </c>
      <c r="C2787">
        <v>0</v>
      </c>
      <c r="D2787">
        <v>72.400000000000006</v>
      </c>
      <c r="E2787">
        <v>3.8039999999999998</v>
      </c>
      <c r="F2787">
        <v>208.23060179999999</v>
      </c>
      <c r="G2787">
        <v>1950826.32</v>
      </c>
      <c r="H2787" t="str">
        <f>TEXT(Ventas[[#This Row],[Fecha_venta]],"dd")</f>
        <v>24</v>
      </c>
      <c r="I2787" t="str">
        <f>TEXT(Ventas[[#This Row],[Fecha_venta]],"m")</f>
        <v>6</v>
      </c>
      <c r="J2787" t="str">
        <f>TEXT(Ventas[[#This Row],[Fecha_venta]],"yyyy")</f>
        <v>2011</v>
      </c>
    </row>
    <row r="2788" spans="1:10" x14ac:dyDescent="0.25">
      <c r="A2788">
        <v>20</v>
      </c>
      <c r="B2788" s="1">
        <v>40725</v>
      </c>
      <c r="C2788">
        <v>0</v>
      </c>
      <c r="D2788">
        <v>69.66</v>
      </c>
      <c r="E2788">
        <v>3.7480000000000002</v>
      </c>
      <c r="F2788">
        <v>208.33464319999999</v>
      </c>
      <c r="G2788">
        <v>2053165.41</v>
      </c>
      <c r="H2788" t="str">
        <f>TEXT(Ventas[[#This Row],[Fecha_venta]],"dd")</f>
        <v>01</v>
      </c>
      <c r="I2788" t="str">
        <f>TEXT(Ventas[[#This Row],[Fecha_venta]],"m")</f>
        <v>7</v>
      </c>
      <c r="J2788" t="str">
        <f>TEXT(Ventas[[#This Row],[Fecha_venta]],"yyyy")</f>
        <v>2011</v>
      </c>
    </row>
    <row r="2789" spans="1:10" x14ac:dyDescent="0.25">
      <c r="A2789">
        <v>20</v>
      </c>
      <c r="B2789" s="1">
        <v>40732</v>
      </c>
      <c r="C2789">
        <v>0</v>
      </c>
      <c r="D2789">
        <v>74.69</v>
      </c>
      <c r="E2789">
        <v>3.7109999999999999</v>
      </c>
      <c r="F2789">
        <v>208.43868470000001</v>
      </c>
      <c r="G2789">
        <v>2123787.79</v>
      </c>
      <c r="H2789" t="str">
        <f>TEXT(Ventas[[#This Row],[Fecha_venta]],"dd")</f>
        <v>08</v>
      </c>
      <c r="I2789" t="str">
        <f>TEXT(Ventas[[#This Row],[Fecha_venta]],"m")</f>
        <v>7</v>
      </c>
      <c r="J2789" t="str">
        <f>TEXT(Ventas[[#This Row],[Fecha_venta]],"yyyy")</f>
        <v>2011</v>
      </c>
    </row>
    <row r="2790" spans="1:10" x14ac:dyDescent="0.25">
      <c r="A2790">
        <v>20</v>
      </c>
      <c r="B2790" s="1">
        <v>40739</v>
      </c>
      <c r="C2790">
        <v>0</v>
      </c>
      <c r="D2790">
        <v>74.88</v>
      </c>
      <c r="E2790">
        <v>3.76</v>
      </c>
      <c r="F2790">
        <v>208.53093369999999</v>
      </c>
      <c r="G2790">
        <v>2039875.75</v>
      </c>
      <c r="H2790" t="str">
        <f>TEXT(Ventas[[#This Row],[Fecha_venta]],"dd")</f>
        <v>15</v>
      </c>
      <c r="I2790" t="str">
        <f>TEXT(Ventas[[#This Row],[Fecha_venta]],"m")</f>
        <v>7</v>
      </c>
      <c r="J2790" t="str">
        <f>TEXT(Ventas[[#This Row],[Fecha_venta]],"yyyy")</f>
        <v>2011</v>
      </c>
    </row>
    <row r="2791" spans="1:10" x14ac:dyDescent="0.25">
      <c r="A2791">
        <v>20</v>
      </c>
      <c r="B2791" s="1">
        <v>40746</v>
      </c>
      <c r="C2791">
        <v>0</v>
      </c>
      <c r="D2791">
        <v>78.89</v>
      </c>
      <c r="E2791">
        <v>3.8109999999999999</v>
      </c>
      <c r="F2791">
        <v>208.59370179999999</v>
      </c>
      <c r="G2791">
        <v>1950904.84</v>
      </c>
      <c r="H2791" t="str">
        <f>TEXT(Ventas[[#This Row],[Fecha_venta]],"dd")</f>
        <v>22</v>
      </c>
      <c r="I2791" t="str">
        <f>TEXT(Ventas[[#This Row],[Fecha_venta]],"m")</f>
        <v>7</v>
      </c>
      <c r="J2791" t="str">
        <f>TEXT(Ventas[[#This Row],[Fecha_venta]],"yyyy")</f>
        <v>2011</v>
      </c>
    </row>
    <row r="2792" spans="1:10" x14ac:dyDescent="0.25">
      <c r="A2792">
        <v>20</v>
      </c>
      <c r="B2792" s="1">
        <v>40753</v>
      </c>
      <c r="C2792">
        <v>0</v>
      </c>
      <c r="D2792">
        <v>77.47</v>
      </c>
      <c r="E2792">
        <v>3.8290000000000002</v>
      </c>
      <c r="F2792">
        <v>208.65646989999999</v>
      </c>
      <c r="G2792">
        <v>1858440.92</v>
      </c>
      <c r="H2792" t="str">
        <f>TEXT(Ventas[[#This Row],[Fecha_venta]],"dd")</f>
        <v>29</v>
      </c>
      <c r="I2792" t="str">
        <f>TEXT(Ventas[[#This Row],[Fecha_venta]],"m")</f>
        <v>7</v>
      </c>
      <c r="J2792" t="str">
        <f>TEXT(Ventas[[#This Row],[Fecha_venta]],"yyyy")</f>
        <v>2011</v>
      </c>
    </row>
    <row r="2793" spans="1:10" x14ac:dyDescent="0.25">
      <c r="A2793">
        <v>20</v>
      </c>
      <c r="B2793" s="1">
        <v>40760</v>
      </c>
      <c r="C2793">
        <v>0</v>
      </c>
      <c r="D2793">
        <v>77.8</v>
      </c>
      <c r="E2793">
        <v>3.8420000000000001</v>
      </c>
      <c r="F2793">
        <v>208.71923799999999</v>
      </c>
      <c r="G2793">
        <v>2189353.63</v>
      </c>
      <c r="H2793" t="str">
        <f>TEXT(Ventas[[#This Row],[Fecha_venta]],"dd")</f>
        <v>05</v>
      </c>
      <c r="I2793" t="str">
        <f>TEXT(Ventas[[#This Row],[Fecha_venta]],"m")</f>
        <v>8</v>
      </c>
      <c r="J2793" t="str">
        <f>TEXT(Ventas[[#This Row],[Fecha_venta]],"yyyy")</f>
        <v>2011</v>
      </c>
    </row>
    <row r="2794" spans="1:10" x14ac:dyDescent="0.25">
      <c r="A2794">
        <v>20</v>
      </c>
      <c r="B2794" s="1">
        <v>40767</v>
      </c>
      <c r="C2794">
        <v>0</v>
      </c>
      <c r="D2794">
        <v>73.52</v>
      </c>
      <c r="E2794">
        <v>3.8119999999999998</v>
      </c>
      <c r="F2794">
        <v>208.78200609999999</v>
      </c>
      <c r="G2794">
        <v>2052246.4</v>
      </c>
      <c r="H2794" t="str">
        <f>TEXT(Ventas[[#This Row],[Fecha_venta]],"dd")</f>
        <v>12</v>
      </c>
      <c r="I2794" t="str">
        <f>TEXT(Ventas[[#This Row],[Fecha_venta]],"m")</f>
        <v>8</v>
      </c>
      <c r="J2794" t="str">
        <f>TEXT(Ventas[[#This Row],[Fecha_venta]],"yyyy")</f>
        <v>2011</v>
      </c>
    </row>
    <row r="2795" spans="1:10" x14ac:dyDescent="0.25">
      <c r="A2795">
        <v>20</v>
      </c>
      <c r="B2795" s="1">
        <v>40774</v>
      </c>
      <c r="C2795">
        <v>0</v>
      </c>
      <c r="D2795">
        <v>71.25</v>
      </c>
      <c r="E2795">
        <v>3.7469999999999999</v>
      </c>
      <c r="F2795">
        <v>208.8424359</v>
      </c>
      <c r="G2795">
        <v>1990017.93</v>
      </c>
      <c r="H2795" t="str">
        <f>TEXT(Ventas[[#This Row],[Fecha_venta]],"dd")</f>
        <v>19</v>
      </c>
      <c r="I2795" t="str">
        <f>TEXT(Ventas[[#This Row],[Fecha_venta]],"m")</f>
        <v>8</v>
      </c>
      <c r="J2795" t="str">
        <f>TEXT(Ventas[[#This Row],[Fecha_venta]],"yyyy")</f>
        <v>2011</v>
      </c>
    </row>
    <row r="2796" spans="1:10" x14ac:dyDescent="0.25">
      <c r="A2796">
        <v>20</v>
      </c>
      <c r="B2796" s="1">
        <v>40781</v>
      </c>
      <c r="C2796">
        <v>0</v>
      </c>
      <c r="D2796">
        <v>70.150000000000006</v>
      </c>
      <c r="E2796">
        <v>3.7040000000000002</v>
      </c>
      <c r="F2796">
        <v>208.90247600000001</v>
      </c>
      <c r="G2796">
        <v>1933577.2</v>
      </c>
      <c r="H2796" t="str">
        <f>TEXT(Ventas[[#This Row],[Fecha_venta]],"dd")</f>
        <v>26</v>
      </c>
      <c r="I2796" t="str">
        <f>TEXT(Ventas[[#This Row],[Fecha_venta]],"m")</f>
        <v>8</v>
      </c>
      <c r="J2796" t="str">
        <f>TEXT(Ventas[[#This Row],[Fecha_venta]],"yyyy")</f>
        <v>2011</v>
      </c>
    </row>
    <row r="2797" spans="1:10" x14ac:dyDescent="0.25">
      <c r="A2797">
        <v>20</v>
      </c>
      <c r="B2797" s="1">
        <v>40788</v>
      </c>
      <c r="C2797">
        <v>0</v>
      </c>
      <c r="D2797">
        <v>70.819999999999993</v>
      </c>
      <c r="E2797">
        <v>3.7029999999999998</v>
      </c>
      <c r="F2797">
        <v>208.96251609999999</v>
      </c>
      <c r="G2797">
        <v>2141765.98</v>
      </c>
      <c r="H2797" t="str">
        <f>TEXT(Ventas[[#This Row],[Fecha_venta]],"dd")</f>
        <v>02</v>
      </c>
      <c r="I2797" t="str">
        <f>TEXT(Ventas[[#This Row],[Fecha_venta]],"m")</f>
        <v>9</v>
      </c>
      <c r="J2797" t="str">
        <f>TEXT(Ventas[[#This Row],[Fecha_venta]],"yyyy")</f>
        <v>2011</v>
      </c>
    </row>
    <row r="2798" spans="1:10" x14ac:dyDescent="0.25">
      <c r="A2798">
        <v>20</v>
      </c>
      <c r="B2798" s="1">
        <v>40795</v>
      </c>
      <c r="C2798">
        <v>1</v>
      </c>
      <c r="D2798">
        <v>68.739999999999995</v>
      </c>
      <c r="E2798">
        <v>3.738</v>
      </c>
      <c r="F2798">
        <v>209.0225562</v>
      </c>
      <c r="G2798">
        <v>2050542.56</v>
      </c>
      <c r="H2798" t="str">
        <f>TEXT(Ventas[[#This Row],[Fecha_venta]],"dd")</f>
        <v>09</v>
      </c>
      <c r="I2798" t="str">
        <f>TEXT(Ventas[[#This Row],[Fecha_venta]],"m")</f>
        <v>9</v>
      </c>
      <c r="J2798" t="str">
        <f>TEXT(Ventas[[#This Row],[Fecha_venta]],"yyyy")</f>
        <v>2011</v>
      </c>
    </row>
    <row r="2799" spans="1:10" x14ac:dyDescent="0.25">
      <c r="A2799">
        <v>20</v>
      </c>
      <c r="B2799" s="1">
        <v>40802</v>
      </c>
      <c r="C2799">
        <v>0</v>
      </c>
      <c r="D2799">
        <v>64.02</v>
      </c>
      <c r="E2799">
        <v>3.742</v>
      </c>
      <c r="F2799">
        <v>209.18938919999999</v>
      </c>
      <c r="G2799">
        <v>1979009.46</v>
      </c>
      <c r="H2799" t="str">
        <f>TEXT(Ventas[[#This Row],[Fecha_venta]],"dd")</f>
        <v>16</v>
      </c>
      <c r="I2799" t="str">
        <f>TEXT(Ventas[[#This Row],[Fecha_venta]],"m")</f>
        <v>9</v>
      </c>
      <c r="J2799" t="str">
        <f>TEXT(Ventas[[#This Row],[Fecha_venta]],"yyyy")</f>
        <v>2011</v>
      </c>
    </row>
    <row r="2800" spans="1:10" x14ac:dyDescent="0.25">
      <c r="A2800">
        <v>20</v>
      </c>
      <c r="B2800" s="1">
        <v>40809</v>
      </c>
      <c r="C2800">
        <v>0</v>
      </c>
      <c r="D2800">
        <v>62.15</v>
      </c>
      <c r="E2800">
        <v>3.7109999999999999</v>
      </c>
      <c r="F2800">
        <v>209.4986126</v>
      </c>
      <c r="G2800">
        <v>1888119.7</v>
      </c>
      <c r="H2800" t="str">
        <f>TEXT(Ventas[[#This Row],[Fecha_venta]],"dd")</f>
        <v>23</v>
      </c>
      <c r="I2800" t="str">
        <f>TEXT(Ventas[[#This Row],[Fecha_venta]],"m")</f>
        <v>9</v>
      </c>
      <c r="J2800" t="str">
        <f>TEXT(Ventas[[#This Row],[Fecha_venta]],"yyyy")</f>
        <v>2011</v>
      </c>
    </row>
    <row r="2801" spans="1:10" x14ac:dyDescent="0.25">
      <c r="A2801">
        <v>20</v>
      </c>
      <c r="B2801" s="1">
        <v>40816</v>
      </c>
      <c r="C2801">
        <v>0</v>
      </c>
      <c r="D2801">
        <v>63.44</v>
      </c>
      <c r="E2801">
        <v>3.645</v>
      </c>
      <c r="F2801">
        <v>209.80783600000001</v>
      </c>
      <c r="G2801">
        <v>1945808.26</v>
      </c>
      <c r="H2801" t="str">
        <f>TEXT(Ventas[[#This Row],[Fecha_venta]],"dd")</f>
        <v>30</v>
      </c>
      <c r="I2801" t="str">
        <f>TEXT(Ventas[[#This Row],[Fecha_venta]],"m")</f>
        <v>9</v>
      </c>
      <c r="J2801" t="str">
        <f>TEXT(Ventas[[#This Row],[Fecha_venta]],"yyyy")</f>
        <v>2011</v>
      </c>
    </row>
    <row r="2802" spans="1:10" x14ac:dyDescent="0.25">
      <c r="A2802">
        <v>20</v>
      </c>
      <c r="B2802" s="1">
        <v>40823</v>
      </c>
      <c r="C2802">
        <v>0</v>
      </c>
      <c r="D2802">
        <v>52.42</v>
      </c>
      <c r="E2802">
        <v>3.5830000000000002</v>
      </c>
      <c r="F2802">
        <v>210.11705950000001</v>
      </c>
      <c r="G2802">
        <v>2135982.79</v>
      </c>
      <c r="H2802" t="str">
        <f>TEXT(Ventas[[#This Row],[Fecha_venta]],"dd")</f>
        <v>07</v>
      </c>
      <c r="I2802" t="str">
        <f>TEXT(Ventas[[#This Row],[Fecha_venta]],"m")</f>
        <v>10</v>
      </c>
      <c r="J2802" t="str">
        <f>TEXT(Ventas[[#This Row],[Fecha_venta]],"yyyy")</f>
        <v>2011</v>
      </c>
    </row>
    <row r="2803" spans="1:10" x14ac:dyDescent="0.25">
      <c r="A2803">
        <v>20</v>
      </c>
      <c r="B2803" s="1">
        <v>40830</v>
      </c>
      <c r="C2803">
        <v>0</v>
      </c>
      <c r="D2803">
        <v>62.54</v>
      </c>
      <c r="E2803">
        <v>3.5409999999999999</v>
      </c>
      <c r="F2803">
        <v>210.40276019999999</v>
      </c>
      <c r="G2803">
        <v>2010107.68</v>
      </c>
      <c r="H2803" t="str">
        <f>TEXT(Ventas[[#This Row],[Fecha_venta]],"dd")</f>
        <v>14</v>
      </c>
      <c r="I2803" t="str">
        <f>TEXT(Ventas[[#This Row],[Fecha_venta]],"m")</f>
        <v>10</v>
      </c>
      <c r="J2803" t="str">
        <f>TEXT(Ventas[[#This Row],[Fecha_venta]],"yyyy")</f>
        <v>2011</v>
      </c>
    </row>
    <row r="2804" spans="1:10" x14ac:dyDescent="0.25">
      <c r="A2804">
        <v>20</v>
      </c>
      <c r="B2804" s="1">
        <v>40837</v>
      </c>
      <c r="C2804">
        <v>0</v>
      </c>
      <c r="D2804">
        <v>53.69</v>
      </c>
      <c r="E2804">
        <v>3.57</v>
      </c>
      <c r="F2804">
        <v>210.54732519999999</v>
      </c>
      <c r="G2804">
        <v>2104241.9</v>
      </c>
      <c r="H2804" t="str">
        <f>TEXT(Ventas[[#This Row],[Fecha_venta]],"dd")</f>
        <v>21</v>
      </c>
      <c r="I2804" t="str">
        <f>TEXT(Ventas[[#This Row],[Fecha_venta]],"m")</f>
        <v>10</v>
      </c>
      <c r="J2804" t="str">
        <f>TEXT(Ventas[[#This Row],[Fecha_venta]],"yyyy")</f>
        <v>2011</v>
      </c>
    </row>
    <row r="2805" spans="1:10" x14ac:dyDescent="0.25">
      <c r="A2805">
        <v>20</v>
      </c>
      <c r="B2805" s="1">
        <v>40844</v>
      </c>
      <c r="C2805">
        <v>0</v>
      </c>
      <c r="D2805">
        <v>49.36</v>
      </c>
      <c r="E2805">
        <v>3.569</v>
      </c>
      <c r="F2805">
        <v>210.69189009999999</v>
      </c>
      <c r="G2805">
        <v>2065421.52</v>
      </c>
      <c r="H2805" t="str">
        <f>TEXT(Ventas[[#This Row],[Fecha_venta]],"dd")</f>
        <v>28</v>
      </c>
      <c r="I2805" t="str">
        <f>TEXT(Ventas[[#This Row],[Fecha_venta]],"m")</f>
        <v>10</v>
      </c>
      <c r="J2805" t="str">
        <f>TEXT(Ventas[[#This Row],[Fecha_venta]],"yyyy")</f>
        <v>2011</v>
      </c>
    </row>
    <row r="2806" spans="1:10" x14ac:dyDescent="0.25">
      <c r="A2806">
        <v>20</v>
      </c>
      <c r="B2806" s="1">
        <v>40851</v>
      </c>
      <c r="C2806">
        <v>0</v>
      </c>
      <c r="D2806">
        <v>43.88</v>
      </c>
      <c r="E2806">
        <v>3.5510000000000002</v>
      </c>
      <c r="F2806">
        <v>210.83645509999999</v>
      </c>
      <c r="G2806">
        <v>2284106.6</v>
      </c>
      <c r="H2806" t="str">
        <f>TEXT(Ventas[[#This Row],[Fecha_venta]],"dd")</f>
        <v>04</v>
      </c>
      <c r="I2806" t="str">
        <f>TEXT(Ventas[[#This Row],[Fecha_venta]],"m")</f>
        <v>11</v>
      </c>
      <c r="J2806" t="str">
        <f>TEXT(Ventas[[#This Row],[Fecha_venta]],"yyyy")</f>
        <v>2011</v>
      </c>
    </row>
    <row r="2807" spans="1:10" x14ac:dyDescent="0.25">
      <c r="A2807">
        <v>20</v>
      </c>
      <c r="B2807" s="1">
        <v>40858</v>
      </c>
      <c r="C2807">
        <v>0</v>
      </c>
      <c r="D2807">
        <v>47.27</v>
      </c>
      <c r="E2807">
        <v>3.53</v>
      </c>
      <c r="F2807">
        <v>210.98102009999999</v>
      </c>
      <c r="G2807">
        <v>2269975.85</v>
      </c>
      <c r="H2807" t="str">
        <f>TEXT(Ventas[[#This Row],[Fecha_venta]],"dd")</f>
        <v>11</v>
      </c>
      <c r="I2807" t="str">
        <f>TEXT(Ventas[[#This Row],[Fecha_venta]],"m")</f>
        <v>11</v>
      </c>
      <c r="J2807" t="str">
        <f>TEXT(Ventas[[#This Row],[Fecha_venta]],"yyyy")</f>
        <v>2011</v>
      </c>
    </row>
    <row r="2808" spans="1:10" x14ac:dyDescent="0.25">
      <c r="A2808">
        <v>20</v>
      </c>
      <c r="B2808" s="1">
        <v>40865</v>
      </c>
      <c r="C2808">
        <v>0</v>
      </c>
      <c r="D2808">
        <v>49.3</v>
      </c>
      <c r="E2808">
        <v>3.53</v>
      </c>
      <c r="F2808">
        <v>211.18472070000001</v>
      </c>
      <c r="G2808">
        <v>2169933.8199999998</v>
      </c>
      <c r="H2808" t="str">
        <f>TEXT(Ventas[[#This Row],[Fecha_venta]],"dd")</f>
        <v>18</v>
      </c>
      <c r="I2808" t="str">
        <f>TEXT(Ventas[[#This Row],[Fecha_venta]],"m")</f>
        <v>11</v>
      </c>
      <c r="J2808" t="str">
        <f>TEXT(Ventas[[#This Row],[Fecha_venta]],"yyyy")</f>
        <v>2011</v>
      </c>
    </row>
    <row r="2809" spans="1:10" x14ac:dyDescent="0.25">
      <c r="A2809">
        <v>20</v>
      </c>
      <c r="B2809" s="1">
        <v>40872</v>
      </c>
      <c r="C2809">
        <v>1</v>
      </c>
      <c r="D2809">
        <v>46.38</v>
      </c>
      <c r="E2809">
        <v>3.492</v>
      </c>
      <c r="F2809">
        <v>211.4120757</v>
      </c>
      <c r="G2809">
        <v>2906233.25</v>
      </c>
      <c r="H2809" t="str">
        <f>TEXT(Ventas[[#This Row],[Fecha_venta]],"dd")</f>
        <v>25</v>
      </c>
      <c r="I2809" t="str">
        <f>TEXT(Ventas[[#This Row],[Fecha_venta]],"m")</f>
        <v>11</v>
      </c>
      <c r="J2809" t="str">
        <f>TEXT(Ventas[[#This Row],[Fecha_venta]],"yyyy")</f>
        <v>2011</v>
      </c>
    </row>
    <row r="2810" spans="1:10" x14ac:dyDescent="0.25">
      <c r="A2810">
        <v>20</v>
      </c>
      <c r="B2810" s="1">
        <v>40879</v>
      </c>
      <c r="C2810">
        <v>0</v>
      </c>
      <c r="D2810">
        <v>46.32</v>
      </c>
      <c r="E2810">
        <v>3.452</v>
      </c>
      <c r="F2810">
        <v>211.6394306</v>
      </c>
      <c r="G2810">
        <v>2298776.83</v>
      </c>
      <c r="H2810" t="str">
        <f>TEXT(Ventas[[#This Row],[Fecha_venta]],"dd")</f>
        <v>02</v>
      </c>
      <c r="I2810" t="str">
        <f>TEXT(Ventas[[#This Row],[Fecha_venta]],"m")</f>
        <v>12</v>
      </c>
      <c r="J2810" t="str">
        <f>TEXT(Ventas[[#This Row],[Fecha_venta]],"yyyy")</f>
        <v>2011</v>
      </c>
    </row>
    <row r="2811" spans="1:10" x14ac:dyDescent="0.25">
      <c r="A2811">
        <v>20</v>
      </c>
      <c r="B2811" s="1">
        <v>40886</v>
      </c>
      <c r="C2811">
        <v>0</v>
      </c>
      <c r="D2811">
        <v>41.64</v>
      </c>
      <c r="E2811">
        <v>3.415</v>
      </c>
      <c r="F2811">
        <v>211.86678559999999</v>
      </c>
      <c r="G2811">
        <v>2546123.7799999998</v>
      </c>
      <c r="H2811" t="str">
        <f>TEXT(Ventas[[#This Row],[Fecha_venta]],"dd")</f>
        <v>09</v>
      </c>
      <c r="I2811" t="str">
        <f>TEXT(Ventas[[#This Row],[Fecha_venta]],"m")</f>
        <v>12</v>
      </c>
      <c r="J2811" t="str">
        <f>TEXT(Ventas[[#This Row],[Fecha_venta]],"yyyy")</f>
        <v>2011</v>
      </c>
    </row>
    <row r="2812" spans="1:10" x14ac:dyDescent="0.25">
      <c r="A2812">
        <v>20</v>
      </c>
      <c r="B2812" s="1">
        <v>40893</v>
      </c>
      <c r="C2812">
        <v>0</v>
      </c>
      <c r="D2812">
        <v>37.159999999999997</v>
      </c>
      <c r="E2812">
        <v>3.4129999999999998</v>
      </c>
      <c r="F2812">
        <v>212.0685039</v>
      </c>
      <c r="G2812">
        <v>2762816.65</v>
      </c>
      <c r="H2812" t="str">
        <f>TEXT(Ventas[[#This Row],[Fecha_venta]],"dd")</f>
        <v>16</v>
      </c>
      <c r="I2812" t="str">
        <f>TEXT(Ventas[[#This Row],[Fecha_venta]],"m")</f>
        <v>12</v>
      </c>
      <c r="J2812" t="str">
        <f>TEXT(Ventas[[#This Row],[Fecha_venta]],"yyyy")</f>
        <v>2011</v>
      </c>
    </row>
    <row r="2813" spans="1:10" x14ac:dyDescent="0.25">
      <c r="A2813">
        <v>20</v>
      </c>
      <c r="B2813" s="1">
        <v>40900</v>
      </c>
      <c r="C2813">
        <v>0</v>
      </c>
      <c r="D2813">
        <v>40.19</v>
      </c>
      <c r="E2813">
        <v>3.3889999999999998</v>
      </c>
      <c r="F2813">
        <v>212.2360401</v>
      </c>
      <c r="G2813">
        <v>3555371.03</v>
      </c>
      <c r="H2813" t="str">
        <f>TEXT(Ventas[[#This Row],[Fecha_venta]],"dd")</f>
        <v>23</v>
      </c>
      <c r="I2813" t="str">
        <f>TEXT(Ventas[[#This Row],[Fecha_venta]],"m")</f>
        <v>12</v>
      </c>
      <c r="J2813" t="str">
        <f>TEXT(Ventas[[#This Row],[Fecha_venta]],"yyyy")</f>
        <v>2011</v>
      </c>
    </row>
    <row r="2814" spans="1:10" x14ac:dyDescent="0.25">
      <c r="A2814">
        <v>20</v>
      </c>
      <c r="B2814" s="1">
        <v>40907</v>
      </c>
      <c r="C2814">
        <v>1</v>
      </c>
      <c r="D2814">
        <v>36.35</v>
      </c>
      <c r="E2814">
        <v>3.3889999999999998</v>
      </c>
      <c r="F2814">
        <v>212.4035763</v>
      </c>
      <c r="G2814">
        <v>2043245</v>
      </c>
      <c r="H2814" t="str">
        <f>TEXT(Ventas[[#This Row],[Fecha_venta]],"dd")</f>
        <v>30</v>
      </c>
      <c r="I2814" t="str">
        <f>TEXT(Ventas[[#This Row],[Fecha_venta]],"m")</f>
        <v>12</v>
      </c>
      <c r="J2814" t="str">
        <f>TEXT(Ventas[[#This Row],[Fecha_venta]],"yyyy")</f>
        <v>2011</v>
      </c>
    </row>
    <row r="2815" spans="1:10" x14ac:dyDescent="0.25">
      <c r="A2815">
        <v>20</v>
      </c>
      <c r="B2815" s="1">
        <v>40914</v>
      </c>
      <c r="C2815">
        <v>0</v>
      </c>
      <c r="D2815">
        <v>33.42</v>
      </c>
      <c r="E2815">
        <v>3.4220000000000002</v>
      </c>
      <c r="F2815">
        <v>212.5711125</v>
      </c>
      <c r="G2815">
        <v>1964701.94</v>
      </c>
      <c r="H2815" t="str">
        <f>TEXT(Ventas[[#This Row],[Fecha_venta]],"dd")</f>
        <v>06</v>
      </c>
      <c r="I2815" t="str">
        <f>TEXT(Ventas[[#This Row],[Fecha_venta]],"m")</f>
        <v>1</v>
      </c>
      <c r="J2815" t="str">
        <f>TEXT(Ventas[[#This Row],[Fecha_venta]],"yyyy")</f>
        <v>2012</v>
      </c>
    </row>
    <row r="2816" spans="1:10" x14ac:dyDescent="0.25">
      <c r="A2816">
        <v>20</v>
      </c>
      <c r="B2816" s="1">
        <v>40921</v>
      </c>
      <c r="C2816">
        <v>0</v>
      </c>
      <c r="D2816">
        <v>37.79</v>
      </c>
      <c r="E2816">
        <v>3.5129999999999999</v>
      </c>
      <c r="F2816">
        <v>212.7386486</v>
      </c>
      <c r="G2816">
        <v>1911510.64</v>
      </c>
      <c r="H2816" t="str">
        <f>TEXT(Ventas[[#This Row],[Fecha_venta]],"dd")</f>
        <v>13</v>
      </c>
      <c r="I2816" t="str">
        <f>TEXT(Ventas[[#This Row],[Fecha_venta]],"m")</f>
        <v>1</v>
      </c>
      <c r="J2816" t="str">
        <f>TEXT(Ventas[[#This Row],[Fecha_venta]],"yyyy")</f>
        <v>2012</v>
      </c>
    </row>
    <row r="2817" spans="1:10" x14ac:dyDescent="0.25">
      <c r="A2817">
        <v>20</v>
      </c>
      <c r="B2817" s="1">
        <v>40928</v>
      </c>
      <c r="C2817">
        <v>0</v>
      </c>
      <c r="D2817">
        <v>27.65</v>
      </c>
      <c r="E2817">
        <v>3.5329999999999999</v>
      </c>
      <c r="F2817">
        <v>212.83363990000001</v>
      </c>
      <c r="G2817">
        <v>1892775.94</v>
      </c>
      <c r="H2817" t="str">
        <f>TEXT(Ventas[[#This Row],[Fecha_venta]],"dd")</f>
        <v>20</v>
      </c>
      <c r="I2817" t="str">
        <f>TEXT(Ventas[[#This Row],[Fecha_venta]],"m")</f>
        <v>1</v>
      </c>
      <c r="J2817" t="str">
        <f>TEXT(Ventas[[#This Row],[Fecha_venta]],"yyyy")</f>
        <v>2012</v>
      </c>
    </row>
    <row r="2818" spans="1:10" x14ac:dyDescent="0.25">
      <c r="A2818">
        <v>20</v>
      </c>
      <c r="B2818" s="1">
        <v>40935</v>
      </c>
      <c r="C2818">
        <v>0</v>
      </c>
      <c r="D2818">
        <v>37.19</v>
      </c>
      <c r="E2818">
        <v>3.5670000000000002</v>
      </c>
      <c r="F2818">
        <v>212.92863120000001</v>
      </c>
      <c r="G2818">
        <v>1761016.51</v>
      </c>
      <c r="H2818" t="str">
        <f>TEXT(Ventas[[#This Row],[Fecha_venta]],"dd")</f>
        <v>27</v>
      </c>
      <c r="I2818" t="str">
        <f>TEXT(Ventas[[#This Row],[Fecha_venta]],"m")</f>
        <v>1</v>
      </c>
      <c r="J2818" t="str">
        <f>TEXT(Ventas[[#This Row],[Fecha_venta]],"yyyy")</f>
        <v>2012</v>
      </c>
    </row>
    <row r="2819" spans="1:10" x14ac:dyDescent="0.25">
      <c r="A2819">
        <v>20</v>
      </c>
      <c r="B2819" s="1">
        <v>40942</v>
      </c>
      <c r="C2819">
        <v>0</v>
      </c>
      <c r="D2819">
        <v>39.93</v>
      </c>
      <c r="E2819">
        <v>3.617</v>
      </c>
      <c r="F2819">
        <v>213.02362249999999</v>
      </c>
      <c r="G2819">
        <v>2203523.2000000002</v>
      </c>
      <c r="H2819" t="str">
        <f>TEXT(Ventas[[#This Row],[Fecha_venta]],"dd")</f>
        <v>03</v>
      </c>
      <c r="I2819" t="str">
        <f>TEXT(Ventas[[#This Row],[Fecha_venta]],"m")</f>
        <v>2</v>
      </c>
      <c r="J2819" t="str">
        <f>TEXT(Ventas[[#This Row],[Fecha_venta]],"yyyy")</f>
        <v>2012</v>
      </c>
    </row>
    <row r="2820" spans="1:10" x14ac:dyDescent="0.25">
      <c r="A2820">
        <v>20</v>
      </c>
      <c r="B2820" s="1">
        <v>40949</v>
      </c>
      <c r="C2820">
        <v>1</v>
      </c>
      <c r="D2820">
        <v>33.47</v>
      </c>
      <c r="E2820">
        <v>3.64</v>
      </c>
      <c r="F2820">
        <v>213.11861379999999</v>
      </c>
      <c r="G2820">
        <v>2462978.2799999998</v>
      </c>
      <c r="H2820" t="str">
        <f>TEXT(Ventas[[#This Row],[Fecha_venta]],"dd")</f>
        <v>10</v>
      </c>
      <c r="I2820" t="str">
        <f>TEXT(Ventas[[#This Row],[Fecha_venta]],"m")</f>
        <v>2</v>
      </c>
      <c r="J2820" t="str">
        <f>TEXT(Ventas[[#This Row],[Fecha_venta]],"yyyy")</f>
        <v>2012</v>
      </c>
    </row>
    <row r="2821" spans="1:10" x14ac:dyDescent="0.25">
      <c r="A2821">
        <v>20</v>
      </c>
      <c r="B2821" s="1">
        <v>40956</v>
      </c>
      <c r="C2821">
        <v>0</v>
      </c>
      <c r="D2821">
        <v>31.11</v>
      </c>
      <c r="E2821">
        <v>3.6949999999999998</v>
      </c>
      <c r="F2821">
        <v>213.2732106</v>
      </c>
      <c r="G2821">
        <v>2309025.16</v>
      </c>
      <c r="H2821" t="str">
        <f>TEXT(Ventas[[#This Row],[Fecha_venta]],"dd")</f>
        <v>17</v>
      </c>
      <c r="I2821" t="str">
        <f>TEXT(Ventas[[#This Row],[Fecha_venta]],"m")</f>
        <v>2</v>
      </c>
      <c r="J2821" t="str">
        <f>TEXT(Ventas[[#This Row],[Fecha_venta]],"yyyy")</f>
        <v>2012</v>
      </c>
    </row>
    <row r="2822" spans="1:10" x14ac:dyDescent="0.25">
      <c r="A2822">
        <v>20</v>
      </c>
      <c r="B2822" s="1">
        <v>40963</v>
      </c>
      <c r="C2822">
        <v>0</v>
      </c>
      <c r="D2822">
        <v>39.79</v>
      </c>
      <c r="E2822">
        <v>3.7389999999999999</v>
      </c>
      <c r="F2822">
        <v>213.47251159999999</v>
      </c>
      <c r="G2822">
        <v>2045837.55</v>
      </c>
      <c r="H2822" t="str">
        <f>TEXT(Ventas[[#This Row],[Fecha_venta]],"dd")</f>
        <v>24</v>
      </c>
      <c r="I2822" t="str">
        <f>TEXT(Ventas[[#This Row],[Fecha_venta]],"m")</f>
        <v>2</v>
      </c>
      <c r="J2822" t="str">
        <f>TEXT(Ventas[[#This Row],[Fecha_venta]],"yyyy")</f>
        <v>2012</v>
      </c>
    </row>
    <row r="2823" spans="1:10" x14ac:dyDescent="0.25">
      <c r="A2823">
        <v>20</v>
      </c>
      <c r="B2823" s="1">
        <v>40970</v>
      </c>
      <c r="C2823">
        <v>0</v>
      </c>
      <c r="D2823">
        <v>39.979999999999997</v>
      </c>
      <c r="E2823">
        <v>3.8159999999999998</v>
      </c>
      <c r="F2823">
        <v>213.6718127</v>
      </c>
      <c r="G2823">
        <v>2148822.7599999998</v>
      </c>
      <c r="H2823" t="str">
        <f>TEXT(Ventas[[#This Row],[Fecha_venta]],"dd")</f>
        <v>02</v>
      </c>
      <c r="I2823" t="str">
        <f>TEXT(Ventas[[#This Row],[Fecha_venta]],"m")</f>
        <v>3</v>
      </c>
      <c r="J2823" t="str">
        <f>TEXT(Ventas[[#This Row],[Fecha_venta]],"yyyy")</f>
        <v>2012</v>
      </c>
    </row>
    <row r="2824" spans="1:10" x14ac:dyDescent="0.25">
      <c r="A2824">
        <v>20</v>
      </c>
      <c r="B2824" s="1">
        <v>40977</v>
      </c>
      <c r="C2824">
        <v>0</v>
      </c>
      <c r="D2824">
        <v>41.14</v>
      </c>
      <c r="E2824">
        <v>3.8479999999999999</v>
      </c>
      <c r="F2824">
        <v>213.8711137</v>
      </c>
      <c r="G2824">
        <v>2139265.4</v>
      </c>
      <c r="H2824" t="str">
        <f>TEXT(Ventas[[#This Row],[Fecha_venta]],"dd")</f>
        <v>09</v>
      </c>
      <c r="I2824" t="str">
        <f>TEXT(Ventas[[#This Row],[Fecha_venta]],"m")</f>
        <v>3</v>
      </c>
      <c r="J2824" t="str">
        <f>TEXT(Ventas[[#This Row],[Fecha_venta]],"yyyy")</f>
        <v>2012</v>
      </c>
    </row>
    <row r="2825" spans="1:10" x14ac:dyDescent="0.25">
      <c r="A2825">
        <v>20</v>
      </c>
      <c r="B2825" s="1">
        <v>40984</v>
      </c>
      <c r="C2825">
        <v>0</v>
      </c>
      <c r="D2825">
        <v>53.73</v>
      </c>
      <c r="E2825">
        <v>3.8620000000000001</v>
      </c>
      <c r="F2825">
        <v>214.0167132</v>
      </c>
      <c r="G2825">
        <v>2064991.71</v>
      </c>
      <c r="H2825" t="str">
        <f>TEXT(Ventas[[#This Row],[Fecha_venta]],"dd")</f>
        <v>16</v>
      </c>
      <c r="I2825" t="str">
        <f>TEXT(Ventas[[#This Row],[Fecha_venta]],"m")</f>
        <v>3</v>
      </c>
      <c r="J2825" t="str">
        <f>TEXT(Ventas[[#This Row],[Fecha_venta]],"yyyy")</f>
        <v>2012</v>
      </c>
    </row>
    <row r="2826" spans="1:10" x14ac:dyDescent="0.25">
      <c r="A2826">
        <v>20</v>
      </c>
      <c r="B2826" s="1">
        <v>40991</v>
      </c>
      <c r="C2826">
        <v>0</v>
      </c>
      <c r="D2826">
        <v>66.11</v>
      </c>
      <c r="E2826">
        <v>3.9</v>
      </c>
      <c r="F2826">
        <v>214.0907105</v>
      </c>
      <c r="G2826">
        <v>1992436.96</v>
      </c>
      <c r="H2826" t="str">
        <f>TEXT(Ventas[[#This Row],[Fecha_venta]],"dd")</f>
        <v>23</v>
      </c>
      <c r="I2826" t="str">
        <f>TEXT(Ventas[[#This Row],[Fecha_venta]],"m")</f>
        <v>3</v>
      </c>
      <c r="J2826" t="str">
        <f>TEXT(Ventas[[#This Row],[Fecha_venta]],"yyyy")</f>
        <v>2012</v>
      </c>
    </row>
    <row r="2827" spans="1:10" x14ac:dyDescent="0.25">
      <c r="A2827">
        <v>20</v>
      </c>
      <c r="B2827" s="1">
        <v>40998</v>
      </c>
      <c r="C2827">
        <v>0</v>
      </c>
      <c r="D2827">
        <v>51.52</v>
      </c>
      <c r="E2827">
        <v>3.9529999999999998</v>
      </c>
      <c r="F2827">
        <v>214.1647079</v>
      </c>
      <c r="G2827">
        <v>2074721.74</v>
      </c>
      <c r="H2827" t="str">
        <f>TEXT(Ventas[[#This Row],[Fecha_venta]],"dd")</f>
        <v>30</v>
      </c>
      <c r="I2827" t="str">
        <f>TEXT(Ventas[[#This Row],[Fecha_venta]],"m")</f>
        <v>3</v>
      </c>
      <c r="J2827" t="str">
        <f>TEXT(Ventas[[#This Row],[Fecha_venta]],"yyyy")</f>
        <v>2012</v>
      </c>
    </row>
    <row r="2828" spans="1:10" x14ac:dyDescent="0.25">
      <c r="A2828">
        <v>20</v>
      </c>
      <c r="B2828" s="1">
        <v>41005</v>
      </c>
      <c r="C2828">
        <v>0</v>
      </c>
      <c r="D2828">
        <v>50.06</v>
      </c>
      <c r="E2828">
        <v>3.996</v>
      </c>
      <c r="F2828">
        <v>214.23870529999999</v>
      </c>
      <c r="G2828">
        <v>2565259.92</v>
      </c>
      <c r="H2828" t="str">
        <f>TEXT(Ventas[[#This Row],[Fecha_venta]],"dd")</f>
        <v>06</v>
      </c>
      <c r="I2828" t="str">
        <f>TEXT(Ventas[[#This Row],[Fecha_venta]],"m")</f>
        <v>4</v>
      </c>
      <c r="J2828" t="str">
        <f>TEXT(Ventas[[#This Row],[Fecha_venta]],"yyyy")</f>
        <v>2012</v>
      </c>
    </row>
    <row r="2829" spans="1:10" x14ac:dyDescent="0.25">
      <c r="A2829">
        <v>20</v>
      </c>
      <c r="B2829" s="1">
        <v>41012</v>
      </c>
      <c r="C2829">
        <v>0</v>
      </c>
      <c r="D2829">
        <v>45.68</v>
      </c>
      <c r="E2829">
        <v>4.0439999999999996</v>
      </c>
      <c r="F2829">
        <v>214.31270269999999</v>
      </c>
      <c r="G2829">
        <v>2045396.06</v>
      </c>
      <c r="H2829" t="str">
        <f>TEXT(Ventas[[#This Row],[Fecha_venta]],"dd")</f>
        <v>13</v>
      </c>
      <c r="I2829" t="str">
        <f>TEXT(Ventas[[#This Row],[Fecha_venta]],"m")</f>
        <v>4</v>
      </c>
      <c r="J2829" t="str">
        <f>TEXT(Ventas[[#This Row],[Fecha_venta]],"yyyy")</f>
        <v>2012</v>
      </c>
    </row>
    <row r="2830" spans="1:10" x14ac:dyDescent="0.25">
      <c r="A2830">
        <v>20</v>
      </c>
      <c r="B2830" s="1">
        <v>41019</v>
      </c>
      <c r="C2830">
        <v>0</v>
      </c>
      <c r="D2830">
        <v>60.11</v>
      </c>
      <c r="E2830">
        <v>4.0270000000000001</v>
      </c>
      <c r="F2830">
        <v>214.3675045</v>
      </c>
      <c r="G2830">
        <v>1884427.84</v>
      </c>
      <c r="H2830" t="str">
        <f>TEXT(Ventas[[#This Row],[Fecha_venta]],"dd")</f>
        <v>20</v>
      </c>
      <c r="I2830" t="str">
        <f>TEXT(Ventas[[#This Row],[Fecha_venta]],"m")</f>
        <v>4</v>
      </c>
      <c r="J2830" t="str">
        <f>TEXT(Ventas[[#This Row],[Fecha_venta]],"yyyy")</f>
        <v>2012</v>
      </c>
    </row>
    <row r="2831" spans="1:10" x14ac:dyDescent="0.25">
      <c r="A2831">
        <v>20</v>
      </c>
      <c r="B2831" s="1">
        <v>41026</v>
      </c>
      <c r="C2831">
        <v>0</v>
      </c>
      <c r="D2831">
        <v>47.64</v>
      </c>
      <c r="E2831">
        <v>4.0039999999999996</v>
      </c>
      <c r="F2831">
        <v>214.4223063</v>
      </c>
      <c r="G2831">
        <v>1886503.93</v>
      </c>
      <c r="H2831" t="str">
        <f>TEXT(Ventas[[#This Row],[Fecha_venta]],"dd")</f>
        <v>27</v>
      </c>
      <c r="I2831" t="str">
        <f>TEXT(Ventas[[#This Row],[Fecha_venta]],"m")</f>
        <v>4</v>
      </c>
      <c r="J2831" t="str">
        <f>TEXT(Ventas[[#This Row],[Fecha_venta]],"yyyy")</f>
        <v>2012</v>
      </c>
    </row>
    <row r="2832" spans="1:10" x14ac:dyDescent="0.25">
      <c r="A2832">
        <v>20</v>
      </c>
      <c r="B2832" s="1">
        <v>41033</v>
      </c>
      <c r="C2832">
        <v>0</v>
      </c>
      <c r="D2832">
        <v>62.74</v>
      </c>
      <c r="E2832">
        <v>3.9510000000000001</v>
      </c>
      <c r="F2832">
        <v>214.47710810000001</v>
      </c>
      <c r="G2832">
        <v>2163510.89</v>
      </c>
      <c r="H2832" t="str">
        <f>TEXT(Ventas[[#This Row],[Fecha_venta]],"dd")</f>
        <v>04</v>
      </c>
      <c r="I2832" t="str">
        <f>TEXT(Ventas[[#This Row],[Fecha_venta]],"m")</f>
        <v>5</v>
      </c>
      <c r="J2832" t="str">
        <f>TEXT(Ventas[[#This Row],[Fecha_venta]],"yyyy")</f>
        <v>2012</v>
      </c>
    </row>
    <row r="2833" spans="1:10" x14ac:dyDescent="0.25">
      <c r="A2833">
        <v>20</v>
      </c>
      <c r="B2833" s="1">
        <v>41040</v>
      </c>
      <c r="C2833">
        <v>0</v>
      </c>
      <c r="D2833">
        <v>63.19</v>
      </c>
      <c r="E2833">
        <v>3.8889999999999998</v>
      </c>
      <c r="F2833">
        <v>214.53190989999999</v>
      </c>
      <c r="G2833">
        <v>2168097.11</v>
      </c>
      <c r="H2833" t="str">
        <f>TEXT(Ventas[[#This Row],[Fecha_venta]],"dd")</f>
        <v>11</v>
      </c>
      <c r="I2833" t="str">
        <f>TEXT(Ventas[[#This Row],[Fecha_venta]],"m")</f>
        <v>5</v>
      </c>
      <c r="J2833" t="str">
        <f>TEXT(Ventas[[#This Row],[Fecha_venta]],"yyyy")</f>
        <v>2012</v>
      </c>
    </row>
    <row r="2834" spans="1:10" x14ac:dyDescent="0.25">
      <c r="A2834">
        <v>20</v>
      </c>
      <c r="B2834" s="1">
        <v>41047</v>
      </c>
      <c r="C2834">
        <v>0</v>
      </c>
      <c r="D2834">
        <v>60.99</v>
      </c>
      <c r="E2834">
        <v>3.8479999999999999</v>
      </c>
      <c r="F2834">
        <v>214.54855710000001</v>
      </c>
      <c r="G2834">
        <v>2039222.26</v>
      </c>
      <c r="H2834" t="str">
        <f>TEXT(Ventas[[#This Row],[Fecha_venta]],"dd")</f>
        <v>18</v>
      </c>
      <c r="I2834" t="str">
        <f>TEXT(Ventas[[#This Row],[Fecha_venta]],"m")</f>
        <v>5</v>
      </c>
      <c r="J2834" t="str">
        <f>TEXT(Ventas[[#This Row],[Fecha_venta]],"yyyy")</f>
        <v>2012</v>
      </c>
    </row>
    <row r="2835" spans="1:10" x14ac:dyDescent="0.25">
      <c r="A2835">
        <v>20</v>
      </c>
      <c r="B2835" s="1">
        <v>41054</v>
      </c>
      <c r="C2835">
        <v>0</v>
      </c>
      <c r="D2835">
        <v>70.040000000000006</v>
      </c>
      <c r="E2835">
        <v>3.798</v>
      </c>
      <c r="F2835">
        <v>214.54994249999999</v>
      </c>
      <c r="G2835">
        <v>2114989</v>
      </c>
      <c r="H2835" t="str">
        <f>TEXT(Ventas[[#This Row],[Fecha_venta]],"dd")</f>
        <v>25</v>
      </c>
      <c r="I2835" t="str">
        <f>TEXT(Ventas[[#This Row],[Fecha_venta]],"m")</f>
        <v>5</v>
      </c>
      <c r="J2835" t="str">
        <f>TEXT(Ventas[[#This Row],[Fecha_venta]],"yyyy")</f>
        <v>2012</v>
      </c>
    </row>
    <row r="2836" spans="1:10" x14ac:dyDescent="0.25">
      <c r="A2836">
        <v>20</v>
      </c>
      <c r="B2836" s="1">
        <v>41061</v>
      </c>
      <c r="C2836">
        <v>0</v>
      </c>
      <c r="D2836">
        <v>73.67</v>
      </c>
      <c r="E2836">
        <v>3.742</v>
      </c>
      <c r="F2836">
        <v>214.5513278</v>
      </c>
      <c r="G2836">
        <v>2143126.59</v>
      </c>
      <c r="H2836" t="str">
        <f>TEXT(Ventas[[#This Row],[Fecha_venta]],"dd")</f>
        <v>01</v>
      </c>
      <c r="I2836" t="str">
        <f>TEXT(Ventas[[#This Row],[Fecha_venta]],"m")</f>
        <v>6</v>
      </c>
      <c r="J2836" t="str">
        <f>TEXT(Ventas[[#This Row],[Fecha_venta]],"yyyy")</f>
        <v>2012</v>
      </c>
    </row>
    <row r="2837" spans="1:10" x14ac:dyDescent="0.25">
      <c r="A2837">
        <v>20</v>
      </c>
      <c r="B2837" s="1">
        <v>41068</v>
      </c>
      <c r="C2837">
        <v>0</v>
      </c>
      <c r="D2837">
        <v>62.01</v>
      </c>
      <c r="E2837">
        <v>3.6890000000000001</v>
      </c>
      <c r="F2837">
        <v>214.5527132</v>
      </c>
      <c r="G2837">
        <v>2231962.13</v>
      </c>
      <c r="H2837" t="str">
        <f>TEXT(Ventas[[#This Row],[Fecha_venta]],"dd")</f>
        <v>08</v>
      </c>
      <c r="I2837" t="str">
        <f>TEXT(Ventas[[#This Row],[Fecha_venta]],"m")</f>
        <v>6</v>
      </c>
      <c r="J2837" t="str">
        <f>TEXT(Ventas[[#This Row],[Fecha_venta]],"yyyy")</f>
        <v>2012</v>
      </c>
    </row>
    <row r="2838" spans="1:10" x14ac:dyDescent="0.25">
      <c r="A2838">
        <v>20</v>
      </c>
      <c r="B2838" s="1">
        <v>41075</v>
      </c>
      <c r="C2838">
        <v>0</v>
      </c>
      <c r="D2838">
        <v>71.510000000000005</v>
      </c>
      <c r="E2838">
        <v>3.62</v>
      </c>
      <c r="F2838">
        <v>214.56532429999999</v>
      </c>
      <c r="G2838">
        <v>2165160.29</v>
      </c>
      <c r="H2838" t="str">
        <f>TEXT(Ventas[[#This Row],[Fecha_venta]],"dd")</f>
        <v>15</v>
      </c>
      <c r="I2838" t="str">
        <f>TEXT(Ventas[[#This Row],[Fecha_venta]],"m")</f>
        <v>6</v>
      </c>
      <c r="J2838" t="str">
        <f>TEXT(Ventas[[#This Row],[Fecha_venta]],"yyyy")</f>
        <v>2012</v>
      </c>
    </row>
    <row r="2839" spans="1:10" x14ac:dyDescent="0.25">
      <c r="A2839">
        <v>20</v>
      </c>
      <c r="B2839" s="1">
        <v>41082</v>
      </c>
      <c r="C2839">
        <v>0</v>
      </c>
      <c r="D2839">
        <v>76.510000000000005</v>
      </c>
      <c r="E2839">
        <v>3.5640000000000001</v>
      </c>
      <c r="F2839">
        <v>214.60599999999999</v>
      </c>
      <c r="G2839">
        <v>2060588.69</v>
      </c>
      <c r="H2839" t="str">
        <f>TEXT(Ventas[[#This Row],[Fecha_venta]],"dd")</f>
        <v>22</v>
      </c>
      <c r="I2839" t="str">
        <f>TEXT(Ventas[[#This Row],[Fecha_venta]],"m")</f>
        <v>6</v>
      </c>
      <c r="J2839" t="str">
        <f>TEXT(Ventas[[#This Row],[Fecha_venta]],"yyyy")</f>
        <v>2012</v>
      </c>
    </row>
    <row r="2840" spans="1:10" x14ac:dyDescent="0.25">
      <c r="A2840">
        <v>20</v>
      </c>
      <c r="B2840" s="1">
        <v>41089</v>
      </c>
      <c r="C2840">
        <v>0</v>
      </c>
      <c r="D2840">
        <v>74.150000000000006</v>
      </c>
      <c r="E2840">
        <v>3.5059999999999998</v>
      </c>
      <c r="F2840">
        <v>214.6466757</v>
      </c>
      <c r="G2840">
        <v>2055952.61</v>
      </c>
      <c r="H2840" t="str">
        <f>TEXT(Ventas[[#This Row],[Fecha_venta]],"dd")</f>
        <v>29</v>
      </c>
      <c r="I2840" t="str">
        <f>TEXT(Ventas[[#This Row],[Fecha_venta]],"m")</f>
        <v>6</v>
      </c>
      <c r="J2840" t="str">
        <f>TEXT(Ventas[[#This Row],[Fecha_venta]],"yyyy")</f>
        <v>2012</v>
      </c>
    </row>
    <row r="2841" spans="1:10" x14ac:dyDescent="0.25">
      <c r="A2841">
        <v>20</v>
      </c>
      <c r="B2841" s="1">
        <v>41096</v>
      </c>
      <c r="C2841">
        <v>0</v>
      </c>
      <c r="D2841">
        <v>79.2</v>
      </c>
      <c r="E2841">
        <v>3.4750000000000001</v>
      </c>
      <c r="F2841">
        <v>214.68735140000001</v>
      </c>
      <c r="G2841">
        <v>2358055.2999999998</v>
      </c>
      <c r="H2841" t="str">
        <f>TEXT(Ventas[[#This Row],[Fecha_venta]],"dd")</f>
        <v>06</v>
      </c>
      <c r="I2841" t="str">
        <f>TEXT(Ventas[[#This Row],[Fecha_venta]],"m")</f>
        <v>7</v>
      </c>
      <c r="J2841" t="str">
        <f>TEXT(Ventas[[#This Row],[Fecha_venta]],"yyyy")</f>
        <v>2012</v>
      </c>
    </row>
    <row r="2842" spans="1:10" x14ac:dyDescent="0.25">
      <c r="A2842">
        <v>20</v>
      </c>
      <c r="B2842" s="1">
        <v>41103</v>
      </c>
      <c r="C2842">
        <v>0</v>
      </c>
      <c r="D2842">
        <v>78.27</v>
      </c>
      <c r="E2842">
        <v>3.5230000000000001</v>
      </c>
      <c r="F2842">
        <v>214.728027</v>
      </c>
      <c r="G2842">
        <v>2134680.12</v>
      </c>
      <c r="H2842" t="str">
        <f>TEXT(Ventas[[#This Row],[Fecha_venta]],"dd")</f>
        <v>13</v>
      </c>
      <c r="I2842" t="str">
        <f>TEXT(Ventas[[#This Row],[Fecha_venta]],"m")</f>
        <v>7</v>
      </c>
      <c r="J2842" t="str">
        <f>TEXT(Ventas[[#This Row],[Fecha_venta]],"yyyy")</f>
        <v>2012</v>
      </c>
    </row>
    <row r="2843" spans="1:10" x14ac:dyDescent="0.25">
      <c r="A2843">
        <v>20</v>
      </c>
      <c r="B2843" s="1">
        <v>41110</v>
      </c>
      <c r="C2843">
        <v>0</v>
      </c>
      <c r="D2843">
        <v>76.040000000000006</v>
      </c>
      <c r="E2843">
        <v>3.5670000000000002</v>
      </c>
      <c r="F2843">
        <v>214.7331351</v>
      </c>
      <c r="G2843">
        <v>1970170.29</v>
      </c>
      <c r="H2843" t="str">
        <f>TEXT(Ventas[[#This Row],[Fecha_venta]],"dd")</f>
        <v>20</v>
      </c>
      <c r="I2843" t="str">
        <f>TEXT(Ventas[[#This Row],[Fecha_venta]],"m")</f>
        <v>7</v>
      </c>
      <c r="J2843" t="str">
        <f>TEXT(Ventas[[#This Row],[Fecha_venta]],"yyyy")</f>
        <v>2012</v>
      </c>
    </row>
    <row r="2844" spans="1:10" x14ac:dyDescent="0.25">
      <c r="A2844">
        <v>20</v>
      </c>
      <c r="B2844" s="1">
        <v>41117</v>
      </c>
      <c r="C2844">
        <v>0</v>
      </c>
      <c r="D2844">
        <v>74.599999999999994</v>
      </c>
      <c r="E2844">
        <v>3.6469999999999998</v>
      </c>
      <c r="F2844">
        <v>214.7382432</v>
      </c>
      <c r="G2844">
        <v>1911559.1</v>
      </c>
      <c r="H2844" t="str">
        <f>TEXT(Ventas[[#This Row],[Fecha_venta]],"dd")</f>
        <v>27</v>
      </c>
      <c r="I2844" t="str">
        <f>TEXT(Ventas[[#This Row],[Fecha_venta]],"m")</f>
        <v>7</v>
      </c>
      <c r="J2844" t="str">
        <f>TEXT(Ventas[[#This Row],[Fecha_venta]],"yyyy")</f>
        <v>2012</v>
      </c>
    </row>
    <row r="2845" spans="1:10" x14ac:dyDescent="0.25">
      <c r="A2845">
        <v>20</v>
      </c>
      <c r="B2845" s="1">
        <v>41124</v>
      </c>
      <c r="C2845">
        <v>0</v>
      </c>
      <c r="D2845">
        <v>74.73</v>
      </c>
      <c r="E2845">
        <v>3.6539999999999999</v>
      </c>
      <c r="F2845">
        <v>214.74335139999999</v>
      </c>
      <c r="G2845">
        <v>2094515.71</v>
      </c>
      <c r="H2845" t="str">
        <f>TEXT(Ventas[[#This Row],[Fecha_venta]],"dd")</f>
        <v>03</v>
      </c>
      <c r="I2845" t="str">
        <f>TEXT(Ventas[[#This Row],[Fecha_venta]],"m")</f>
        <v>8</v>
      </c>
      <c r="J2845" t="str">
        <f>TEXT(Ventas[[#This Row],[Fecha_venta]],"yyyy")</f>
        <v>2012</v>
      </c>
    </row>
    <row r="2846" spans="1:10" x14ac:dyDescent="0.25">
      <c r="A2846">
        <v>20</v>
      </c>
      <c r="B2846" s="1">
        <v>41131</v>
      </c>
      <c r="C2846">
        <v>0</v>
      </c>
      <c r="D2846">
        <v>75.400000000000006</v>
      </c>
      <c r="E2846">
        <v>3.722</v>
      </c>
      <c r="F2846">
        <v>214.7484595</v>
      </c>
      <c r="G2846">
        <v>2144245.39</v>
      </c>
      <c r="H2846" t="str">
        <f>TEXT(Ventas[[#This Row],[Fecha_venta]],"dd")</f>
        <v>10</v>
      </c>
      <c r="I2846" t="str">
        <f>TEXT(Ventas[[#This Row],[Fecha_venta]],"m")</f>
        <v>8</v>
      </c>
      <c r="J2846" t="str">
        <f>TEXT(Ventas[[#This Row],[Fecha_venta]],"yyyy")</f>
        <v>2012</v>
      </c>
    </row>
    <row r="2847" spans="1:10" x14ac:dyDescent="0.25">
      <c r="A2847">
        <v>20</v>
      </c>
      <c r="B2847" s="1">
        <v>41138</v>
      </c>
      <c r="C2847">
        <v>0</v>
      </c>
      <c r="D2847">
        <v>69.569999999999993</v>
      </c>
      <c r="E2847">
        <v>3.8069999999999999</v>
      </c>
      <c r="F2847">
        <v>214.82557800000001</v>
      </c>
      <c r="G2847">
        <v>2045061.22</v>
      </c>
      <c r="H2847" t="str">
        <f>TEXT(Ventas[[#This Row],[Fecha_venta]],"dd")</f>
        <v>17</v>
      </c>
      <c r="I2847" t="str">
        <f>TEXT(Ventas[[#This Row],[Fecha_venta]],"m")</f>
        <v>8</v>
      </c>
      <c r="J2847" t="str">
        <f>TEXT(Ventas[[#This Row],[Fecha_venta]],"yyyy")</f>
        <v>2012</v>
      </c>
    </row>
    <row r="2848" spans="1:10" x14ac:dyDescent="0.25">
      <c r="A2848">
        <v>20</v>
      </c>
      <c r="B2848" s="1">
        <v>41145</v>
      </c>
      <c r="C2848">
        <v>0</v>
      </c>
      <c r="D2848">
        <v>68.27</v>
      </c>
      <c r="E2848">
        <v>3.8340000000000001</v>
      </c>
      <c r="F2848">
        <v>214.95670440000001</v>
      </c>
      <c r="G2848">
        <v>2005341.43</v>
      </c>
      <c r="H2848" t="str">
        <f>TEXT(Ventas[[#This Row],[Fecha_venta]],"dd")</f>
        <v>24</v>
      </c>
      <c r="I2848" t="str">
        <f>TEXT(Ventas[[#This Row],[Fecha_venta]],"m")</f>
        <v>8</v>
      </c>
      <c r="J2848" t="str">
        <f>TEXT(Ventas[[#This Row],[Fecha_venta]],"yyyy")</f>
        <v>2012</v>
      </c>
    </row>
    <row r="2849" spans="1:10" x14ac:dyDescent="0.25">
      <c r="A2849">
        <v>20</v>
      </c>
      <c r="B2849" s="1">
        <v>41152</v>
      </c>
      <c r="C2849">
        <v>0</v>
      </c>
      <c r="D2849">
        <v>72.66</v>
      </c>
      <c r="E2849">
        <v>3.867</v>
      </c>
      <c r="F2849">
        <v>215.0878309</v>
      </c>
      <c r="G2849">
        <v>2062481.56</v>
      </c>
      <c r="H2849" t="str">
        <f>TEXT(Ventas[[#This Row],[Fecha_venta]],"dd")</f>
        <v>31</v>
      </c>
      <c r="I2849" t="str">
        <f>TEXT(Ventas[[#This Row],[Fecha_venta]],"m")</f>
        <v>8</v>
      </c>
      <c r="J2849" t="str">
        <f>TEXT(Ventas[[#This Row],[Fecha_venta]],"yyyy")</f>
        <v>2012</v>
      </c>
    </row>
    <row r="2850" spans="1:10" x14ac:dyDescent="0.25">
      <c r="A2850">
        <v>20</v>
      </c>
      <c r="B2850" s="1">
        <v>41159</v>
      </c>
      <c r="C2850">
        <v>1</v>
      </c>
      <c r="D2850">
        <v>76.36</v>
      </c>
      <c r="E2850">
        <v>3.911</v>
      </c>
      <c r="F2850">
        <v>215.2189573</v>
      </c>
      <c r="G2850">
        <v>2080529.06</v>
      </c>
      <c r="H2850" t="str">
        <f>TEXT(Ventas[[#This Row],[Fecha_venta]],"dd")</f>
        <v>07</v>
      </c>
      <c r="I2850" t="str">
        <f>TEXT(Ventas[[#This Row],[Fecha_venta]],"m")</f>
        <v>9</v>
      </c>
      <c r="J2850" t="str">
        <f>TEXT(Ventas[[#This Row],[Fecha_venta]],"yyyy")</f>
        <v>2012</v>
      </c>
    </row>
    <row r="2851" spans="1:10" x14ac:dyDescent="0.25">
      <c r="A2851">
        <v>20</v>
      </c>
      <c r="B2851" s="1">
        <v>41166</v>
      </c>
      <c r="C2851">
        <v>0</v>
      </c>
      <c r="D2851">
        <v>64.84</v>
      </c>
      <c r="E2851">
        <v>3.948</v>
      </c>
      <c r="F2851">
        <v>215.35837570000001</v>
      </c>
      <c r="G2851">
        <v>2047949.98</v>
      </c>
      <c r="H2851" t="str">
        <f>TEXT(Ventas[[#This Row],[Fecha_venta]],"dd")</f>
        <v>14</v>
      </c>
      <c r="I2851" t="str">
        <f>TEXT(Ventas[[#This Row],[Fecha_venta]],"m")</f>
        <v>9</v>
      </c>
      <c r="J2851" t="str">
        <f>TEXT(Ventas[[#This Row],[Fecha_venta]],"yyyy")</f>
        <v>2012</v>
      </c>
    </row>
    <row r="2852" spans="1:10" x14ac:dyDescent="0.25">
      <c r="A2852">
        <v>20</v>
      </c>
      <c r="B2852" s="1">
        <v>41173</v>
      </c>
      <c r="C2852">
        <v>0</v>
      </c>
      <c r="D2852">
        <v>60.94</v>
      </c>
      <c r="E2852">
        <v>4.0380000000000003</v>
      </c>
      <c r="F2852">
        <v>215.54754589999999</v>
      </c>
      <c r="G2852">
        <v>2028587.24</v>
      </c>
      <c r="H2852" t="str">
        <f>TEXT(Ventas[[#This Row],[Fecha_venta]],"dd")</f>
        <v>21</v>
      </c>
      <c r="I2852" t="str">
        <f>TEXT(Ventas[[#This Row],[Fecha_venta]],"m")</f>
        <v>9</v>
      </c>
      <c r="J2852" t="str">
        <f>TEXT(Ventas[[#This Row],[Fecha_venta]],"yyyy")</f>
        <v>2012</v>
      </c>
    </row>
    <row r="2853" spans="1:10" x14ac:dyDescent="0.25">
      <c r="A2853">
        <v>20</v>
      </c>
      <c r="B2853" s="1">
        <v>41180</v>
      </c>
      <c r="C2853">
        <v>0</v>
      </c>
      <c r="D2853">
        <v>58.65</v>
      </c>
      <c r="E2853">
        <v>3.9969999999999999</v>
      </c>
      <c r="F2853">
        <v>215.73671619999999</v>
      </c>
      <c r="G2853">
        <v>2008350.58</v>
      </c>
      <c r="H2853" t="str">
        <f>TEXT(Ventas[[#This Row],[Fecha_venta]],"dd")</f>
        <v>28</v>
      </c>
      <c r="I2853" t="str">
        <f>TEXT(Ventas[[#This Row],[Fecha_venta]],"m")</f>
        <v>9</v>
      </c>
      <c r="J2853" t="str">
        <f>TEXT(Ventas[[#This Row],[Fecha_venta]],"yyyy")</f>
        <v>2012</v>
      </c>
    </row>
    <row r="2854" spans="1:10" x14ac:dyDescent="0.25">
      <c r="A2854">
        <v>20</v>
      </c>
      <c r="B2854" s="1">
        <v>41187</v>
      </c>
      <c r="C2854">
        <v>0</v>
      </c>
      <c r="D2854">
        <v>60.77</v>
      </c>
      <c r="E2854">
        <v>3.9849999999999999</v>
      </c>
      <c r="F2854">
        <v>215.92588649999999</v>
      </c>
      <c r="G2854">
        <v>2246411.89</v>
      </c>
      <c r="H2854" t="str">
        <f>TEXT(Ventas[[#This Row],[Fecha_venta]],"dd")</f>
        <v>05</v>
      </c>
      <c r="I2854" t="str">
        <f>TEXT(Ventas[[#This Row],[Fecha_venta]],"m")</f>
        <v>10</v>
      </c>
      <c r="J2854" t="str">
        <f>TEXT(Ventas[[#This Row],[Fecha_venta]],"yyyy")</f>
        <v>2012</v>
      </c>
    </row>
    <row r="2855" spans="1:10" x14ac:dyDescent="0.25">
      <c r="A2855">
        <v>20</v>
      </c>
      <c r="B2855" s="1">
        <v>41194</v>
      </c>
      <c r="C2855">
        <v>0</v>
      </c>
      <c r="D2855">
        <v>47.2</v>
      </c>
      <c r="E2855">
        <v>4</v>
      </c>
      <c r="F2855">
        <v>216.11505679999999</v>
      </c>
      <c r="G2855">
        <v>2162951.36</v>
      </c>
      <c r="H2855" t="str">
        <f>TEXT(Ventas[[#This Row],[Fecha_venta]],"dd")</f>
        <v>12</v>
      </c>
      <c r="I2855" t="str">
        <f>TEXT(Ventas[[#This Row],[Fecha_venta]],"m")</f>
        <v>10</v>
      </c>
      <c r="J2855" t="str">
        <f>TEXT(Ventas[[#This Row],[Fecha_venta]],"yyyy")</f>
        <v>2012</v>
      </c>
    </row>
    <row r="2856" spans="1:10" x14ac:dyDescent="0.25">
      <c r="A2856">
        <v>20</v>
      </c>
      <c r="B2856" s="1">
        <v>41201</v>
      </c>
      <c r="C2856">
        <v>0</v>
      </c>
      <c r="D2856">
        <v>56.26</v>
      </c>
      <c r="E2856">
        <v>3.9689999999999999</v>
      </c>
      <c r="F2856">
        <v>216.1464699</v>
      </c>
      <c r="G2856">
        <v>1999363.49</v>
      </c>
      <c r="H2856" t="str">
        <f>TEXT(Ventas[[#This Row],[Fecha_venta]],"dd")</f>
        <v>19</v>
      </c>
      <c r="I2856" t="str">
        <f>TEXT(Ventas[[#This Row],[Fecha_venta]],"m")</f>
        <v>10</v>
      </c>
      <c r="J2856" t="str">
        <f>TEXT(Ventas[[#This Row],[Fecha_venta]],"yyyy")</f>
        <v>2012</v>
      </c>
    </row>
    <row r="2857" spans="1:10" x14ac:dyDescent="0.25">
      <c r="A2857">
        <v>20</v>
      </c>
      <c r="B2857" s="1">
        <v>41208</v>
      </c>
      <c r="C2857">
        <v>0</v>
      </c>
      <c r="D2857">
        <v>60.04</v>
      </c>
      <c r="E2857">
        <v>3.8820000000000001</v>
      </c>
      <c r="F2857">
        <v>216.15159019999999</v>
      </c>
      <c r="G2857">
        <v>2031650.55</v>
      </c>
      <c r="H2857" t="str">
        <f>TEXT(Ventas[[#This Row],[Fecha_venta]],"dd")</f>
        <v>26</v>
      </c>
      <c r="I2857" t="str">
        <f>TEXT(Ventas[[#This Row],[Fecha_venta]],"m")</f>
        <v>10</v>
      </c>
      <c r="J2857" t="str">
        <f>TEXT(Ventas[[#This Row],[Fecha_venta]],"yyyy")</f>
        <v>2012</v>
      </c>
    </row>
    <row r="2858" spans="1:10" x14ac:dyDescent="0.25">
      <c r="A2858">
        <v>21</v>
      </c>
      <c r="B2858" s="1">
        <v>40214</v>
      </c>
      <c r="C2858">
        <v>0</v>
      </c>
      <c r="D2858">
        <v>39.049999999999997</v>
      </c>
      <c r="E2858">
        <v>2.5720000000000001</v>
      </c>
      <c r="F2858">
        <v>210.7526053</v>
      </c>
      <c r="G2858">
        <v>798593.88</v>
      </c>
      <c r="H2858" t="str">
        <f>TEXT(Ventas[[#This Row],[Fecha_venta]],"dd")</f>
        <v>05</v>
      </c>
      <c r="I2858" t="str">
        <f>TEXT(Ventas[[#This Row],[Fecha_venta]],"m")</f>
        <v>2</v>
      </c>
      <c r="J2858" t="str">
        <f>TEXT(Ventas[[#This Row],[Fecha_venta]],"yyyy")</f>
        <v>2010</v>
      </c>
    </row>
    <row r="2859" spans="1:10" x14ac:dyDescent="0.25">
      <c r="A2859">
        <v>21</v>
      </c>
      <c r="B2859" s="1">
        <v>40221</v>
      </c>
      <c r="C2859">
        <v>1</v>
      </c>
      <c r="D2859">
        <v>37.770000000000003</v>
      </c>
      <c r="E2859">
        <v>2.548</v>
      </c>
      <c r="F2859">
        <v>210.89799350000001</v>
      </c>
      <c r="G2859">
        <v>809321.44</v>
      </c>
      <c r="H2859" t="str">
        <f>TEXT(Ventas[[#This Row],[Fecha_venta]],"dd")</f>
        <v>12</v>
      </c>
      <c r="I2859" t="str">
        <f>TEXT(Ventas[[#This Row],[Fecha_venta]],"m")</f>
        <v>2</v>
      </c>
      <c r="J2859" t="str">
        <f>TEXT(Ventas[[#This Row],[Fecha_venta]],"yyyy")</f>
        <v>2010</v>
      </c>
    </row>
    <row r="2860" spans="1:10" x14ac:dyDescent="0.25">
      <c r="A2860">
        <v>21</v>
      </c>
      <c r="B2860" s="1">
        <v>40228</v>
      </c>
      <c r="C2860">
        <v>0</v>
      </c>
      <c r="D2860">
        <v>39.75</v>
      </c>
      <c r="E2860">
        <v>2.5139999999999998</v>
      </c>
      <c r="F2860">
        <v>210.94516049999999</v>
      </c>
      <c r="G2860">
        <v>867283.25</v>
      </c>
      <c r="H2860" t="str">
        <f>TEXT(Ventas[[#This Row],[Fecha_venta]],"dd")</f>
        <v>19</v>
      </c>
      <c r="I2860" t="str">
        <f>TEXT(Ventas[[#This Row],[Fecha_venta]],"m")</f>
        <v>2</v>
      </c>
      <c r="J2860" t="str">
        <f>TEXT(Ventas[[#This Row],[Fecha_venta]],"yyyy")</f>
        <v>2010</v>
      </c>
    </row>
    <row r="2861" spans="1:10" x14ac:dyDescent="0.25">
      <c r="A2861">
        <v>21</v>
      </c>
      <c r="B2861" s="1">
        <v>40235</v>
      </c>
      <c r="C2861">
        <v>0</v>
      </c>
      <c r="D2861">
        <v>45.31</v>
      </c>
      <c r="E2861">
        <v>2.5609999999999999</v>
      </c>
      <c r="F2861">
        <v>210.9759573</v>
      </c>
      <c r="G2861">
        <v>749597.24</v>
      </c>
      <c r="H2861" t="str">
        <f>TEXT(Ventas[[#This Row],[Fecha_venta]],"dd")</f>
        <v>26</v>
      </c>
      <c r="I2861" t="str">
        <f>TEXT(Ventas[[#This Row],[Fecha_venta]],"m")</f>
        <v>2</v>
      </c>
      <c r="J2861" t="str">
        <f>TEXT(Ventas[[#This Row],[Fecha_venta]],"yyyy")</f>
        <v>2010</v>
      </c>
    </row>
    <row r="2862" spans="1:10" x14ac:dyDescent="0.25">
      <c r="A2862">
        <v>21</v>
      </c>
      <c r="B2862" s="1">
        <v>40242</v>
      </c>
      <c r="C2862">
        <v>0</v>
      </c>
      <c r="D2862">
        <v>48.61</v>
      </c>
      <c r="E2862">
        <v>2.625</v>
      </c>
      <c r="F2862">
        <v>211.00675419999999</v>
      </c>
      <c r="G2862">
        <v>747444.32</v>
      </c>
      <c r="H2862" t="str">
        <f>TEXT(Ventas[[#This Row],[Fecha_venta]],"dd")</f>
        <v>05</v>
      </c>
      <c r="I2862" t="str">
        <f>TEXT(Ventas[[#This Row],[Fecha_venta]],"m")</f>
        <v>3</v>
      </c>
      <c r="J2862" t="str">
        <f>TEXT(Ventas[[#This Row],[Fecha_venta]],"yyyy")</f>
        <v>2010</v>
      </c>
    </row>
    <row r="2863" spans="1:10" x14ac:dyDescent="0.25">
      <c r="A2863">
        <v>21</v>
      </c>
      <c r="B2863" s="1">
        <v>40249</v>
      </c>
      <c r="C2863">
        <v>0</v>
      </c>
      <c r="D2863">
        <v>57.1</v>
      </c>
      <c r="E2863">
        <v>2.6669999999999998</v>
      </c>
      <c r="F2863">
        <v>211.03755100000001</v>
      </c>
      <c r="G2863">
        <v>712312.89</v>
      </c>
      <c r="H2863" t="str">
        <f>TEXT(Ventas[[#This Row],[Fecha_venta]],"dd")</f>
        <v>12</v>
      </c>
      <c r="I2863" t="str">
        <f>TEXT(Ventas[[#This Row],[Fecha_venta]],"m")</f>
        <v>3</v>
      </c>
      <c r="J2863" t="str">
        <f>TEXT(Ventas[[#This Row],[Fecha_venta]],"yyyy")</f>
        <v>2010</v>
      </c>
    </row>
    <row r="2864" spans="1:10" x14ac:dyDescent="0.25">
      <c r="A2864">
        <v>21</v>
      </c>
      <c r="B2864" s="1">
        <v>40256</v>
      </c>
      <c r="C2864">
        <v>0</v>
      </c>
      <c r="D2864">
        <v>54.68</v>
      </c>
      <c r="E2864">
        <v>2.72</v>
      </c>
      <c r="F2864">
        <v>210.8733316</v>
      </c>
      <c r="G2864">
        <v>727070</v>
      </c>
      <c r="H2864" t="str">
        <f>TEXT(Ventas[[#This Row],[Fecha_venta]],"dd")</f>
        <v>19</v>
      </c>
      <c r="I2864" t="str">
        <f>TEXT(Ventas[[#This Row],[Fecha_venta]],"m")</f>
        <v>3</v>
      </c>
      <c r="J2864" t="str">
        <f>TEXT(Ventas[[#This Row],[Fecha_venta]],"yyyy")</f>
        <v>2010</v>
      </c>
    </row>
    <row r="2865" spans="1:10" x14ac:dyDescent="0.25">
      <c r="A2865">
        <v>21</v>
      </c>
      <c r="B2865" s="1">
        <v>40263</v>
      </c>
      <c r="C2865">
        <v>0</v>
      </c>
      <c r="D2865">
        <v>51.66</v>
      </c>
      <c r="E2865">
        <v>2.7320000000000002</v>
      </c>
      <c r="F2865">
        <v>210.67660950000001</v>
      </c>
      <c r="G2865">
        <v>686497.53</v>
      </c>
      <c r="H2865" t="str">
        <f>TEXT(Ventas[[#This Row],[Fecha_venta]],"dd")</f>
        <v>26</v>
      </c>
      <c r="I2865" t="str">
        <f>TEXT(Ventas[[#This Row],[Fecha_venta]],"m")</f>
        <v>3</v>
      </c>
      <c r="J2865" t="str">
        <f>TEXT(Ventas[[#This Row],[Fecha_venta]],"yyyy")</f>
        <v>2010</v>
      </c>
    </row>
    <row r="2866" spans="1:10" x14ac:dyDescent="0.25">
      <c r="A2866">
        <v>21</v>
      </c>
      <c r="B2866" s="1">
        <v>40270</v>
      </c>
      <c r="C2866">
        <v>0</v>
      </c>
      <c r="D2866">
        <v>64.12</v>
      </c>
      <c r="E2866">
        <v>2.7189999999999999</v>
      </c>
      <c r="F2866">
        <v>210.4798874</v>
      </c>
      <c r="G2866">
        <v>753664.12</v>
      </c>
      <c r="H2866" t="str">
        <f>TEXT(Ventas[[#This Row],[Fecha_venta]],"dd")</f>
        <v>02</v>
      </c>
      <c r="I2866" t="str">
        <f>TEXT(Ventas[[#This Row],[Fecha_venta]],"m")</f>
        <v>4</v>
      </c>
      <c r="J2866" t="str">
        <f>TEXT(Ventas[[#This Row],[Fecha_venta]],"yyyy")</f>
        <v>2010</v>
      </c>
    </row>
    <row r="2867" spans="1:10" x14ac:dyDescent="0.25">
      <c r="A2867">
        <v>21</v>
      </c>
      <c r="B2867" s="1">
        <v>40277</v>
      </c>
      <c r="C2867">
        <v>0</v>
      </c>
      <c r="D2867">
        <v>65.739999999999995</v>
      </c>
      <c r="E2867">
        <v>2.77</v>
      </c>
      <c r="F2867">
        <v>210.28316530000001</v>
      </c>
      <c r="G2867">
        <v>751181.4</v>
      </c>
      <c r="H2867" t="str">
        <f>TEXT(Ventas[[#This Row],[Fecha_venta]],"dd")</f>
        <v>09</v>
      </c>
      <c r="I2867" t="str">
        <f>TEXT(Ventas[[#This Row],[Fecha_venta]],"m")</f>
        <v>4</v>
      </c>
      <c r="J2867" t="str">
        <f>TEXT(Ventas[[#This Row],[Fecha_venta]],"yyyy")</f>
        <v>2010</v>
      </c>
    </row>
    <row r="2868" spans="1:10" x14ac:dyDescent="0.25">
      <c r="A2868">
        <v>21</v>
      </c>
      <c r="B2868" s="1">
        <v>40284</v>
      </c>
      <c r="C2868">
        <v>0</v>
      </c>
      <c r="D2868">
        <v>67.87</v>
      </c>
      <c r="E2868">
        <v>2.8079999999999998</v>
      </c>
      <c r="F2868">
        <v>210.1495463</v>
      </c>
      <c r="G2868">
        <v>716026.51</v>
      </c>
      <c r="H2868" t="str">
        <f>TEXT(Ventas[[#This Row],[Fecha_venta]],"dd")</f>
        <v>16</v>
      </c>
      <c r="I2868" t="str">
        <f>TEXT(Ventas[[#This Row],[Fecha_venta]],"m")</f>
        <v>4</v>
      </c>
      <c r="J2868" t="str">
        <f>TEXT(Ventas[[#This Row],[Fecha_venta]],"yyyy")</f>
        <v>2010</v>
      </c>
    </row>
    <row r="2869" spans="1:10" x14ac:dyDescent="0.25">
      <c r="A2869">
        <v>21</v>
      </c>
      <c r="B2869" s="1">
        <v>40291</v>
      </c>
      <c r="C2869">
        <v>0</v>
      </c>
      <c r="D2869">
        <v>64.209999999999994</v>
      </c>
      <c r="E2869">
        <v>2.7949999999999999</v>
      </c>
      <c r="F2869">
        <v>210.10006480000001</v>
      </c>
      <c r="G2869">
        <v>718780.59</v>
      </c>
      <c r="H2869" t="str">
        <f>TEXT(Ventas[[#This Row],[Fecha_venta]],"dd")</f>
        <v>23</v>
      </c>
      <c r="I2869" t="str">
        <f>TEXT(Ventas[[#This Row],[Fecha_venta]],"m")</f>
        <v>4</v>
      </c>
      <c r="J2869" t="str">
        <f>TEXT(Ventas[[#This Row],[Fecha_venta]],"yyyy")</f>
        <v>2010</v>
      </c>
    </row>
    <row r="2870" spans="1:10" x14ac:dyDescent="0.25">
      <c r="A2870">
        <v>21</v>
      </c>
      <c r="B2870" s="1">
        <v>40298</v>
      </c>
      <c r="C2870">
        <v>0</v>
      </c>
      <c r="D2870">
        <v>66.930000000000007</v>
      </c>
      <c r="E2870">
        <v>2.78</v>
      </c>
      <c r="F2870">
        <v>210.0505833</v>
      </c>
      <c r="G2870">
        <v>680532.69</v>
      </c>
      <c r="H2870" t="str">
        <f>TEXT(Ventas[[#This Row],[Fecha_venta]],"dd")</f>
        <v>30</v>
      </c>
      <c r="I2870" t="str">
        <f>TEXT(Ventas[[#This Row],[Fecha_venta]],"m")</f>
        <v>4</v>
      </c>
      <c r="J2870" t="str">
        <f>TEXT(Ventas[[#This Row],[Fecha_venta]],"yyyy")</f>
        <v>2010</v>
      </c>
    </row>
    <row r="2871" spans="1:10" x14ac:dyDescent="0.25">
      <c r="A2871">
        <v>21</v>
      </c>
      <c r="B2871" s="1">
        <v>40305</v>
      </c>
      <c r="C2871">
        <v>0</v>
      </c>
      <c r="D2871">
        <v>70.87</v>
      </c>
      <c r="E2871">
        <v>2.835</v>
      </c>
      <c r="F2871">
        <v>210.00110179999999</v>
      </c>
      <c r="G2871">
        <v>744969.42</v>
      </c>
      <c r="H2871" t="str">
        <f>TEXT(Ventas[[#This Row],[Fecha_venta]],"dd")</f>
        <v>07</v>
      </c>
      <c r="I2871" t="str">
        <f>TEXT(Ventas[[#This Row],[Fecha_venta]],"m")</f>
        <v>5</v>
      </c>
      <c r="J2871" t="str">
        <f>TEXT(Ventas[[#This Row],[Fecha_venta]],"yyyy")</f>
        <v>2010</v>
      </c>
    </row>
    <row r="2872" spans="1:10" x14ac:dyDescent="0.25">
      <c r="A2872">
        <v>21</v>
      </c>
      <c r="B2872" s="1">
        <v>40312</v>
      </c>
      <c r="C2872">
        <v>0</v>
      </c>
      <c r="D2872">
        <v>73.08</v>
      </c>
      <c r="E2872">
        <v>2.8540000000000001</v>
      </c>
      <c r="F2872">
        <v>209.9984585</v>
      </c>
      <c r="G2872">
        <v>723559.88</v>
      </c>
      <c r="H2872" t="str">
        <f>TEXT(Ventas[[#This Row],[Fecha_venta]],"dd")</f>
        <v>14</v>
      </c>
      <c r="I2872" t="str">
        <f>TEXT(Ventas[[#This Row],[Fecha_venta]],"m")</f>
        <v>5</v>
      </c>
      <c r="J2872" t="str">
        <f>TEXT(Ventas[[#This Row],[Fecha_venta]],"yyyy")</f>
        <v>2010</v>
      </c>
    </row>
    <row r="2873" spans="1:10" x14ac:dyDescent="0.25">
      <c r="A2873">
        <v>21</v>
      </c>
      <c r="B2873" s="1">
        <v>40319</v>
      </c>
      <c r="C2873">
        <v>0</v>
      </c>
      <c r="D2873">
        <v>74.239999999999995</v>
      </c>
      <c r="E2873">
        <v>2.8260000000000001</v>
      </c>
      <c r="F2873">
        <v>210.27684429999999</v>
      </c>
      <c r="G2873">
        <v>753361.72</v>
      </c>
      <c r="H2873" t="str">
        <f>TEXT(Ventas[[#This Row],[Fecha_venta]],"dd")</f>
        <v>21</v>
      </c>
      <c r="I2873" t="str">
        <f>TEXT(Ventas[[#This Row],[Fecha_venta]],"m")</f>
        <v>5</v>
      </c>
      <c r="J2873" t="str">
        <f>TEXT(Ventas[[#This Row],[Fecha_venta]],"yyyy")</f>
        <v>2010</v>
      </c>
    </row>
    <row r="2874" spans="1:10" x14ac:dyDescent="0.25">
      <c r="A2874">
        <v>21</v>
      </c>
      <c r="B2874" s="1">
        <v>40326</v>
      </c>
      <c r="C2874">
        <v>0</v>
      </c>
      <c r="D2874">
        <v>80.94</v>
      </c>
      <c r="E2874">
        <v>2.7589999999999999</v>
      </c>
      <c r="F2874">
        <v>210.55523009999999</v>
      </c>
      <c r="G2874">
        <v>755214.26</v>
      </c>
      <c r="H2874" t="str">
        <f>TEXT(Ventas[[#This Row],[Fecha_venta]],"dd")</f>
        <v>28</v>
      </c>
      <c r="I2874" t="str">
        <f>TEXT(Ventas[[#This Row],[Fecha_venta]],"m")</f>
        <v>5</v>
      </c>
      <c r="J2874" t="str">
        <f>TEXT(Ventas[[#This Row],[Fecha_venta]],"yyyy")</f>
        <v>2010</v>
      </c>
    </row>
    <row r="2875" spans="1:10" x14ac:dyDescent="0.25">
      <c r="A2875">
        <v>21</v>
      </c>
      <c r="B2875" s="1">
        <v>40333</v>
      </c>
      <c r="C2875">
        <v>0</v>
      </c>
      <c r="D2875">
        <v>82.68</v>
      </c>
      <c r="E2875">
        <v>2.7050000000000001</v>
      </c>
      <c r="F2875">
        <v>210.83361600000001</v>
      </c>
      <c r="G2875">
        <v>806012.48</v>
      </c>
      <c r="H2875" t="str">
        <f>TEXT(Ventas[[#This Row],[Fecha_venta]],"dd")</f>
        <v>04</v>
      </c>
      <c r="I2875" t="str">
        <f>TEXT(Ventas[[#This Row],[Fecha_venta]],"m")</f>
        <v>6</v>
      </c>
      <c r="J2875" t="str">
        <f>TEXT(Ventas[[#This Row],[Fecha_venta]],"yyyy")</f>
        <v>2010</v>
      </c>
    </row>
    <row r="2876" spans="1:10" x14ac:dyDescent="0.25">
      <c r="A2876">
        <v>21</v>
      </c>
      <c r="B2876" s="1">
        <v>40340</v>
      </c>
      <c r="C2876">
        <v>0</v>
      </c>
      <c r="D2876">
        <v>83.51</v>
      </c>
      <c r="E2876">
        <v>2.6680000000000001</v>
      </c>
      <c r="F2876">
        <v>211.1120018</v>
      </c>
      <c r="G2876">
        <v>784305.55</v>
      </c>
      <c r="H2876" t="str">
        <f>TEXT(Ventas[[#This Row],[Fecha_venta]],"dd")</f>
        <v>11</v>
      </c>
      <c r="I2876" t="str">
        <f>TEXT(Ventas[[#This Row],[Fecha_venta]],"m")</f>
        <v>6</v>
      </c>
      <c r="J2876" t="str">
        <f>TEXT(Ventas[[#This Row],[Fecha_venta]],"yyyy")</f>
        <v>2010</v>
      </c>
    </row>
    <row r="2877" spans="1:10" x14ac:dyDescent="0.25">
      <c r="A2877">
        <v>21</v>
      </c>
      <c r="B2877" s="1">
        <v>40347</v>
      </c>
      <c r="C2877">
        <v>0</v>
      </c>
      <c r="D2877">
        <v>86.18</v>
      </c>
      <c r="E2877">
        <v>2.637</v>
      </c>
      <c r="F2877">
        <v>211.10965429999999</v>
      </c>
      <c r="G2877">
        <v>785104.29</v>
      </c>
      <c r="H2877" t="str">
        <f>TEXT(Ventas[[#This Row],[Fecha_venta]],"dd")</f>
        <v>18</v>
      </c>
      <c r="I2877" t="str">
        <f>TEXT(Ventas[[#This Row],[Fecha_venta]],"m")</f>
        <v>6</v>
      </c>
      <c r="J2877" t="str">
        <f>TEXT(Ventas[[#This Row],[Fecha_venta]],"yyyy")</f>
        <v>2010</v>
      </c>
    </row>
    <row r="2878" spans="1:10" x14ac:dyDescent="0.25">
      <c r="A2878">
        <v>21</v>
      </c>
      <c r="B2878" s="1">
        <v>40354</v>
      </c>
      <c r="C2878">
        <v>0</v>
      </c>
      <c r="D2878">
        <v>87.01</v>
      </c>
      <c r="E2878">
        <v>2.653</v>
      </c>
      <c r="F2878">
        <v>210.9950134</v>
      </c>
      <c r="G2878">
        <v>769848.75</v>
      </c>
      <c r="H2878" t="str">
        <f>TEXT(Ventas[[#This Row],[Fecha_venta]],"dd")</f>
        <v>25</v>
      </c>
      <c r="I2878" t="str">
        <f>TEXT(Ventas[[#This Row],[Fecha_venta]],"m")</f>
        <v>6</v>
      </c>
      <c r="J2878" t="str">
        <f>TEXT(Ventas[[#This Row],[Fecha_venta]],"yyyy")</f>
        <v>2010</v>
      </c>
    </row>
    <row r="2879" spans="1:10" x14ac:dyDescent="0.25">
      <c r="A2879">
        <v>21</v>
      </c>
      <c r="B2879" s="1">
        <v>40361</v>
      </c>
      <c r="C2879">
        <v>0</v>
      </c>
      <c r="D2879">
        <v>82.29</v>
      </c>
      <c r="E2879">
        <v>2.669</v>
      </c>
      <c r="F2879">
        <v>210.88037259999999</v>
      </c>
      <c r="G2879">
        <v>711470.8</v>
      </c>
      <c r="H2879" t="str">
        <f>TEXT(Ventas[[#This Row],[Fecha_venta]],"dd")</f>
        <v>02</v>
      </c>
      <c r="I2879" t="str">
        <f>TEXT(Ventas[[#This Row],[Fecha_venta]],"m")</f>
        <v>7</v>
      </c>
      <c r="J2879" t="str">
        <f>TEXT(Ventas[[#This Row],[Fecha_venta]],"yyyy")</f>
        <v>2010</v>
      </c>
    </row>
    <row r="2880" spans="1:10" x14ac:dyDescent="0.25">
      <c r="A2880">
        <v>21</v>
      </c>
      <c r="B2880" s="1">
        <v>40368</v>
      </c>
      <c r="C2880">
        <v>0</v>
      </c>
      <c r="D2880">
        <v>81.67</v>
      </c>
      <c r="E2880">
        <v>2.6419999999999999</v>
      </c>
      <c r="F2880">
        <v>210.7657317</v>
      </c>
      <c r="G2880">
        <v>714677.47</v>
      </c>
      <c r="H2880" t="str">
        <f>TEXT(Ventas[[#This Row],[Fecha_venta]],"dd")</f>
        <v>09</v>
      </c>
      <c r="I2880" t="str">
        <f>TEXT(Ventas[[#This Row],[Fecha_venta]],"m")</f>
        <v>7</v>
      </c>
      <c r="J2880" t="str">
        <f>TEXT(Ventas[[#This Row],[Fecha_venta]],"yyyy")</f>
        <v>2010</v>
      </c>
    </row>
    <row r="2881" spans="1:10" x14ac:dyDescent="0.25">
      <c r="A2881">
        <v>21</v>
      </c>
      <c r="B2881" s="1">
        <v>40375</v>
      </c>
      <c r="C2881">
        <v>0</v>
      </c>
      <c r="D2881">
        <v>85.61</v>
      </c>
      <c r="E2881">
        <v>2.6230000000000002</v>
      </c>
      <c r="F2881">
        <v>210.75779539999999</v>
      </c>
      <c r="G2881">
        <v>755098.41</v>
      </c>
      <c r="H2881" t="str">
        <f>TEXT(Ventas[[#This Row],[Fecha_venta]],"dd")</f>
        <v>16</v>
      </c>
      <c r="I2881" t="str">
        <f>TEXT(Ventas[[#This Row],[Fecha_venta]],"m")</f>
        <v>7</v>
      </c>
      <c r="J2881" t="str">
        <f>TEXT(Ventas[[#This Row],[Fecha_venta]],"yyyy")</f>
        <v>2010</v>
      </c>
    </row>
    <row r="2882" spans="1:10" x14ac:dyDescent="0.25">
      <c r="A2882">
        <v>21</v>
      </c>
      <c r="B2882" s="1">
        <v>40382</v>
      </c>
      <c r="C2882">
        <v>0</v>
      </c>
      <c r="D2882">
        <v>87.17</v>
      </c>
      <c r="E2882">
        <v>2.6080000000000001</v>
      </c>
      <c r="F2882">
        <v>210.89213190000001</v>
      </c>
      <c r="G2882">
        <v>765823.48</v>
      </c>
      <c r="H2882" t="str">
        <f>TEXT(Ventas[[#This Row],[Fecha_venta]],"dd")</f>
        <v>23</v>
      </c>
      <c r="I2882" t="str">
        <f>TEXT(Ventas[[#This Row],[Fecha_venta]],"m")</f>
        <v>7</v>
      </c>
      <c r="J2882" t="str">
        <f>TEXT(Ventas[[#This Row],[Fecha_venta]],"yyyy")</f>
        <v>2010</v>
      </c>
    </row>
    <row r="2883" spans="1:10" x14ac:dyDescent="0.25">
      <c r="A2883">
        <v>21</v>
      </c>
      <c r="B2883" s="1">
        <v>40389</v>
      </c>
      <c r="C2883">
        <v>0</v>
      </c>
      <c r="D2883">
        <v>83.59</v>
      </c>
      <c r="E2883">
        <v>2.64</v>
      </c>
      <c r="F2883">
        <v>211.0264684</v>
      </c>
      <c r="G2883">
        <v>715876.27</v>
      </c>
      <c r="H2883" t="str">
        <f>TEXT(Ventas[[#This Row],[Fecha_venta]],"dd")</f>
        <v>30</v>
      </c>
      <c r="I2883" t="str">
        <f>TEXT(Ventas[[#This Row],[Fecha_venta]],"m")</f>
        <v>7</v>
      </c>
      <c r="J2883" t="str">
        <f>TEXT(Ventas[[#This Row],[Fecha_venta]],"yyyy")</f>
        <v>2010</v>
      </c>
    </row>
    <row r="2884" spans="1:10" x14ac:dyDescent="0.25">
      <c r="A2884">
        <v>21</v>
      </c>
      <c r="B2884" s="1">
        <v>40396</v>
      </c>
      <c r="C2884">
        <v>0</v>
      </c>
      <c r="D2884">
        <v>90.3</v>
      </c>
      <c r="E2884">
        <v>2.6269999999999998</v>
      </c>
      <c r="F2884">
        <v>211.16080489999999</v>
      </c>
      <c r="G2884">
        <v>739279.19</v>
      </c>
      <c r="H2884" t="str">
        <f>TEXT(Ventas[[#This Row],[Fecha_venta]],"dd")</f>
        <v>06</v>
      </c>
      <c r="I2884" t="str">
        <f>TEXT(Ventas[[#This Row],[Fecha_venta]],"m")</f>
        <v>8</v>
      </c>
      <c r="J2884" t="str">
        <f>TEXT(Ventas[[#This Row],[Fecha_venta]],"yyyy")</f>
        <v>2010</v>
      </c>
    </row>
    <row r="2885" spans="1:10" x14ac:dyDescent="0.25">
      <c r="A2885">
        <v>21</v>
      </c>
      <c r="B2885" s="1">
        <v>40403</v>
      </c>
      <c r="C2885">
        <v>0</v>
      </c>
      <c r="D2885">
        <v>89.65</v>
      </c>
      <c r="E2885">
        <v>2.6920000000000002</v>
      </c>
      <c r="F2885">
        <v>211.29514130000001</v>
      </c>
      <c r="G2885">
        <v>793589.18</v>
      </c>
      <c r="H2885" t="str">
        <f>TEXT(Ventas[[#This Row],[Fecha_venta]],"dd")</f>
        <v>13</v>
      </c>
      <c r="I2885" t="str">
        <f>TEXT(Ventas[[#This Row],[Fecha_venta]],"m")</f>
        <v>8</v>
      </c>
      <c r="J2885" t="str">
        <f>TEXT(Ventas[[#This Row],[Fecha_venta]],"yyyy")</f>
        <v>2010</v>
      </c>
    </row>
    <row r="2886" spans="1:10" x14ac:dyDescent="0.25">
      <c r="A2886">
        <v>21</v>
      </c>
      <c r="B2886" s="1">
        <v>40410</v>
      </c>
      <c r="C2886">
        <v>0</v>
      </c>
      <c r="D2886">
        <v>89.58</v>
      </c>
      <c r="E2886">
        <v>2.6640000000000001</v>
      </c>
      <c r="F2886">
        <v>211.25965859999999</v>
      </c>
      <c r="G2886">
        <v>848873.28</v>
      </c>
      <c r="H2886" t="str">
        <f>TEXT(Ventas[[#This Row],[Fecha_venta]],"dd")</f>
        <v>20</v>
      </c>
      <c r="I2886" t="str">
        <f>TEXT(Ventas[[#This Row],[Fecha_venta]],"m")</f>
        <v>8</v>
      </c>
      <c r="J2886" t="str">
        <f>TEXT(Ventas[[#This Row],[Fecha_venta]],"yyyy")</f>
        <v>2010</v>
      </c>
    </row>
    <row r="2887" spans="1:10" x14ac:dyDescent="0.25">
      <c r="A2887">
        <v>21</v>
      </c>
      <c r="B2887" s="1">
        <v>40417</v>
      </c>
      <c r="C2887">
        <v>0</v>
      </c>
      <c r="D2887">
        <v>86.2</v>
      </c>
      <c r="E2887">
        <v>2.6190000000000002</v>
      </c>
      <c r="F2887">
        <v>211.22417590000001</v>
      </c>
      <c r="G2887">
        <v>855882.57</v>
      </c>
      <c r="H2887" t="str">
        <f>TEXT(Ventas[[#This Row],[Fecha_venta]],"dd")</f>
        <v>27</v>
      </c>
      <c r="I2887" t="str">
        <f>TEXT(Ventas[[#This Row],[Fecha_venta]],"m")</f>
        <v>8</v>
      </c>
      <c r="J2887" t="str">
        <f>TEXT(Ventas[[#This Row],[Fecha_venta]],"yyyy")</f>
        <v>2010</v>
      </c>
    </row>
    <row r="2888" spans="1:10" x14ac:dyDescent="0.25">
      <c r="A2888">
        <v>21</v>
      </c>
      <c r="B2888" s="1">
        <v>40424</v>
      </c>
      <c r="C2888">
        <v>0</v>
      </c>
      <c r="D2888">
        <v>82.57</v>
      </c>
      <c r="E2888">
        <v>2.577</v>
      </c>
      <c r="F2888">
        <v>211.18869309999999</v>
      </c>
      <c r="G2888">
        <v>727772.8</v>
      </c>
      <c r="H2888" t="str">
        <f>TEXT(Ventas[[#This Row],[Fecha_venta]],"dd")</f>
        <v>03</v>
      </c>
      <c r="I2888" t="str">
        <f>TEXT(Ventas[[#This Row],[Fecha_venta]],"m")</f>
        <v>9</v>
      </c>
      <c r="J2888" t="str">
        <f>TEXT(Ventas[[#This Row],[Fecha_venta]],"yyyy")</f>
        <v>2010</v>
      </c>
    </row>
    <row r="2889" spans="1:10" x14ac:dyDescent="0.25">
      <c r="A2889">
        <v>21</v>
      </c>
      <c r="B2889" s="1">
        <v>40431</v>
      </c>
      <c r="C2889">
        <v>1</v>
      </c>
      <c r="D2889">
        <v>79.3</v>
      </c>
      <c r="E2889">
        <v>2.5649999999999999</v>
      </c>
      <c r="F2889">
        <v>211.15321040000001</v>
      </c>
      <c r="G2889">
        <v>674055.81</v>
      </c>
      <c r="H2889" t="str">
        <f>TEXT(Ventas[[#This Row],[Fecha_venta]],"dd")</f>
        <v>10</v>
      </c>
      <c r="I2889" t="str">
        <f>TEXT(Ventas[[#This Row],[Fecha_venta]],"m")</f>
        <v>9</v>
      </c>
      <c r="J2889" t="str">
        <f>TEXT(Ventas[[#This Row],[Fecha_venta]],"yyyy")</f>
        <v>2010</v>
      </c>
    </row>
    <row r="2890" spans="1:10" x14ac:dyDescent="0.25">
      <c r="A2890">
        <v>21</v>
      </c>
      <c r="B2890" s="1">
        <v>40438</v>
      </c>
      <c r="C2890">
        <v>0</v>
      </c>
      <c r="D2890">
        <v>83.03</v>
      </c>
      <c r="E2890">
        <v>2.5819999999999999</v>
      </c>
      <c r="F2890">
        <v>211.18064150000001</v>
      </c>
      <c r="G2890">
        <v>684340.86</v>
      </c>
      <c r="H2890" t="str">
        <f>TEXT(Ventas[[#This Row],[Fecha_venta]],"dd")</f>
        <v>17</v>
      </c>
      <c r="I2890" t="str">
        <f>TEXT(Ventas[[#This Row],[Fecha_venta]],"m")</f>
        <v>9</v>
      </c>
      <c r="J2890" t="str">
        <f>TEXT(Ventas[[#This Row],[Fecha_venta]],"yyyy")</f>
        <v>2010</v>
      </c>
    </row>
    <row r="2891" spans="1:10" x14ac:dyDescent="0.25">
      <c r="A2891">
        <v>21</v>
      </c>
      <c r="B2891" s="1">
        <v>40445</v>
      </c>
      <c r="C2891">
        <v>0</v>
      </c>
      <c r="D2891">
        <v>80.790000000000006</v>
      </c>
      <c r="E2891">
        <v>2.6240000000000001</v>
      </c>
      <c r="F2891">
        <v>211.25525780000001</v>
      </c>
      <c r="G2891">
        <v>671688.06</v>
      </c>
      <c r="H2891" t="str">
        <f>TEXT(Ventas[[#This Row],[Fecha_venta]],"dd")</f>
        <v>24</v>
      </c>
      <c r="I2891" t="str">
        <f>TEXT(Ventas[[#This Row],[Fecha_venta]],"m")</f>
        <v>9</v>
      </c>
      <c r="J2891" t="str">
        <f>TEXT(Ventas[[#This Row],[Fecha_venta]],"yyyy")</f>
        <v>2010</v>
      </c>
    </row>
    <row r="2892" spans="1:10" x14ac:dyDescent="0.25">
      <c r="A2892">
        <v>21</v>
      </c>
      <c r="B2892" s="1">
        <v>40452</v>
      </c>
      <c r="C2892">
        <v>0</v>
      </c>
      <c r="D2892">
        <v>70.28</v>
      </c>
      <c r="E2892">
        <v>2.6030000000000002</v>
      </c>
      <c r="F2892">
        <v>211.32987420000001</v>
      </c>
      <c r="G2892">
        <v>677158.39</v>
      </c>
      <c r="H2892" t="str">
        <f>TEXT(Ventas[[#This Row],[Fecha_venta]],"dd")</f>
        <v>01</v>
      </c>
      <c r="I2892" t="str">
        <f>TEXT(Ventas[[#This Row],[Fecha_venta]],"m")</f>
        <v>10</v>
      </c>
      <c r="J2892" t="str">
        <f>TEXT(Ventas[[#This Row],[Fecha_venta]],"yyyy")</f>
        <v>2010</v>
      </c>
    </row>
    <row r="2893" spans="1:10" x14ac:dyDescent="0.25">
      <c r="A2893">
        <v>21</v>
      </c>
      <c r="B2893" s="1">
        <v>40459</v>
      </c>
      <c r="C2893">
        <v>0</v>
      </c>
      <c r="D2893">
        <v>65.760000000000005</v>
      </c>
      <c r="E2893">
        <v>2.633</v>
      </c>
      <c r="F2893">
        <v>211.4044906</v>
      </c>
      <c r="G2893">
        <v>680579.49</v>
      </c>
      <c r="H2893" t="str">
        <f>TEXT(Ventas[[#This Row],[Fecha_venta]],"dd")</f>
        <v>08</v>
      </c>
      <c r="I2893" t="str">
        <f>TEXT(Ventas[[#This Row],[Fecha_venta]],"m")</f>
        <v>10</v>
      </c>
      <c r="J2893" t="str">
        <f>TEXT(Ventas[[#This Row],[Fecha_venta]],"yyyy")</f>
        <v>2010</v>
      </c>
    </row>
    <row r="2894" spans="1:10" x14ac:dyDescent="0.25">
      <c r="A2894">
        <v>21</v>
      </c>
      <c r="B2894" s="1">
        <v>40466</v>
      </c>
      <c r="C2894">
        <v>0</v>
      </c>
      <c r="D2894">
        <v>68.61</v>
      </c>
      <c r="E2894">
        <v>2.72</v>
      </c>
      <c r="F2894">
        <v>211.47132859999999</v>
      </c>
      <c r="G2894">
        <v>693412.05</v>
      </c>
      <c r="H2894" t="str">
        <f>TEXT(Ventas[[#This Row],[Fecha_venta]],"dd")</f>
        <v>15</v>
      </c>
      <c r="I2894" t="str">
        <f>TEXT(Ventas[[#This Row],[Fecha_venta]],"m")</f>
        <v>10</v>
      </c>
      <c r="J2894" t="str">
        <f>TEXT(Ventas[[#This Row],[Fecha_venta]],"yyyy")</f>
        <v>2010</v>
      </c>
    </row>
    <row r="2895" spans="1:10" x14ac:dyDescent="0.25">
      <c r="A2895">
        <v>21</v>
      </c>
      <c r="B2895" s="1">
        <v>40473</v>
      </c>
      <c r="C2895">
        <v>0</v>
      </c>
      <c r="D2895">
        <v>70.72</v>
      </c>
      <c r="E2895">
        <v>2.7250000000000001</v>
      </c>
      <c r="F2895">
        <v>211.51872080000001</v>
      </c>
      <c r="G2895">
        <v>710668.45</v>
      </c>
      <c r="H2895" t="str">
        <f>TEXT(Ventas[[#This Row],[Fecha_venta]],"dd")</f>
        <v>22</v>
      </c>
      <c r="I2895" t="str">
        <f>TEXT(Ventas[[#This Row],[Fecha_venta]],"m")</f>
        <v>10</v>
      </c>
      <c r="J2895" t="str">
        <f>TEXT(Ventas[[#This Row],[Fecha_venta]],"yyyy")</f>
        <v>2010</v>
      </c>
    </row>
    <row r="2896" spans="1:10" x14ac:dyDescent="0.25">
      <c r="A2896">
        <v>21</v>
      </c>
      <c r="B2896" s="1">
        <v>40480</v>
      </c>
      <c r="C2896">
        <v>0</v>
      </c>
      <c r="D2896">
        <v>67.510000000000005</v>
      </c>
      <c r="E2896">
        <v>2.7160000000000002</v>
      </c>
      <c r="F2896">
        <v>211.5661131</v>
      </c>
      <c r="G2896">
        <v>731756.65</v>
      </c>
      <c r="H2896" t="str">
        <f>TEXT(Ventas[[#This Row],[Fecha_venta]],"dd")</f>
        <v>29</v>
      </c>
      <c r="I2896" t="str">
        <f>TEXT(Ventas[[#This Row],[Fecha_venta]],"m")</f>
        <v>10</v>
      </c>
      <c r="J2896" t="str">
        <f>TEXT(Ventas[[#This Row],[Fecha_venta]],"yyyy")</f>
        <v>2010</v>
      </c>
    </row>
    <row r="2897" spans="1:10" x14ac:dyDescent="0.25">
      <c r="A2897">
        <v>21</v>
      </c>
      <c r="B2897" s="1">
        <v>40487</v>
      </c>
      <c r="C2897">
        <v>0</v>
      </c>
      <c r="D2897">
        <v>58.71</v>
      </c>
      <c r="E2897">
        <v>2.6890000000000001</v>
      </c>
      <c r="F2897">
        <v>211.61350530000001</v>
      </c>
      <c r="G2897">
        <v>719888.76</v>
      </c>
      <c r="H2897" t="str">
        <f>TEXT(Ventas[[#This Row],[Fecha_venta]],"dd")</f>
        <v>05</v>
      </c>
      <c r="I2897" t="str">
        <f>TEXT(Ventas[[#This Row],[Fecha_venta]],"m")</f>
        <v>11</v>
      </c>
      <c r="J2897" t="str">
        <f>TEXT(Ventas[[#This Row],[Fecha_venta]],"yyyy")</f>
        <v>2010</v>
      </c>
    </row>
    <row r="2898" spans="1:10" x14ac:dyDescent="0.25">
      <c r="A2898">
        <v>21</v>
      </c>
      <c r="B2898" s="1">
        <v>40494</v>
      </c>
      <c r="C2898">
        <v>0</v>
      </c>
      <c r="D2898">
        <v>60.95</v>
      </c>
      <c r="E2898">
        <v>2.7280000000000002</v>
      </c>
      <c r="F2898">
        <v>211.6608975</v>
      </c>
      <c r="G2898">
        <v>735796.38</v>
      </c>
      <c r="H2898" t="str">
        <f>TEXT(Ventas[[#This Row],[Fecha_venta]],"dd")</f>
        <v>12</v>
      </c>
      <c r="I2898" t="str">
        <f>TEXT(Ventas[[#This Row],[Fecha_venta]],"m")</f>
        <v>11</v>
      </c>
      <c r="J2898" t="str">
        <f>TEXT(Ventas[[#This Row],[Fecha_venta]],"yyyy")</f>
        <v>2010</v>
      </c>
    </row>
    <row r="2899" spans="1:10" x14ac:dyDescent="0.25">
      <c r="A2899">
        <v>21</v>
      </c>
      <c r="B2899" s="1">
        <v>40501</v>
      </c>
      <c r="C2899">
        <v>0</v>
      </c>
      <c r="D2899">
        <v>51.71</v>
      </c>
      <c r="E2899">
        <v>2.7709999999999999</v>
      </c>
      <c r="F2899">
        <v>211.54703040000001</v>
      </c>
      <c r="G2899">
        <v>756288.89</v>
      </c>
      <c r="H2899" t="str">
        <f>TEXT(Ventas[[#This Row],[Fecha_venta]],"dd")</f>
        <v>19</v>
      </c>
      <c r="I2899" t="str">
        <f>TEXT(Ventas[[#This Row],[Fecha_venta]],"m")</f>
        <v>11</v>
      </c>
      <c r="J2899" t="str">
        <f>TEXT(Ventas[[#This Row],[Fecha_venta]],"yyyy")</f>
        <v>2010</v>
      </c>
    </row>
    <row r="2900" spans="1:10" x14ac:dyDescent="0.25">
      <c r="A2900">
        <v>21</v>
      </c>
      <c r="B2900" s="1">
        <v>40508</v>
      </c>
      <c r="C2900">
        <v>1</v>
      </c>
      <c r="D2900">
        <v>62.96</v>
      </c>
      <c r="E2900">
        <v>2.7349999999999999</v>
      </c>
      <c r="F2900">
        <v>211.40628670000001</v>
      </c>
      <c r="G2900">
        <v>1245628.6100000001</v>
      </c>
      <c r="H2900" t="str">
        <f>TEXT(Ventas[[#This Row],[Fecha_venta]],"dd")</f>
        <v>26</v>
      </c>
      <c r="I2900" t="str">
        <f>TEXT(Ventas[[#This Row],[Fecha_venta]],"m")</f>
        <v>11</v>
      </c>
      <c r="J2900" t="str">
        <f>TEXT(Ventas[[#This Row],[Fecha_venta]],"yyyy")</f>
        <v>2010</v>
      </c>
    </row>
    <row r="2901" spans="1:10" x14ac:dyDescent="0.25">
      <c r="A2901">
        <v>21</v>
      </c>
      <c r="B2901" s="1">
        <v>40515</v>
      </c>
      <c r="C2901">
        <v>0</v>
      </c>
      <c r="D2901">
        <v>50.43</v>
      </c>
      <c r="E2901">
        <v>2.7080000000000002</v>
      </c>
      <c r="F2901">
        <v>211.26554300000001</v>
      </c>
      <c r="G2901">
        <v>829210.73</v>
      </c>
      <c r="H2901" t="str">
        <f>TEXT(Ventas[[#This Row],[Fecha_venta]],"dd")</f>
        <v>03</v>
      </c>
      <c r="I2901" t="str">
        <f>TEXT(Ventas[[#This Row],[Fecha_venta]],"m")</f>
        <v>12</v>
      </c>
      <c r="J2901" t="str">
        <f>TEXT(Ventas[[#This Row],[Fecha_venta]],"yyyy")</f>
        <v>2010</v>
      </c>
    </row>
    <row r="2902" spans="1:10" x14ac:dyDescent="0.25">
      <c r="A2902">
        <v>21</v>
      </c>
      <c r="B2902" s="1">
        <v>40522</v>
      </c>
      <c r="C2902">
        <v>0</v>
      </c>
      <c r="D2902">
        <v>46.35</v>
      </c>
      <c r="E2902">
        <v>2.843</v>
      </c>
      <c r="F2902">
        <v>211.12479930000001</v>
      </c>
      <c r="G2902">
        <v>943891.64</v>
      </c>
      <c r="H2902" t="str">
        <f>TEXT(Ventas[[#This Row],[Fecha_venta]],"dd")</f>
        <v>10</v>
      </c>
      <c r="I2902" t="str">
        <f>TEXT(Ventas[[#This Row],[Fecha_venta]],"m")</f>
        <v>12</v>
      </c>
      <c r="J2902" t="str">
        <f>TEXT(Ventas[[#This Row],[Fecha_venta]],"yyyy")</f>
        <v>2010</v>
      </c>
    </row>
    <row r="2903" spans="1:10" x14ac:dyDescent="0.25">
      <c r="A2903">
        <v>21</v>
      </c>
      <c r="B2903" s="1">
        <v>40529</v>
      </c>
      <c r="C2903">
        <v>0</v>
      </c>
      <c r="D2903">
        <v>48.63</v>
      </c>
      <c r="E2903">
        <v>2.8690000000000002</v>
      </c>
      <c r="F2903">
        <v>211.06454579999999</v>
      </c>
      <c r="G2903">
        <v>1147556.83</v>
      </c>
      <c r="H2903" t="str">
        <f>TEXT(Ventas[[#This Row],[Fecha_venta]],"dd")</f>
        <v>17</v>
      </c>
      <c r="I2903" t="str">
        <f>TEXT(Ventas[[#This Row],[Fecha_venta]],"m")</f>
        <v>12</v>
      </c>
      <c r="J2903" t="str">
        <f>TEXT(Ventas[[#This Row],[Fecha_venta]],"yyyy")</f>
        <v>2010</v>
      </c>
    </row>
    <row r="2904" spans="1:10" x14ac:dyDescent="0.25">
      <c r="A2904">
        <v>21</v>
      </c>
      <c r="B2904" s="1">
        <v>40536</v>
      </c>
      <c r="C2904">
        <v>0</v>
      </c>
      <c r="D2904">
        <v>51.29</v>
      </c>
      <c r="E2904">
        <v>2.8860000000000001</v>
      </c>
      <c r="F2904">
        <v>211.06465990000001</v>
      </c>
      <c r="G2904">
        <v>1587257.78</v>
      </c>
      <c r="H2904" t="str">
        <f>TEXT(Ventas[[#This Row],[Fecha_venta]],"dd")</f>
        <v>24</v>
      </c>
      <c r="I2904" t="str">
        <f>TEXT(Ventas[[#This Row],[Fecha_venta]],"m")</f>
        <v>12</v>
      </c>
      <c r="J2904" t="str">
        <f>TEXT(Ventas[[#This Row],[Fecha_venta]],"yyyy")</f>
        <v>2010</v>
      </c>
    </row>
    <row r="2905" spans="1:10" x14ac:dyDescent="0.25">
      <c r="A2905">
        <v>21</v>
      </c>
      <c r="B2905" s="1">
        <v>40543</v>
      </c>
      <c r="C2905">
        <v>1</v>
      </c>
      <c r="D2905">
        <v>47.19</v>
      </c>
      <c r="E2905">
        <v>2.9430000000000001</v>
      </c>
      <c r="F2905">
        <v>211.064774</v>
      </c>
      <c r="G2905">
        <v>672903.23</v>
      </c>
      <c r="H2905" t="str">
        <f>TEXT(Ventas[[#This Row],[Fecha_venta]],"dd")</f>
        <v>31</v>
      </c>
      <c r="I2905" t="str">
        <f>TEXT(Ventas[[#This Row],[Fecha_venta]],"m")</f>
        <v>12</v>
      </c>
      <c r="J2905" t="str">
        <f>TEXT(Ventas[[#This Row],[Fecha_venta]],"yyyy")</f>
        <v>2010</v>
      </c>
    </row>
    <row r="2906" spans="1:10" x14ac:dyDescent="0.25">
      <c r="A2906">
        <v>21</v>
      </c>
      <c r="B2906" s="1">
        <v>40550</v>
      </c>
      <c r="C2906">
        <v>0</v>
      </c>
      <c r="D2906">
        <v>44.24</v>
      </c>
      <c r="E2906">
        <v>2.976</v>
      </c>
      <c r="F2906">
        <v>211.06488809999999</v>
      </c>
      <c r="G2906">
        <v>629152.06000000006</v>
      </c>
      <c r="H2906" t="str">
        <f>TEXT(Ventas[[#This Row],[Fecha_venta]],"dd")</f>
        <v>07</v>
      </c>
      <c r="I2906" t="str">
        <f>TEXT(Ventas[[#This Row],[Fecha_venta]],"m")</f>
        <v>1</v>
      </c>
      <c r="J2906" t="str">
        <f>TEXT(Ventas[[#This Row],[Fecha_venta]],"yyyy")</f>
        <v>2011</v>
      </c>
    </row>
    <row r="2907" spans="1:10" x14ac:dyDescent="0.25">
      <c r="A2907">
        <v>21</v>
      </c>
      <c r="B2907" s="1">
        <v>40557</v>
      </c>
      <c r="C2907">
        <v>0</v>
      </c>
      <c r="D2907">
        <v>34.14</v>
      </c>
      <c r="E2907">
        <v>2.9830000000000001</v>
      </c>
      <c r="F2907">
        <v>211.11767130000001</v>
      </c>
      <c r="G2907">
        <v>650789.13</v>
      </c>
      <c r="H2907" t="str">
        <f>TEXT(Ventas[[#This Row],[Fecha_venta]],"dd")</f>
        <v>14</v>
      </c>
      <c r="I2907" t="str">
        <f>TEXT(Ventas[[#This Row],[Fecha_venta]],"m")</f>
        <v>1</v>
      </c>
      <c r="J2907" t="str">
        <f>TEXT(Ventas[[#This Row],[Fecha_venta]],"yyyy")</f>
        <v>2011</v>
      </c>
    </row>
    <row r="2908" spans="1:10" x14ac:dyDescent="0.25">
      <c r="A2908">
        <v>21</v>
      </c>
      <c r="B2908" s="1">
        <v>40564</v>
      </c>
      <c r="C2908">
        <v>0</v>
      </c>
      <c r="D2908">
        <v>42.72</v>
      </c>
      <c r="E2908">
        <v>3.016</v>
      </c>
      <c r="F2908">
        <v>211.48646909999999</v>
      </c>
      <c r="G2908">
        <v>663941.73</v>
      </c>
      <c r="H2908" t="str">
        <f>TEXT(Ventas[[#This Row],[Fecha_venta]],"dd")</f>
        <v>21</v>
      </c>
      <c r="I2908" t="str">
        <f>TEXT(Ventas[[#This Row],[Fecha_venta]],"m")</f>
        <v>1</v>
      </c>
      <c r="J2908" t="str">
        <f>TEXT(Ventas[[#This Row],[Fecha_venta]],"yyyy")</f>
        <v>2011</v>
      </c>
    </row>
    <row r="2909" spans="1:10" x14ac:dyDescent="0.25">
      <c r="A2909">
        <v>21</v>
      </c>
      <c r="B2909" s="1">
        <v>40571</v>
      </c>
      <c r="C2909">
        <v>0</v>
      </c>
      <c r="D2909">
        <v>44.04</v>
      </c>
      <c r="E2909">
        <v>3.01</v>
      </c>
      <c r="F2909">
        <v>211.85526680000001</v>
      </c>
      <c r="G2909">
        <v>649878.29</v>
      </c>
      <c r="H2909" t="str">
        <f>TEXT(Ventas[[#This Row],[Fecha_venta]],"dd")</f>
        <v>28</v>
      </c>
      <c r="I2909" t="str">
        <f>TEXT(Ventas[[#This Row],[Fecha_venta]],"m")</f>
        <v>1</v>
      </c>
      <c r="J2909" t="str">
        <f>TEXT(Ventas[[#This Row],[Fecha_venta]],"yyyy")</f>
        <v>2011</v>
      </c>
    </row>
    <row r="2910" spans="1:10" x14ac:dyDescent="0.25">
      <c r="A2910">
        <v>21</v>
      </c>
      <c r="B2910" s="1">
        <v>40578</v>
      </c>
      <c r="C2910">
        <v>0</v>
      </c>
      <c r="D2910">
        <v>36.33</v>
      </c>
      <c r="E2910">
        <v>2.9889999999999999</v>
      </c>
      <c r="F2910">
        <v>212.22406459999999</v>
      </c>
      <c r="G2910">
        <v>596218.24</v>
      </c>
      <c r="H2910" t="str">
        <f>TEXT(Ventas[[#This Row],[Fecha_venta]],"dd")</f>
        <v>04</v>
      </c>
      <c r="I2910" t="str">
        <f>TEXT(Ventas[[#This Row],[Fecha_venta]],"m")</f>
        <v>2</v>
      </c>
      <c r="J2910" t="str">
        <f>TEXT(Ventas[[#This Row],[Fecha_venta]],"yyyy")</f>
        <v>2011</v>
      </c>
    </row>
    <row r="2911" spans="1:10" x14ac:dyDescent="0.25">
      <c r="A2911">
        <v>21</v>
      </c>
      <c r="B2911" s="1">
        <v>40585</v>
      </c>
      <c r="C2911">
        <v>1</v>
      </c>
      <c r="D2911">
        <v>34.61</v>
      </c>
      <c r="E2911">
        <v>3.0219999999999998</v>
      </c>
      <c r="F2911">
        <v>212.5928624</v>
      </c>
      <c r="G2911">
        <v>771908.51</v>
      </c>
      <c r="H2911" t="str">
        <f>TEXT(Ventas[[#This Row],[Fecha_venta]],"dd")</f>
        <v>11</v>
      </c>
      <c r="I2911" t="str">
        <f>TEXT(Ventas[[#This Row],[Fecha_venta]],"m")</f>
        <v>2</v>
      </c>
      <c r="J2911" t="str">
        <f>TEXT(Ventas[[#This Row],[Fecha_venta]],"yyyy")</f>
        <v>2011</v>
      </c>
    </row>
    <row r="2912" spans="1:10" x14ac:dyDescent="0.25">
      <c r="A2912">
        <v>21</v>
      </c>
      <c r="B2912" s="1">
        <v>40592</v>
      </c>
      <c r="C2912">
        <v>0</v>
      </c>
      <c r="D2912">
        <v>59.87</v>
      </c>
      <c r="E2912">
        <v>3.0449999999999999</v>
      </c>
      <c r="F2912">
        <v>212.9033115</v>
      </c>
      <c r="G2912">
        <v>884701.92</v>
      </c>
      <c r="H2912" t="str">
        <f>TEXT(Ventas[[#This Row],[Fecha_venta]],"dd")</f>
        <v>18</v>
      </c>
      <c r="I2912" t="str">
        <f>TEXT(Ventas[[#This Row],[Fecha_venta]],"m")</f>
        <v>2</v>
      </c>
      <c r="J2912" t="str">
        <f>TEXT(Ventas[[#This Row],[Fecha_venta]],"yyyy")</f>
        <v>2011</v>
      </c>
    </row>
    <row r="2913" spans="1:10" x14ac:dyDescent="0.25">
      <c r="A2913">
        <v>21</v>
      </c>
      <c r="B2913" s="1">
        <v>40599</v>
      </c>
      <c r="C2913">
        <v>0</v>
      </c>
      <c r="D2913">
        <v>61.27</v>
      </c>
      <c r="E2913">
        <v>3.0649999999999999</v>
      </c>
      <c r="F2913">
        <v>213.19042099999999</v>
      </c>
      <c r="G2913">
        <v>768313.85</v>
      </c>
      <c r="H2913" t="str">
        <f>TEXT(Ventas[[#This Row],[Fecha_venta]],"dd")</f>
        <v>25</v>
      </c>
      <c r="I2913" t="str">
        <f>TEXT(Ventas[[#This Row],[Fecha_venta]],"m")</f>
        <v>2</v>
      </c>
      <c r="J2913" t="str">
        <f>TEXT(Ventas[[#This Row],[Fecha_venta]],"yyyy")</f>
        <v>2011</v>
      </c>
    </row>
    <row r="2914" spans="1:10" x14ac:dyDescent="0.25">
      <c r="A2914">
        <v>21</v>
      </c>
      <c r="B2914" s="1">
        <v>40606</v>
      </c>
      <c r="C2914">
        <v>0</v>
      </c>
      <c r="D2914">
        <v>59.52</v>
      </c>
      <c r="E2914">
        <v>3.2879999999999998</v>
      </c>
      <c r="F2914">
        <v>213.4775305</v>
      </c>
      <c r="G2914">
        <v>796277.72</v>
      </c>
      <c r="H2914" t="str">
        <f>TEXT(Ventas[[#This Row],[Fecha_venta]],"dd")</f>
        <v>04</v>
      </c>
      <c r="I2914" t="str">
        <f>TEXT(Ventas[[#This Row],[Fecha_venta]],"m")</f>
        <v>3</v>
      </c>
      <c r="J2914" t="str">
        <f>TEXT(Ventas[[#This Row],[Fecha_venta]],"yyyy")</f>
        <v>2011</v>
      </c>
    </row>
    <row r="2915" spans="1:10" x14ac:dyDescent="0.25">
      <c r="A2915">
        <v>21</v>
      </c>
      <c r="B2915" s="1">
        <v>40613</v>
      </c>
      <c r="C2915">
        <v>0</v>
      </c>
      <c r="D2915">
        <v>54.69</v>
      </c>
      <c r="E2915">
        <v>3.4590000000000001</v>
      </c>
      <c r="F2915">
        <v>213.76464010000001</v>
      </c>
      <c r="G2915">
        <v>763479.9</v>
      </c>
      <c r="H2915" t="str">
        <f>TEXT(Ventas[[#This Row],[Fecha_venta]],"dd")</f>
        <v>11</v>
      </c>
      <c r="I2915" t="str">
        <f>TEXT(Ventas[[#This Row],[Fecha_venta]],"m")</f>
        <v>3</v>
      </c>
      <c r="J2915" t="str">
        <f>TEXT(Ventas[[#This Row],[Fecha_venta]],"yyyy")</f>
        <v>2011</v>
      </c>
    </row>
    <row r="2916" spans="1:10" x14ac:dyDescent="0.25">
      <c r="A2916">
        <v>21</v>
      </c>
      <c r="B2916" s="1">
        <v>40620</v>
      </c>
      <c r="C2916">
        <v>0</v>
      </c>
      <c r="D2916">
        <v>63.26</v>
      </c>
      <c r="E2916">
        <v>3.488</v>
      </c>
      <c r="F2916">
        <v>214.01562379999999</v>
      </c>
      <c r="G2916">
        <v>793569</v>
      </c>
      <c r="H2916" t="str">
        <f>TEXT(Ventas[[#This Row],[Fecha_venta]],"dd")</f>
        <v>18</v>
      </c>
      <c r="I2916" t="str">
        <f>TEXT(Ventas[[#This Row],[Fecha_venta]],"m")</f>
        <v>3</v>
      </c>
      <c r="J2916" t="str">
        <f>TEXT(Ventas[[#This Row],[Fecha_venta]],"yyyy")</f>
        <v>2011</v>
      </c>
    </row>
    <row r="2917" spans="1:10" x14ac:dyDescent="0.25">
      <c r="A2917">
        <v>21</v>
      </c>
      <c r="B2917" s="1">
        <v>40627</v>
      </c>
      <c r="C2917">
        <v>0</v>
      </c>
      <c r="D2917">
        <v>70.33</v>
      </c>
      <c r="E2917">
        <v>3.4729999999999999</v>
      </c>
      <c r="F2917">
        <v>214.25215729999999</v>
      </c>
      <c r="G2917">
        <v>753711.32</v>
      </c>
      <c r="H2917" t="str">
        <f>TEXT(Ventas[[#This Row],[Fecha_venta]],"dd")</f>
        <v>25</v>
      </c>
      <c r="I2917" t="str">
        <f>TEXT(Ventas[[#This Row],[Fecha_venta]],"m")</f>
        <v>3</v>
      </c>
      <c r="J2917" t="str">
        <f>TEXT(Ventas[[#This Row],[Fecha_venta]],"yyyy")</f>
        <v>2011</v>
      </c>
    </row>
    <row r="2918" spans="1:10" x14ac:dyDescent="0.25">
      <c r="A2918">
        <v>21</v>
      </c>
      <c r="B2918" s="1">
        <v>40634</v>
      </c>
      <c r="C2918">
        <v>0</v>
      </c>
      <c r="D2918">
        <v>56.36</v>
      </c>
      <c r="E2918">
        <v>3.524</v>
      </c>
      <c r="F2918">
        <v>214.4886908</v>
      </c>
      <c r="G2918">
        <v>732056.37</v>
      </c>
      <c r="H2918" t="str">
        <f>TEXT(Ventas[[#This Row],[Fecha_venta]],"dd")</f>
        <v>01</v>
      </c>
      <c r="I2918" t="str">
        <f>TEXT(Ventas[[#This Row],[Fecha_venta]],"m")</f>
        <v>4</v>
      </c>
      <c r="J2918" t="str">
        <f>TEXT(Ventas[[#This Row],[Fecha_venta]],"yyyy")</f>
        <v>2011</v>
      </c>
    </row>
    <row r="2919" spans="1:10" x14ac:dyDescent="0.25">
      <c r="A2919">
        <v>21</v>
      </c>
      <c r="B2919" s="1">
        <v>40641</v>
      </c>
      <c r="C2919">
        <v>0</v>
      </c>
      <c r="D2919">
        <v>68.62</v>
      </c>
      <c r="E2919">
        <v>3.6219999999999999</v>
      </c>
      <c r="F2919">
        <v>214.72522420000001</v>
      </c>
      <c r="G2919">
        <v>744782.89</v>
      </c>
      <c r="H2919" t="str">
        <f>TEXT(Ventas[[#This Row],[Fecha_venta]],"dd")</f>
        <v>08</v>
      </c>
      <c r="I2919" t="str">
        <f>TEXT(Ventas[[#This Row],[Fecha_venta]],"m")</f>
        <v>4</v>
      </c>
      <c r="J2919" t="str">
        <f>TEXT(Ventas[[#This Row],[Fecha_venta]],"yyyy")</f>
        <v>2011</v>
      </c>
    </row>
    <row r="2920" spans="1:10" x14ac:dyDescent="0.25">
      <c r="A2920">
        <v>21</v>
      </c>
      <c r="B2920" s="1">
        <v>40648</v>
      </c>
      <c r="C2920">
        <v>0</v>
      </c>
      <c r="D2920">
        <v>71.010000000000005</v>
      </c>
      <c r="E2920">
        <v>3.7429999999999999</v>
      </c>
      <c r="F2920">
        <v>214.94206310000001</v>
      </c>
      <c r="G2920">
        <v>768390.05</v>
      </c>
      <c r="H2920" t="str">
        <f>TEXT(Ventas[[#This Row],[Fecha_venta]],"dd")</f>
        <v>15</v>
      </c>
      <c r="I2920" t="str">
        <f>TEXT(Ventas[[#This Row],[Fecha_venta]],"m")</f>
        <v>4</v>
      </c>
      <c r="J2920" t="str">
        <f>TEXT(Ventas[[#This Row],[Fecha_venta]],"yyyy")</f>
        <v>2011</v>
      </c>
    </row>
    <row r="2921" spans="1:10" x14ac:dyDescent="0.25">
      <c r="A2921">
        <v>21</v>
      </c>
      <c r="B2921" s="1">
        <v>40655</v>
      </c>
      <c r="C2921">
        <v>0</v>
      </c>
      <c r="D2921">
        <v>70.790000000000006</v>
      </c>
      <c r="E2921">
        <v>3.8069999999999999</v>
      </c>
      <c r="F2921">
        <v>215.10966569999999</v>
      </c>
      <c r="G2921">
        <v>801302.01</v>
      </c>
      <c r="H2921" t="str">
        <f>TEXT(Ventas[[#This Row],[Fecha_venta]],"dd")</f>
        <v>22</v>
      </c>
      <c r="I2921" t="str">
        <f>TEXT(Ventas[[#This Row],[Fecha_venta]],"m")</f>
        <v>4</v>
      </c>
      <c r="J2921" t="str">
        <f>TEXT(Ventas[[#This Row],[Fecha_venta]],"yyyy")</f>
        <v>2011</v>
      </c>
    </row>
    <row r="2922" spans="1:10" x14ac:dyDescent="0.25">
      <c r="A2922">
        <v>21</v>
      </c>
      <c r="B2922" s="1">
        <v>40662</v>
      </c>
      <c r="C2922">
        <v>0</v>
      </c>
      <c r="D2922">
        <v>70.19</v>
      </c>
      <c r="E2922">
        <v>3.81</v>
      </c>
      <c r="F2922">
        <v>215.2772683</v>
      </c>
      <c r="G2922">
        <v>783250.75</v>
      </c>
      <c r="H2922" t="str">
        <f>TEXT(Ventas[[#This Row],[Fecha_venta]],"dd")</f>
        <v>29</v>
      </c>
      <c r="I2922" t="str">
        <f>TEXT(Ventas[[#This Row],[Fecha_venta]],"m")</f>
        <v>4</v>
      </c>
      <c r="J2922" t="str">
        <f>TEXT(Ventas[[#This Row],[Fecha_venta]],"yyyy")</f>
        <v>2011</v>
      </c>
    </row>
    <row r="2923" spans="1:10" x14ac:dyDescent="0.25">
      <c r="A2923">
        <v>21</v>
      </c>
      <c r="B2923" s="1">
        <v>40669</v>
      </c>
      <c r="C2923">
        <v>0</v>
      </c>
      <c r="D2923">
        <v>61.87</v>
      </c>
      <c r="E2923">
        <v>3.9060000000000001</v>
      </c>
      <c r="F2923">
        <v>215.44487090000001</v>
      </c>
      <c r="G2923">
        <v>718898.33</v>
      </c>
      <c r="H2923" t="str">
        <f>TEXT(Ventas[[#This Row],[Fecha_venta]],"dd")</f>
        <v>06</v>
      </c>
      <c r="I2923" t="str">
        <f>TEXT(Ventas[[#This Row],[Fecha_venta]],"m")</f>
        <v>5</v>
      </c>
      <c r="J2923" t="str">
        <f>TEXT(Ventas[[#This Row],[Fecha_venta]],"yyyy")</f>
        <v>2011</v>
      </c>
    </row>
    <row r="2924" spans="1:10" x14ac:dyDescent="0.25">
      <c r="A2924">
        <v>21</v>
      </c>
      <c r="B2924" s="1">
        <v>40676</v>
      </c>
      <c r="C2924">
        <v>0</v>
      </c>
      <c r="D2924">
        <v>75.040000000000006</v>
      </c>
      <c r="E2924">
        <v>3.899</v>
      </c>
      <c r="F2924">
        <v>215.61247349999999</v>
      </c>
      <c r="G2924">
        <v>754236.7</v>
      </c>
      <c r="H2924" t="str">
        <f>TEXT(Ventas[[#This Row],[Fecha_venta]],"dd")</f>
        <v>13</v>
      </c>
      <c r="I2924" t="str">
        <f>TEXT(Ventas[[#This Row],[Fecha_venta]],"m")</f>
        <v>5</v>
      </c>
      <c r="J2924" t="str">
        <f>TEXT(Ventas[[#This Row],[Fecha_venta]],"yyyy")</f>
        <v>2011</v>
      </c>
    </row>
    <row r="2925" spans="1:10" x14ac:dyDescent="0.25">
      <c r="A2925">
        <v>21</v>
      </c>
      <c r="B2925" s="1">
        <v>40683</v>
      </c>
      <c r="C2925">
        <v>0</v>
      </c>
      <c r="D2925">
        <v>68.36</v>
      </c>
      <c r="E2925">
        <v>3.907</v>
      </c>
      <c r="F2925">
        <v>215.38347780000001</v>
      </c>
      <c r="G2925">
        <v>744836.56</v>
      </c>
      <c r="H2925" t="str">
        <f>TEXT(Ventas[[#This Row],[Fecha_venta]],"dd")</f>
        <v>20</v>
      </c>
      <c r="I2925" t="str">
        <f>TEXT(Ventas[[#This Row],[Fecha_venta]],"m")</f>
        <v>5</v>
      </c>
      <c r="J2925" t="str">
        <f>TEXT(Ventas[[#This Row],[Fecha_venta]],"yyyy")</f>
        <v>2011</v>
      </c>
    </row>
    <row r="2926" spans="1:10" x14ac:dyDescent="0.25">
      <c r="A2926">
        <v>21</v>
      </c>
      <c r="B2926" s="1">
        <v>40690</v>
      </c>
      <c r="C2926">
        <v>0</v>
      </c>
      <c r="D2926">
        <v>76.86</v>
      </c>
      <c r="E2926">
        <v>3.786</v>
      </c>
      <c r="F2926">
        <v>215.15448219999999</v>
      </c>
      <c r="G2926">
        <v>744389.81</v>
      </c>
      <c r="H2926" t="str">
        <f>TEXT(Ventas[[#This Row],[Fecha_venta]],"dd")</f>
        <v>27</v>
      </c>
      <c r="I2926" t="str">
        <f>TEXT(Ventas[[#This Row],[Fecha_venta]],"m")</f>
        <v>5</v>
      </c>
      <c r="J2926" t="str">
        <f>TEXT(Ventas[[#This Row],[Fecha_venta]],"yyyy")</f>
        <v>2011</v>
      </c>
    </row>
    <row r="2927" spans="1:10" x14ac:dyDescent="0.25">
      <c r="A2927">
        <v>21</v>
      </c>
      <c r="B2927" s="1">
        <v>40697</v>
      </c>
      <c r="C2927">
        <v>0</v>
      </c>
      <c r="D2927">
        <v>83.82</v>
      </c>
      <c r="E2927">
        <v>3.6989999999999998</v>
      </c>
      <c r="F2927">
        <v>214.92548650000001</v>
      </c>
      <c r="G2927">
        <v>773878.58</v>
      </c>
      <c r="H2927" t="str">
        <f>TEXT(Ventas[[#This Row],[Fecha_venta]],"dd")</f>
        <v>03</v>
      </c>
      <c r="I2927" t="str">
        <f>TEXT(Ventas[[#This Row],[Fecha_venta]],"m")</f>
        <v>6</v>
      </c>
      <c r="J2927" t="str">
        <f>TEXT(Ventas[[#This Row],[Fecha_venta]],"yyyy")</f>
        <v>2011</v>
      </c>
    </row>
    <row r="2928" spans="1:10" x14ac:dyDescent="0.25">
      <c r="A2928">
        <v>21</v>
      </c>
      <c r="B2928" s="1">
        <v>40704</v>
      </c>
      <c r="C2928">
        <v>0</v>
      </c>
      <c r="D2928">
        <v>84.71</v>
      </c>
      <c r="E2928">
        <v>3.6480000000000001</v>
      </c>
      <c r="F2928">
        <v>214.69649079999999</v>
      </c>
      <c r="G2928">
        <v>794397.89</v>
      </c>
      <c r="H2928" t="str">
        <f>TEXT(Ventas[[#This Row],[Fecha_venta]],"dd")</f>
        <v>10</v>
      </c>
      <c r="I2928" t="str">
        <f>TEXT(Ventas[[#This Row],[Fecha_venta]],"m")</f>
        <v>6</v>
      </c>
      <c r="J2928" t="str">
        <f>TEXT(Ventas[[#This Row],[Fecha_venta]],"yyyy")</f>
        <v>2011</v>
      </c>
    </row>
    <row r="2929" spans="1:10" x14ac:dyDescent="0.25">
      <c r="A2929">
        <v>21</v>
      </c>
      <c r="B2929" s="1">
        <v>40711</v>
      </c>
      <c r="C2929">
        <v>0</v>
      </c>
      <c r="D2929">
        <v>87.54</v>
      </c>
      <c r="E2929">
        <v>3.637</v>
      </c>
      <c r="F2929">
        <v>214.65135380000001</v>
      </c>
      <c r="G2929">
        <v>-3.5</v>
      </c>
      <c r="H2929" t="str">
        <f>TEXT(Ventas[[#This Row],[Fecha_venta]],"dd")</f>
        <v>17</v>
      </c>
      <c r="I2929" t="str">
        <f>TEXT(Ventas[[#This Row],[Fecha_venta]],"m")</f>
        <v>6</v>
      </c>
      <c r="J2929" t="str">
        <f>TEXT(Ventas[[#This Row],[Fecha_venta]],"yyyy")</f>
        <v>2011</v>
      </c>
    </row>
    <row r="2930" spans="1:10" x14ac:dyDescent="0.25">
      <c r="A2930">
        <v>21</v>
      </c>
      <c r="B2930" s="1">
        <v>40718</v>
      </c>
      <c r="C2930">
        <v>0</v>
      </c>
      <c r="D2930">
        <v>85.72</v>
      </c>
      <c r="E2930">
        <v>3.5939999999999999</v>
      </c>
      <c r="F2930">
        <v>214.74411079999999</v>
      </c>
      <c r="G2930">
        <v>771298.98</v>
      </c>
      <c r="H2930" t="str">
        <f>TEXT(Ventas[[#This Row],[Fecha_venta]],"dd")</f>
        <v>24</v>
      </c>
      <c r="I2930" t="str">
        <f>TEXT(Ventas[[#This Row],[Fecha_venta]],"m")</f>
        <v>6</v>
      </c>
      <c r="J2930" t="str">
        <f>TEXT(Ventas[[#This Row],[Fecha_venta]],"yyyy")</f>
        <v>2011</v>
      </c>
    </row>
    <row r="2931" spans="1:10" x14ac:dyDescent="0.25">
      <c r="A2931">
        <v>21</v>
      </c>
      <c r="B2931" s="1">
        <v>40725</v>
      </c>
      <c r="C2931">
        <v>0</v>
      </c>
      <c r="D2931">
        <v>87.57</v>
      </c>
      <c r="E2931">
        <v>3.524</v>
      </c>
      <c r="F2931">
        <v>214.83686779999999</v>
      </c>
      <c r="G2931">
        <v>784639.12</v>
      </c>
      <c r="H2931" t="str">
        <f>TEXT(Ventas[[#This Row],[Fecha_venta]],"dd")</f>
        <v>01</v>
      </c>
      <c r="I2931" t="str">
        <f>TEXT(Ventas[[#This Row],[Fecha_venta]],"m")</f>
        <v>7</v>
      </c>
      <c r="J2931" t="str">
        <f>TEXT(Ventas[[#This Row],[Fecha_venta]],"yyyy")</f>
        <v>2011</v>
      </c>
    </row>
    <row r="2932" spans="1:10" x14ac:dyDescent="0.25">
      <c r="A2932">
        <v>21</v>
      </c>
      <c r="B2932" s="1">
        <v>40732</v>
      </c>
      <c r="C2932">
        <v>0</v>
      </c>
      <c r="D2932">
        <v>89.16</v>
      </c>
      <c r="E2932">
        <v>3.48</v>
      </c>
      <c r="F2932">
        <v>214.92962489999999</v>
      </c>
      <c r="G2932">
        <v>734099.4</v>
      </c>
      <c r="H2932" t="str">
        <f>TEXT(Ventas[[#This Row],[Fecha_venta]],"dd")</f>
        <v>08</v>
      </c>
      <c r="I2932" t="str">
        <f>TEXT(Ventas[[#This Row],[Fecha_venta]],"m")</f>
        <v>7</v>
      </c>
      <c r="J2932" t="str">
        <f>TEXT(Ventas[[#This Row],[Fecha_venta]],"yyyy")</f>
        <v>2011</v>
      </c>
    </row>
    <row r="2933" spans="1:10" x14ac:dyDescent="0.25">
      <c r="A2933">
        <v>21</v>
      </c>
      <c r="B2933" s="1">
        <v>40739</v>
      </c>
      <c r="C2933">
        <v>0</v>
      </c>
      <c r="D2933">
        <v>91.05</v>
      </c>
      <c r="E2933">
        <v>3.5750000000000002</v>
      </c>
      <c r="F2933">
        <v>215.01344259999999</v>
      </c>
      <c r="G2933">
        <v>728311.15</v>
      </c>
      <c r="H2933" t="str">
        <f>TEXT(Ventas[[#This Row],[Fecha_venta]],"dd")</f>
        <v>15</v>
      </c>
      <c r="I2933" t="str">
        <f>TEXT(Ventas[[#This Row],[Fecha_venta]],"m")</f>
        <v>7</v>
      </c>
      <c r="J2933" t="str">
        <f>TEXT(Ventas[[#This Row],[Fecha_venta]],"yyyy")</f>
        <v>2011</v>
      </c>
    </row>
    <row r="2934" spans="1:10" x14ac:dyDescent="0.25">
      <c r="A2934">
        <v>21</v>
      </c>
      <c r="B2934" s="1">
        <v>40746</v>
      </c>
      <c r="C2934">
        <v>0</v>
      </c>
      <c r="D2934">
        <v>90.27</v>
      </c>
      <c r="E2934">
        <v>3.6509999999999998</v>
      </c>
      <c r="F2934">
        <v>215.0749122</v>
      </c>
      <c r="G2934">
        <v>784490.67</v>
      </c>
      <c r="H2934" t="str">
        <f>TEXT(Ventas[[#This Row],[Fecha_venta]],"dd")</f>
        <v>22</v>
      </c>
      <c r="I2934" t="str">
        <f>TEXT(Ventas[[#This Row],[Fecha_venta]],"m")</f>
        <v>7</v>
      </c>
      <c r="J2934" t="str">
        <f>TEXT(Ventas[[#This Row],[Fecha_venta]],"yyyy")</f>
        <v>2011</v>
      </c>
    </row>
    <row r="2935" spans="1:10" x14ac:dyDescent="0.25">
      <c r="A2935">
        <v>21</v>
      </c>
      <c r="B2935" s="1">
        <v>40753</v>
      </c>
      <c r="C2935">
        <v>0</v>
      </c>
      <c r="D2935">
        <v>91.56</v>
      </c>
      <c r="E2935">
        <v>3.6819999999999999</v>
      </c>
      <c r="F2935">
        <v>215.1363819</v>
      </c>
      <c r="G2935">
        <v>751167.12</v>
      </c>
      <c r="H2935" t="str">
        <f>TEXT(Ventas[[#This Row],[Fecha_venta]],"dd")</f>
        <v>29</v>
      </c>
      <c r="I2935" t="str">
        <f>TEXT(Ventas[[#This Row],[Fecha_venta]],"m")</f>
        <v>7</v>
      </c>
      <c r="J2935" t="str">
        <f>TEXT(Ventas[[#This Row],[Fecha_venta]],"yyyy")</f>
        <v>2011</v>
      </c>
    </row>
    <row r="2936" spans="1:10" x14ac:dyDescent="0.25">
      <c r="A2936">
        <v>21</v>
      </c>
      <c r="B2936" s="1">
        <v>40760</v>
      </c>
      <c r="C2936">
        <v>0</v>
      </c>
      <c r="D2936">
        <v>94.22</v>
      </c>
      <c r="E2936">
        <v>3.6840000000000002</v>
      </c>
      <c r="F2936">
        <v>215.19785150000001</v>
      </c>
      <c r="G2936">
        <v>783614.89</v>
      </c>
      <c r="H2936" t="str">
        <f>TEXT(Ventas[[#This Row],[Fecha_venta]],"dd")</f>
        <v>05</v>
      </c>
      <c r="I2936" t="str">
        <f>TEXT(Ventas[[#This Row],[Fecha_venta]],"m")</f>
        <v>8</v>
      </c>
      <c r="J2936" t="str">
        <f>TEXT(Ventas[[#This Row],[Fecha_venta]],"yyyy")</f>
        <v>2011</v>
      </c>
    </row>
    <row r="2937" spans="1:10" x14ac:dyDescent="0.25">
      <c r="A2937">
        <v>21</v>
      </c>
      <c r="B2937" s="1">
        <v>40767</v>
      </c>
      <c r="C2937">
        <v>0</v>
      </c>
      <c r="D2937">
        <v>92.32</v>
      </c>
      <c r="E2937">
        <v>3.6379999999999999</v>
      </c>
      <c r="F2937">
        <v>215.25932109999999</v>
      </c>
      <c r="G2937">
        <v>776933.37</v>
      </c>
      <c r="H2937" t="str">
        <f>TEXT(Ventas[[#This Row],[Fecha_venta]],"dd")</f>
        <v>12</v>
      </c>
      <c r="I2937" t="str">
        <f>TEXT(Ventas[[#This Row],[Fecha_venta]],"m")</f>
        <v>8</v>
      </c>
      <c r="J2937" t="str">
        <f>TEXT(Ventas[[#This Row],[Fecha_venta]],"yyyy")</f>
        <v>2011</v>
      </c>
    </row>
    <row r="2938" spans="1:10" x14ac:dyDescent="0.25">
      <c r="A2938">
        <v>21</v>
      </c>
      <c r="B2938" s="1">
        <v>40774</v>
      </c>
      <c r="C2938">
        <v>0</v>
      </c>
      <c r="D2938">
        <v>90.11</v>
      </c>
      <c r="E2938">
        <v>3.5539999999999998</v>
      </c>
      <c r="F2938">
        <v>215.3229307</v>
      </c>
      <c r="G2938">
        <v>855546.5</v>
      </c>
      <c r="H2938" t="str">
        <f>TEXT(Ventas[[#This Row],[Fecha_venta]],"dd")</f>
        <v>19</v>
      </c>
      <c r="I2938" t="str">
        <f>TEXT(Ventas[[#This Row],[Fecha_venta]],"m")</f>
        <v>8</v>
      </c>
      <c r="J2938" t="str">
        <f>TEXT(Ventas[[#This Row],[Fecha_venta]],"yyyy")</f>
        <v>2011</v>
      </c>
    </row>
    <row r="2939" spans="1:10" x14ac:dyDescent="0.25">
      <c r="A2939">
        <v>21</v>
      </c>
      <c r="B2939" s="1">
        <v>40781</v>
      </c>
      <c r="C2939">
        <v>0</v>
      </c>
      <c r="D2939">
        <v>92.07</v>
      </c>
      <c r="E2939">
        <v>3.5230000000000001</v>
      </c>
      <c r="F2939">
        <v>215.386897</v>
      </c>
      <c r="G2939">
        <v>821127.53</v>
      </c>
      <c r="H2939" t="str">
        <f>TEXT(Ventas[[#This Row],[Fecha_venta]],"dd")</f>
        <v>26</v>
      </c>
      <c r="I2939" t="str">
        <f>TEXT(Ventas[[#This Row],[Fecha_venta]],"m")</f>
        <v>8</v>
      </c>
      <c r="J2939" t="str">
        <f>TEXT(Ventas[[#This Row],[Fecha_venta]],"yyyy")</f>
        <v>2011</v>
      </c>
    </row>
    <row r="2940" spans="1:10" x14ac:dyDescent="0.25">
      <c r="A2940">
        <v>21</v>
      </c>
      <c r="B2940" s="1">
        <v>40788</v>
      </c>
      <c r="C2940">
        <v>0</v>
      </c>
      <c r="D2940">
        <v>91.94</v>
      </c>
      <c r="E2940">
        <v>3.5329999999999999</v>
      </c>
      <c r="F2940">
        <v>215.45086319999999</v>
      </c>
      <c r="G2940">
        <v>705557.8</v>
      </c>
      <c r="H2940" t="str">
        <f>TEXT(Ventas[[#This Row],[Fecha_venta]],"dd")</f>
        <v>02</v>
      </c>
      <c r="I2940" t="str">
        <f>TEXT(Ventas[[#This Row],[Fecha_venta]],"m")</f>
        <v>9</v>
      </c>
      <c r="J2940" t="str">
        <f>TEXT(Ventas[[#This Row],[Fecha_venta]],"yyyy")</f>
        <v>2011</v>
      </c>
    </row>
    <row r="2941" spans="1:10" x14ac:dyDescent="0.25">
      <c r="A2941">
        <v>21</v>
      </c>
      <c r="B2941" s="1">
        <v>40795</v>
      </c>
      <c r="C2941">
        <v>1</v>
      </c>
      <c r="D2941">
        <v>78.87</v>
      </c>
      <c r="E2941">
        <v>3.5459999999999998</v>
      </c>
      <c r="F2941">
        <v>215.51482949999999</v>
      </c>
      <c r="G2941">
        <v>653989.65</v>
      </c>
      <c r="H2941" t="str">
        <f>TEXT(Ventas[[#This Row],[Fecha_venta]],"dd")</f>
        <v>09</v>
      </c>
      <c r="I2941" t="str">
        <f>TEXT(Ventas[[#This Row],[Fecha_venta]],"m")</f>
        <v>9</v>
      </c>
      <c r="J2941" t="str">
        <f>TEXT(Ventas[[#This Row],[Fecha_venta]],"yyyy")</f>
        <v>2011</v>
      </c>
    </row>
    <row r="2942" spans="1:10" x14ac:dyDescent="0.25">
      <c r="A2942">
        <v>21</v>
      </c>
      <c r="B2942" s="1">
        <v>40802</v>
      </c>
      <c r="C2942">
        <v>0</v>
      </c>
      <c r="D2942">
        <v>80.62</v>
      </c>
      <c r="E2942">
        <v>3.5259999999999998</v>
      </c>
      <c r="F2942">
        <v>215.6944378</v>
      </c>
      <c r="G2942">
        <v>653525.84</v>
      </c>
      <c r="H2942" t="str">
        <f>TEXT(Ventas[[#This Row],[Fecha_venta]],"dd")</f>
        <v>16</v>
      </c>
      <c r="I2942" t="str">
        <f>TEXT(Ventas[[#This Row],[Fecha_venta]],"m")</f>
        <v>9</v>
      </c>
      <c r="J2942" t="str">
        <f>TEXT(Ventas[[#This Row],[Fecha_venta]],"yyyy")</f>
        <v>2011</v>
      </c>
    </row>
    <row r="2943" spans="1:10" x14ac:dyDescent="0.25">
      <c r="A2943">
        <v>21</v>
      </c>
      <c r="B2943" s="1">
        <v>40809</v>
      </c>
      <c r="C2943">
        <v>0</v>
      </c>
      <c r="D2943">
        <v>75.680000000000007</v>
      </c>
      <c r="E2943">
        <v>3.4670000000000001</v>
      </c>
      <c r="F2943">
        <v>216.02823559999999</v>
      </c>
      <c r="G2943">
        <v>681913.29</v>
      </c>
      <c r="H2943" t="str">
        <f>TEXT(Ventas[[#This Row],[Fecha_venta]],"dd")</f>
        <v>23</v>
      </c>
      <c r="I2943" t="str">
        <f>TEXT(Ventas[[#This Row],[Fecha_venta]],"m")</f>
        <v>9</v>
      </c>
      <c r="J2943" t="str">
        <f>TEXT(Ventas[[#This Row],[Fecha_venta]],"yyyy")</f>
        <v>2011</v>
      </c>
    </row>
    <row r="2944" spans="1:10" x14ac:dyDescent="0.25">
      <c r="A2944">
        <v>21</v>
      </c>
      <c r="B2944" s="1">
        <v>40816</v>
      </c>
      <c r="C2944">
        <v>0</v>
      </c>
      <c r="D2944">
        <v>78.91</v>
      </c>
      <c r="E2944">
        <v>3.355</v>
      </c>
      <c r="F2944">
        <v>216.36203330000001</v>
      </c>
      <c r="G2944">
        <v>651970.48</v>
      </c>
      <c r="H2944" t="str">
        <f>TEXT(Ventas[[#This Row],[Fecha_venta]],"dd")</f>
        <v>30</v>
      </c>
      <c r="I2944" t="str">
        <f>TEXT(Ventas[[#This Row],[Fecha_venta]],"m")</f>
        <v>9</v>
      </c>
      <c r="J2944" t="str">
        <f>TEXT(Ventas[[#This Row],[Fecha_venta]],"yyyy")</f>
        <v>2011</v>
      </c>
    </row>
    <row r="2945" spans="1:10" x14ac:dyDescent="0.25">
      <c r="A2945">
        <v>21</v>
      </c>
      <c r="B2945" s="1">
        <v>40823</v>
      </c>
      <c r="C2945">
        <v>0</v>
      </c>
      <c r="D2945">
        <v>71.64</v>
      </c>
      <c r="E2945">
        <v>3.2850000000000001</v>
      </c>
      <c r="F2945">
        <v>216.69583109999999</v>
      </c>
      <c r="G2945">
        <v>663452.46</v>
      </c>
      <c r="H2945" t="str">
        <f>TEXT(Ventas[[#This Row],[Fecha_venta]],"dd")</f>
        <v>07</v>
      </c>
      <c r="I2945" t="str">
        <f>TEXT(Ventas[[#This Row],[Fecha_venta]],"m")</f>
        <v>10</v>
      </c>
      <c r="J2945" t="str">
        <f>TEXT(Ventas[[#This Row],[Fecha_venta]],"yyyy")</f>
        <v>2011</v>
      </c>
    </row>
    <row r="2946" spans="1:10" x14ac:dyDescent="0.25">
      <c r="A2946">
        <v>21</v>
      </c>
      <c r="B2946" s="1">
        <v>40830</v>
      </c>
      <c r="C2946">
        <v>0</v>
      </c>
      <c r="D2946">
        <v>69.790000000000006</v>
      </c>
      <c r="E2946">
        <v>3.274</v>
      </c>
      <c r="F2946">
        <v>217.0048261</v>
      </c>
      <c r="G2946">
        <v>671379.44</v>
      </c>
      <c r="H2946" t="str">
        <f>TEXT(Ventas[[#This Row],[Fecha_venta]],"dd")</f>
        <v>14</v>
      </c>
      <c r="I2946" t="str">
        <f>TEXT(Ventas[[#This Row],[Fecha_venta]],"m")</f>
        <v>10</v>
      </c>
      <c r="J2946" t="str">
        <f>TEXT(Ventas[[#This Row],[Fecha_venta]],"yyyy")</f>
        <v>2011</v>
      </c>
    </row>
    <row r="2947" spans="1:10" x14ac:dyDescent="0.25">
      <c r="A2947">
        <v>21</v>
      </c>
      <c r="B2947" s="1">
        <v>40837</v>
      </c>
      <c r="C2947">
        <v>0</v>
      </c>
      <c r="D2947">
        <v>65.16</v>
      </c>
      <c r="E2947">
        <v>3.3530000000000002</v>
      </c>
      <c r="F2947">
        <v>217.1650042</v>
      </c>
      <c r="G2947">
        <v>729036.06</v>
      </c>
      <c r="H2947" t="str">
        <f>TEXT(Ventas[[#This Row],[Fecha_venta]],"dd")</f>
        <v>21</v>
      </c>
      <c r="I2947" t="str">
        <f>TEXT(Ventas[[#This Row],[Fecha_venta]],"m")</f>
        <v>10</v>
      </c>
      <c r="J2947" t="str">
        <f>TEXT(Ventas[[#This Row],[Fecha_venta]],"yyyy")</f>
        <v>2011</v>
      </c>
    </row>
    <row r="2948" spans="1:10" x14ac:dyDescent="0.25">
      <c r="A2948">
        <v>21</v>
      </c>
      <c r="B2948" s="1">
        <v>40844</v>
      </c>
      <c r="C2948">
        <v>0</v>
      </c>
      <c r="D2948">
        <v>65.459999999999994</v>
      </c>
      <c r="E2948">
        <v>3.3719999999999999</v>
      </c>
      <c r="F2948">
        <v>217.32518239999999</v>
      </c>
      <c r="G2948">
        <v>738812</v>
      </c>
      <c r="H2948" t="str">
        <f>TEXT(Ventas[[#This Row],[Fecha_venta]],"dd")</f>
        <v>28</v>
      </c>
      <c r="I2948" t="str">
        <f>TEXT(Ventas[[#This Row],[Fecha_venta]],"m")</f>
        <v>10</v>
      </c>
      <c r="J2948" t="str">
        <f>TEXT(Ventas[[#This Row],[Fecha_venta]],"yyyy")</f>
        <v>2011</v>
      </c>
    </row>
    <row r="2949" spans="1:10" x14ac:dyDescent="0.25">
      <c r="A2949">
        <v>21</v>
      </c>
      <c r="B2949" s="1">
        <v>40851</v>
      </c>
      <c r="C2949">
        <v>0</v>
      </c>
      <c r="D2949">
        <v>56.01</v>
      </c>
      <c r="E2949">
        <v>3.3319999999999999</v>
      </c>
      <c r="F2949">
        <v>217.48536050000001</v>
      </c>
      <c r="G2949">
        <v>767358.37</v>
      </c>
      <c r="H2949" t="str">
        <f>TEXT(Ventas[[#This Row],[Fecha_venta]],"dd")</f>
        <v>04</v>
      </c>
      <c r="I2949" t="str">
        <f>TEXT(Ventas[[#This Row],[Fecha_venta]],"m")</f>
        <v>11</v>
      </c>
      <c r="J2949" t="str">
        <f>TEXT(Ventas[[#This Row],[Fecha_venta]],"yyyy")</f>
        <v>2011</v>
      </c>
    </row>
    <row r="2950" spans="1:10" x14ac:dyDescent="0.25">
      <c r="A2950">
        <v>21</v>
      </c>
      <c r="B2950" s="1">
        <v>40858</v>
      </c>
      <c r="C2950">
        <v>0</v>
      </c>
      <c r="D2950">
        <v>59.8</v>
      </c>
      <c r="E2950">
        <v>3.2970000000000002</v>
      </c>
      <c r="F2950">
        <v>217.6455387</v>
      </c>
      <c r="G2950">
        <v>757369.87</v>
      </c>
      <c r="H2950" t="str">
        <f>TEXT(Ventas[[#This Row],[Fecha_venta]],"dd")</f>
        <v>11</v>
      </c>
      <c r="I2950" t="str">
        <f>TEXT(Ventas[[#This Row],[Fecha_venta]],"m")</f>
        <v>11</v>
      </c>
      <c r="J2950" t="str">
        <f>TEXT(Ventas[[#This Row],[Fecha_venta]],"yyyy")</f>
        <v>2011</v>
      </c>
    </row>
    <row r="2951" spans="1:10" x14ac:dyDescent="0.25">
      <c r="A2951">
        <v>21</v>
      </c>
      <c r="B2951" s="1">
        <v>40865</v>
      </c>
      <c r="C2951">
        <v>0</v>
      </c>
      <c r="D2951">
        <v>61.9</v>
      </c>
      <c r="E2951">
        <v>3.3079999999999998</v>
      </c>
      <c r="F2951">
        <v>217.8670218</v>
      </c>
      <c r="G2951">
        <v>737014.09</v>
      </c>
      <c r="H2951" t="str">
        <f>TEXT(Ventas[[#This Row],[Fecha_venta]],"dd")</f>
        <v>18</v>
      </c>
      <c r="I2951" t="str">
        <f>TEXT(Ventas[[#This Row],[Fecha_venta]],"m")</f>
        <v>11</v>
      </c>
      <c r="J2951" t="str">
        <f>TEXT(Ventas[[#This Row],[Fecha_venta]],"yyyy")</f>
        <v>2011</v>
      </c>
    </row>
    <row r="2952" spans="1:10" x14ac:dyDescent="0.25">
      <c r="A2952">
        <v>21</v>
      </c>
      <c r="B2952" s="1">
        <v>40872</v>
      </c>
      <c r="C2952">
        <v>1</v>
      </c>
      <c r="D2952">
        <v>56.43</v>
      </c>
      <c r="E2952">
        <v>3.2360000000000002</v>
      </c>
      <c r="F2952">
        <v>218.11302689999999</v>
      </c>
      <c r="G2952">
        <v>1219263.3999999999</v>
      </c>
      <c r="H2952" t="str">
        <f>TEXT(Ventas[[#This Row],[Fecha_venta]],"dd")</f>
        <v>25</v>
      </c>
      <c r="I2952" t="str">
        <f>TEXT(Ventas[[#This Row],[Fecha_venta]],"m")</f>
        <v>11</v>
      </c>
      <c r="J2952" t="str">
        <f>TEXT(Ventas[[#This Row],[Fecha_venta]],"yyyy")</f>
        <v>2011</v>
      </c>
    </row>
    <row r="2953" spans="1:10" x14ac:dyDescent="0.25">
      <c r="A2953">
        <v>21</v>
      </c>
      <c r="B2953" s="1">
        <v>40879</v>
      </c>
      <c r="C2953">
        <v>0</v>
      </c>
      <c r="D2953">
        <v>48.72</v>
      </c>
      <c r="E2953">
        <v>3.1720000000000002</v>
      </c>
      <c r="F2953">
        <v>218.35903189999999</v>
      </c>
      <c r="G2953">
        <v>793184.25</v>
      </c>
      <c r="H2953" t="str">
        <f>TEXT(Ventas[[#This Row],[Fecha_venta]],"dd")</f>
        <v>02</v>
      </c>
      <c r="I2953" t="str">
        <f>TEXT(Ventas[[#This Row],[Fecha_venta]],"m")</f>
        <v>12</v>
      </c>
      <c r="J2953" t="str">
        <f>TEXT(Ventas[[#This Row],[Fecha_venta]],"yyyy")</f>
        <v>2011</v>
      </c>
    </row>
    <row r="2954" spans="1:10" x14ac:dyDescent="0.25">
      <c r="A2954">
        <v>21</v>
      </c>
      <c r="B2954" s="1">
        <v>40886</v>
      </c>
      <c r="C2954">
        <v>0</v>
      </c>
      <c r="D2954">
        <v>41.44</v>
      </c>
      <c r="E2954">
        <v>3.1579999999999999</v>
      </c>
      <c r="F2954">
        <v>218.60503700000001</v>
      </c>
      <c r="G2954">
        <v>897747.13</v>
      </c>
      <c r="H2954" t="str">
        <f>TEXT(Ventas[[#This Row],[Fecha_venta]],"dd")</f>
        <v>09</v>
      </c>
      <c r="I2954" t="str">
        <f>TEXT(Ventas[[#This Row],[Fecha_venta]],"m")</f>
        <v>12</v>
      </c>
      <c r="J2954" t="str">
        <f>TEXT(Ventas[[#This Row],[Fecha_venta]],"yyyy")</f>
        <v>2011</v>
      </c>
    </row>
    <row r="2955" spans="1:10" x14ac:dyDescent="0.25">
      <c r="A2955">
        <v>21</v>
      </c>
      <c r="B2955" s="1">
        <v>40893</v>
      </c>
      <c r="C2955">
        <v>0</v>
      </c>
      <c r="D2955">
        <v>50.56</v>
      </c>
      <c r="E2955">
        <v>3.1589999999999998</v>
      </c>
      <c r="F2955">
        <v>218.8217928</v>
      </c>
      <c r="G2955">
        <v>1027584.51</v>
      </c>
      <c r="H2955" t="str">
        <f>TEXT(Ventas[[#This Row],[Fecha_venta]],"dd")</f>
        <v>16</v>
      </c>
      <c r="I2955" t="str">
        <f>TEXT(Ventas[[#This Row],[Fecha_venta]],"m")</f>
        <v>12</v>
      </c>
      <c r="J2955" t="str">
        <f>TEXT(Ventas[[#This Row],[Fecha_venta]],"yyyy")</f>
        <v>2011</v>
      </c>
    </row>
    <row r="2956" spans="1:10" x14ac:dyDescent="0.25">
      <c r="A2956">
        <v>21</v>
      </c>
      <c r="B2956" s="1">
        <v>40900</v>
      </c>
      <c r="C2956">
        <v>0</v>
      </c>
      <c r="D2956">
        <v>46.54</v>
      </c>
      <c r="E2956">
        <v>3.1120000000000001</v>
      </c>
      <c r="F2956">
        <v>218.9995495</v>
      </c>
      <c r="G2956">
        <v>1384552.17</v>
      </c>
      <c r="H2956" t="str">
        <f>TEXT(Ventas[[#This Row],[Fecha_venta]],"dd")</f>
        <v>23</v>
      </c>
      <c r="I2956" t="str">
        <f>TEXT(Ventas[[#This Row],[Fecha_venta]],"m")</f>
        <v>12</v>
      </c>
      <c r="J2956" t="str">
        <f>TEXT(Ventas[[#This Row],[Fecha_venta]],"yyyy")</f>
        <v>2011</v>
      </c>
    </row>
    <row r="2957" spans="1:10" x14ac:dyDescent="0.25">
      <c r="A2957">
        <v>21</v>
      </c>
      <c r="B2957" s="1">
        <v>40907</v>
      </c>
      <c r="C2957">
        <v>1</v>
      </c>
      <c r="D2957">
        <v>45.16</v>
      </c>
      <c r="E2957">
        <v>3.129</v>
      </c>
      <c r="F2957">
        <v>219.1773063</v>
      </c>
      <c r="G2957">
        <v>804362.36</v>
      </c>
      <c r="H2957" t="str">
        <f>TEXT(Ventas[[#This Row],[Fecha_venta]],"dd")</f>
        <v>30</v>
      </c>
      <c r="I2957" t="str">
        <f>TEXT(Ventas[[#This Row],[Fecha_venta]],"m")</f>
        <v>12</v>
      </c>
      <c r="J2957" t="str">
        <f>TEXT(Ventas[[#This Row],[Fecha_venta]],"yyyy")</f>
        <v>2011</v>
      </c>
    </row>
    <row r="2958" spans="1:10" x14ac:dyDescent="0.25">
      <c r="A2958">
        <v>21</v>
      </c>
      <c r="B2958" s="1">
        <v>40914</v>
      </c>
      <c r="C2958">
        <v>0</v>
      </c>
      <c r="D2958">
        <v>48.1</v>
      </c>
      <c r="E2958">
        <v>3.157</v>
      </c>
      <c r="F2958">
        <v>219.355063</v>
      </c>
      <c r="G2958">
        <v>640181.86</v>
      </c>
      <c r="H2958" t="str">
        <f>TEXT(Ventas[[#This Row],[Fecha_venta]],"dd")</f>
        <v>06</v>
      </c>
      <c r="I2958" t="str">
        <f>TEXT(Ventas[[#This Row],[Fecha_venta]],"m")</f>
        <v>1</v>
      </c>
      <c r="J2958" t="str">
        <f>TEXT(Ventas[[#This Row],[Fecha_venta]],"yyyy")</f>
        <v>2012</v>
      </c>
    </row>
    <row r="2959" spans="1:10" x14ac:dyDescent="0.25">
      <c r="A2959">
        <v>21</v>
      </c>
      <c r="B2959" s="1">
        <v>40921</v>
      </c>
      <c r="C2959">
        <v>0</v>
      </c>
      <c r="D2959">
        <v>45</v>
      </c>
      <c r="E2959">
        <v>3.2610000000000001</v>
      </c>
      <c r="F2959">
        <v>219.5328198</v>
      </c>
      <c r="G2959">
        <v>631181.25</v>
      </c>
      <c r="H2959" t="str">
        <f>TEXT(Ventas[[#This Row],[Fecha_venta]],"dd")</f>
        <v>13</v>
      </c>
      <c r="I2959" t="str">
        <f>TEXT(Ventas[[#This Row],[Fecha_venta]],"m")</f>
        <v>1</v>
      </c>
      <c r="J2959" t="str">
        <f>TEXT(Ventas[[#This Row],[Fecha_venta]],"yyyy")</f>
        <v>2012</v>
      </c>
    </row>
    <row r="2960" spans="1:10" x14ac:dyDescent="0.25">
      <c r="A2960">
        <v>21</v>
      </c>
      <c r="B2960" s="1">
        <v>40928</v>
      </c>
      <c r="C2960">
        <v>0</v>
      </c>
      <c r="D2960">
        <v>52.21</v>
      </c>
      <c r="E2960">
        <v>3.2679999999999998</v>
      </c>
      <c r="F2960">
        <v>219.6258417</v>
      </c>
      <c r="G2960">
        <v>651178.19999999995</v>
      </c>
      <c r="H2960" t="str">
        <f>TEXT(Ventas[[#This Row],[Fecha_venta]],"dd")</f>
        <v>20</v>
      </c>
      <c r="I2960" t="str">
        <f>TEXT(Ventas[[#This Row],[Fecha_venta]],"m")</f>
        <v>1</v>
      </c>
      <c r="J2960" t="str">
        <f>TEXT(Ventas[[#This Row],[Fecha_venta]],"yyyy")</f>
        <v>2012</v>
      </c>
    </row>
    <row r="2961" spans="1:10" x14ac:dyDescent="0.25">
      <c r="A2961">
        <v>21</v>
      </c>
      <c r="B2961" s="1">
        <v>40935</v>
      </c>
      <c r="C2961">
        <v>0</v>
      </c>
      <c r="D2961">
        <v>50.79</v>
      </c>
      <c r="E2961">
        <v>3.29</v>
      </c>
      <c r="F2961">
        <v>219.71886359999999</v>
      </c>
      <c r="G2961">
        <v>611258.71</v>
      </c>
      <c r="H2961" t="str">
        <f>TEXT(Ventas[[#This Row],[Fecha_venta]],"dd")</f>
        <v>27</v>
      </c>
      <c r="I2961" t="str">
        <f>TEXT(Ventas[[#This Row],[Fecha_venta]],"m")</f>
        <v>1</v>
      </c>
      <c r="J2961" t="str">
        <f>TEXT(Ventas[[#This Row],[Fecha_venta]],"yyyy")</f>
        <v>2012</v>
      </c>
    </row>
    <row r="2962" spans="1:10" x14ac:dyDescent="0.25">
      <c r="A2962">
        <v>21</v>
      </c>
      <c r="B2962" s="1">
        <v>40942</v>
      </c>
      <c r="C2962">
        <v>0</v>
      </c>
      <c r="D2962">
        <v>55.83</v>
      </c>
      <c r="E2962">
        <v>3.36</v>
      </c>
      <c r="F2962">
        <v>219.81188539999999</v>
      </c>
      <c r="G2962">
        <v>680725.43</v>
      </c>
      <c r="H2962" t="str">
        <f>TEXT(Ventas[[#This Row],[Fecha_venta]],"dd")</f>
        <v>03</v>
      </c>
      <c r="I2962" t="str">
        <f>TEXT(Ventas[[#This Row],[Fecha_venta]],"m")</f>
        <v>2</v>
      </c>
      <c r="J2962" t="str">
        <f>TEXT(Ventas[[#This Row],[Fecha_venta]],"yyyy")</f>
        <v>2012</v>
      </c>
    </row>
    <row r="2963" spans="1:10" x14ac:dyDescent="0.25">
      <c r="A2963">
        <v>21</v>
      </c>
      <c r="B2963" s="1">
        <v>40949</v>
      </c>
      <c r="C2963">
        <v>1</v>
      </c>
      <c r="D2963">
        <v>46.52</v>
      </c>
      <c r="E2963">
        <v>3.4089999999999998</v>
      </c>
      <c r="F2963">
        <v>219.90490729999999</v>
      </c>
      <c r="G2963">
        <v>770652.79</v>
      </c>
      <c r="H2963" t="str">
        <f>TEXT(Ventas[[#This Row],[Fecha_venta]],"dd")</f>
        <v>10</v>
      </c>
      <c r="I2963" t="str">
        <f>TEXT(Ventas[[#This Row],[Fecha_venta]],"m")</f>
        <v>2</v>
      </c>
      <c r="J2963" t="str">
        <f>TEXT(Ventas[[#This Row],[Fecha_venta]],"yyyy")</f>
        <v>2012</v>
      </c>
    </row>
    <row r="2964" spans="1:10" x14ac:dyDescent="0.25">
      <c r="A2964">
        <v>21</v>
      </c>
      <c r="B2964" s="1">
        <v>40956</v>
      </c>
      <c r="C2964">
        <v>0</v>
      </c>
      <c r="D2964">
        <v>45.03</v>
      </c>
      <c r="E2964">
        <v>3.51</v>
      </c>
      <c r="F2964">
        <v>220.06519929999999</v>
      </c>
      <c r="G2964">
        <v>834663.52</v>
      </c>
      <c r="H2964" t="str">
        <f>TEXT(Ventas[[#This Row],[Fecha_venta]],"dd")</f>
        <v>17</v>
      </c>
      <c r="I2964" t="str">
        <f>TEXT(Ventas[[#This Row],[Fecha_venta]],"m")</f>
        <v>2</v>
      </c>
      <c r="J2964" t="str">
        <f>TEXT(Ventas[[#This Row],[Fecha_venta]],"yyyy")</f>
        <v>2012</v>
      </c>
    </row>
    <row r="2965" spans="1:10" x14ac:dyDescent="0.25">
      <c r="A2965">
        <v>21</v>
      </c>
      <c r="B2965" s="1">
        <v>40963</v>
      </c>
      <c r="C2965">
        <v>0</v>
      </c>
      <c r="D2965">
        <v>54.81</v>
      </c>
      <c r="E2965">
        <v>3.5550000000000002</v>
      </c>
      <c r="F2965">
        <v>220.27594400000001</v>
      </c>
      <c r="G2965">
        <v>747099.07</v>
      </c>
      <c r="H2965" t="str">
        <f>TEXT(Ventas[[#This Row],[Fecha_venta]],"dd")</f>
        <v>24</v>
      </c>
      <c r="I2965" t="str">
        <f>TEXT(Ventas[[#This Row],[Fecha_venta]],"m")</f>
        <v>2</v>
      </c>
      <c r="J2965" t="str">
        <f>TEXT(Ventas[[#This Row],[Fecha_venta]],"yyyy")</f>
        <v>2012</v>
      </c>
    </row>
    <row r="2966" spans="1:10" x14ac:dyDescent="0.25">
      <c r="A2966">
        <v>21</v>
      </c>
      <c r="B2966" s="1">
        <v>40970</v>
      </c>
      <c r="C2966">
        <v>0</v>
      </c>
      <c r="D2966">
        <v>59.3</v>
      </c>
      <c r="E2966">
        <v>3.63</v>
      </c>
      <c r="F2966">
        <v>220.48668860000001</v>
      </c>
      <c r="G2966">
        <v>764385.4</v>
      </c>
      <c r="H2966" t="str">
        <f>TEXT(Ventas[[#This Row],[Fecha_venta]],"dd")</f>
        <v>02</v>
      </c>
      <c r="I2966" t="str">
        <f>TEXT(Ventas[[#This Row],[Fecha_venta]],"m")</f>
        <v>3</v>
      </c>
      <c r="J2966" t="str">
        <f>TEXT(Ventas[[#This Row],[Fecha_venta]],"yyyy")</f>
        <v>2012</v>
      </c>
    </row>
    <row r="2967" spans="1:10" x14ac:dyDescent="0.25">
      <c r="A2967">
        <v>21</v>
      </c>
      <c r="B2967" s="1">
        <v>40977</v>
      </c>
      <c r="C2967">
        <v>0</v>
      </c>
      <c r="D2967">
        <v>57.16</v>
      </c>
      <c r="E2967">
        <v>3.669</v>
      </c>
      <c r="F2967">
        <v>220.69743320000001</v>
      </c>
      <c r="G2967">
        <v>755084.4</v>
      </c>
      <c r="H2967" t="str">
        <f>TEXT(Ventas[[#This Row],[Fecha_venta]],"dd")</f>
        <v>09</v>
      </c>
      <c r="I2967" t="str">
        <f>TEXT(Ventas[[#This Row],[Fecha_venta]],"m")</f>
        <v>3</v>
      </c>
      <c r="J2967" t="str">
        <f>TEXT(Ventas[[#This Row],[Fecha_venta]],"yyyy")</f>
        <v>2012</v>
      </c>
    </row>
    <row r="2968" spans="1:10" x14ac:dyDescent="0.25">
      <c r="A2968">
        <v>21</v>
      </c>
      <c r="B2968" s="1">
        <v>40984</v>
      </c>
      <c r="C2968">
        <v>0</v>
      </c>
      <c r="D2968">
        <v>63.39</v>
      </c>
      <c r="E2968">
        <v>3.734</v>
      </c>
      <c r="F2968">
        <v>220.84984679999999</v>
      </c>
      <c r="G2968">
        <v>767338.32</v>
      </c>
      <c r="H2968" t="str">
        <f>TEXT(Ventas[[#This Row],[Fecha_venta]],"dd")</f>
        <v>16</v>
      </c>
      <c r="I2968" t="str">
        <f>TEXT(Ventas[[#This Row],[Fecha_venta]],"m")</f>
        <v>3</v>
      </c>
      <c r="J2968" t="str">
        <f>TEXT(Ventas[[#This Row],[Fecha_venta]],"yyyy")</f>
        <v>2012</v>
      </c>
    </row>
    <row r="2969" spans="1:10" x14ac:dyDescent="0.25">
      <c r="A2969">
        <v>21</v>
      </c>
      <c r="B2969" s="1">
        <v>40991</v>
      </c>
      <c r="C2969">
        <v>0</v>
      </c>
      <c r="D2969">
        <v>62.96</v>
      </c>
      <c r="E2969">
        <v>3.7869999999999999</v>
      </c>
      <c r="F2969">
        <v>220.92448580000001</v>
      </c>
      <c r="G2969">
        <v>729759.97</v>
      </c>
      <c r="H2969" t="str">
        <f>TEXT(Ventas[[#This Row],[Fecha_venta]],"dd")</f>
        <v>23</v>
      </c>
      <c r="I2969" t="str">
        <f>TEXT(Ventas[[#This Row],[Fecha_venta]],"m")</f>
        <v>3</v>
      </c>
      <c r="J2969" t="str">
        <f>TEXT(Ventas[[#This Row],[Fecha_venta]],"yyyy")</f>
        <v>2012</v>
      </c>
    </row>
    <row r="2970" spans="1:10" x14ac:dyDescent="0.25">
      <c r="A2970">
        <v>21</v>
      </c>
      <c r="B2970" s="1">
        <v>40998</v>
      </c>
      <c r="C2970">
        <v>0</v>
      </c>
      <c r="D2970">
        <v>67.87</v>
      </c>
      <c r="E2970">
        <v>3.8450000000000002</v>
      </c>
      <c r="F2970">
        <v>220.9991248</v>
      </c>
      <c r="G2970">
        <v>724798.76</v>
      </c>
      <c r="H2970" t="str">
        <f>TEXT(Ventas[[#This Row],[Fecha_venta]],"dd")</f>
        <v>30</v>
      </c>
      <c r="I2970" t="str">
        <f>TEXT(Ventas[[#This Row],[Fecha_venta]],"m")</f>
        <v>3</v>
      </c>
      <c r="J2970" t="str">
        <f>TEXT(Ventas[[#This Row],[Fecha_venta]],"yyyy")</f>
        <v>2012</v>
      </c>
    </row>
    <row r="2971" spans="1:10" x14ac:dyDescent="0.25">
      <c r="A2971">
        <v>21</v>
      </c>
      <c r="B2971" s="1">
        <v>41005</v>
      </c>
      <c r="C2971">
        <v>0</v>
      </c>
      <c r="D2971">
        <v>69.02</v>
      </c>
      <c r="E2971">
        <v>3.891</v>
      </c>
      <c r="F2971">
        <v>221.07376379999999</v>
      </c>
      <c r="G2971">
        <v>761956.58</v>
      </c>
      <c r="H2971" t="str">
        <f>TEXT(Ventas[[#This Row],[Fecha_venta]],"dd")</f>
        <v>06</v>
      </c>
      <c r="I2971" t="str">
        <f>TEXT(Ventas[[#This Row],[Fecha_venta]],"m")</f>
        <v>4</v>
      </c>
      <c r="J2971" t="str">
        <f>TEXT(Ventas[[#This Row],[Fecha_venta]],"yyyy")</f>
        <v>2012</v>
      </c>
    </row>
    <row r="2972" spans="1:10" x14ac:dyDescent="0.25">
      <c r="A2972">
        <v>21</v>
      </c>
      <c r="B2972" s="1">
        <v>41012</v>
      </c>
      <c r="C2972">
        <v>0</v>
      </c>
      <c r="D2972">
        <v>69.03</v>
      </c>
      <c r="E2972">
        <v>3.891</v>
      </c>
      <c r="F2972">
        <v>221.14840280000001</v>
      </c>
      <c r="G2972">
        <v>769319.04</v>
      </c>
      <c r="H2972" t="str">
        <f>TEXT(Ventas[[#This Row],[Fecha_venta]],"dd")</f>
        <v>13</v>
      </c>
      <c r="I2972" t="str">
        <f>TEXT(Ventas[[#This Row],[Fecha_venta]],"m")</f>
        <v>4</v>
      </c>
      <c r="J2972" t="str">
        <f>TEXT(Ventas[[#This Row],[Fecha_venta]],"yyyy")</f>
        <v>2012</v>
      </c>
    </row>
    <row r="2973" spans="1:10" x14ac:dyDescent="0.25">
      <c r="A2973">
        <v>21</v>
      </c>
      <c r="B2973" s="1">
        <v>41019</v>
      </c>
      <c r="C2973">
        <v>0</v>
      </c>
      <c r="D2973">
        <v>66.97</v>
      </c>
      <c r="E2973">
        <v>3.8769999999999998</v>
      </c>
      <c r="F2973">
        <v>221.20210739999999</v>
      </c>
      <c r="G2973">
        <v>734858.91</v>
      </c>
      <c r="H2973" t="str">
        <f>TEXT(Ventas[[#This Row],[Fecha_venta]],"dd")</f>
        <v>20</v>
      </c>
      <c r="I2973" t="str">
        <f>TEXT(Ventas[[#This Row],[Fecha_venta]],"m")</f>
        <v>4</v>
      </c>
      <c r="J2973" t="str">
        <f>TEXT(Ventas[[#This Row],[Fecha_venta]],"yyyy")</f>
        <v>2012</v>
      </c>
    </row>
    <row r="2974" spans="1:10" x14ac:dyDescent="0.25">
      <c r="A2974">
        <v>21</v>
      </c>
      <c r="B2974" s="1">
        <v>41026</v>
      </c>
      <c r="C2974">
        <v>0</v>
      </c>
      <c r="D2974">
        <v>69.209999999999994</v>
      </c>
      <c r="E2974">
        <v>3.8140000000000001</v>
      </c>
      <c r="F2974">
        <v>221.25581199999999</v>
      </c>
      <c r="G2974">
        <v>674829.58</v>
      </c>
      <c r="H2974" t="str">
        <f>TEXT(Ventas[[#This Row],[Fecha_venta]],"dd")</f>
        <v>27</v>
      </c>
      <c r="I2974" t="str">
        <f>TEXT(Ventas[[#This Row],[Fecha_venta]],"m")</f>
        <v>4</v>
      </c>
      <c r="J2974" t="str">
        <f>TEXT(Ventas[[#This Row],[Fecha_venta]],"yyyy")</f>
        <v>2012</v>
      </c>
    </row>
    <row r="2975" spans="1:10" x14ac:dyDescent="0.25">
      <c r="A2975">
        <v>21</v>
      </c>
      <c r="B2975" s="1">
        <v>41033</v>
      </c>
      <c r="C2975">
        <v>0</v>
      </c>
      <c r="D2975">
        <v>77.53</v>
      </c>
      <c r="E2975">
        <v>3.7490000000000001</v>
      </c>
      <c r="F2975">
        <v>221.30951659999999</v>
      </c>
      <c r="G2975">
        <v>697645.32</v>
      </c>
      <c r="H2975" t="str">
        <f>TEXT(Ventas[[#This Row],[Fecha_venta]],"dd")</f>
        <v>04</v>
      </c>
      <c r="I2975" t="str">
        <f>TEXT(Ventas[[#This Row],[Fecha_venta]],"m")</f>
        <v>5</v>
      </c>
      <c r="J2975" t="str">
        <f>TEXT(Ventas[[#This Row],[Fecha_venta]],"yyyy")</f>
        <v>2012</v>
      </c>
    </row>
    <row r="2976" spans="1:10" x14ac:dyDescent="0.25">
      <c r="A2976">
        <v>21</v>
      </c>
      <c r="B2976" s="1">
        <v>41040</v>
      </c>
      <c r="C2976">
        <v>0</v>
      </c>
      <c r="D2976">
        <v>74.14</v>
      </c>
      <c r="E2976">
        <v>3.6880000000000002</v>
      </c>
      <c r="F2976">
        <v>221.3632212</v>
      </c>
      <c r="G2976">
        <v>649945.54</v>
      </c>
      <c r="H2976" t="str">
        <f>TEXT(Ventas[[#This Row],[Fecha_venta]],"dd")</f>
        <v>11</v>
      </c>
      <c r="I2976" t="str">
        <f>TEXT(Ventas[[#This Row],[Fecha_venta]],"m")</f>
        <v>5</v>
      </c>
      <c r="J2976" t="str">
        <f>TEXT(Ventas[[#This Row],[Fecha_venta]],"yyyy")</f>
        <v>2012</v>
      </c>
    </row>
    <row r="2977" spans="1:10" x14ac:dyDescent="0.25">
      <c r="A2977">
        <v>21</v>
      </c>
      <c r="B2977" s="1">
        <v>41047</v>
      </c>
      <c r="C2977">
        <v>0</v>
      </c>
      <c r="D2977">
        <v>72.42</v>
      </c>
      <c r="E2977">
        <v>3.63</v>
      </c>
      <c r="F2977">
        <v>221.38033100000001</v>
      </c>
      <c r="G2977">
        <v>700554.16</v>
      </c>
      <c r="H2977" t="str">
        <f>TEXT(Ventas[[#This Row],[Fecha_venta]],"dd")</f>
        <v>18</v>
      </c>
      <c r="I2977" t="str">
        <f>TEXT(Ventas[[#This Row],[Fecha_venta]],"m")</f>
        <v>5</v>
      </c>
      <c r="J2977" t="str">
        <f>TEXT(Ventas[[#This Row],[Fecha_venta]],"yyyy")</f>
        <v>2012</v>
      </c>
    </row>
    <row r="2978" spans="1:10" x14ac:dyDescent="0.25">
      <c r="A2978">
        <v>21</v>
      </c>
      <c r="B2978" s="1">
        <v>41054</v>
      </c>
      <c r="C2978">
        <v>0</v>
      </c>
      <c r="D2978">
        <v>79.489999999999995</v>
      </c>
      <c r="E2978">
        <v>3.5609999999999999</v>
      </c>
      <c r="F2978">
        <v>221.3828029</v>
      </c>
      <c r="G2978">
        <v>722891.24</v>
      </c>
      <c r="H2978" t="str">
        <f>TEXT(Ventas[[#This Row],[Fecha_venta]],"dd")</f>
        <v>25</v>
      </c>
      <c r="I2978" t="str">
        <f>TEXT(Ventas[[#This Row],[Fecha_venta]],"m")</f>
        <v>5</v>
      </c>
      <c r="J2978" t="str">
        <f>TEXT(Ventas[[#This Row],[Fecha_venta]],"yyyy")</f>
        <v>2012</v>
      </c>
    </row>
    <row r="2979" spans="1:10" x14ac:dyDescent="0.25">
      <c r="A2979">
        <v>21</v>
      </c>
      <c r="B2979" s="1">
        <v>41061</v>
      </c>
      <c r="C2979">
        <v>0</v>
      </c>
      <c r="D2979">
        <v>79.239999999999995</v>
      </c>
      <c r="E2979">
        <v>3.5009999999999999</v>
      </c>
      <c r="F2979">
        <v>221.38527479999999</v>
      </c>
      <c r="G2979">
        <v>695439.83</v>
      </c>
      <c r="H2979" t="str">
        <f>TEXT(Ventas[[#This Row],[Fecha_venta]],"dd")</f>
        <v>01</v>
      </c>
      <c r="I2979" t="str">
        <f>TEXT(Ventas[[#This Row],[Fecha_venta]],"m")</f>
        <v>6</v>
      </c>
      <c r="J2979" t="str">
        <f>TEXT(Ventas[[#This Row],[Fecha_venta]],"yyyy")</f>
        <v>2012</v>
      </c>
    </row>
    <row r="2980" spans="1:10" x14ac:dyDescent="0.25">
      <c r="A2980">
        <v>21</v>
      </c>
      <c r="B2980" s="1">
        <v>41068</v>
      </c>
      <c r="C2980">
        <v>0</v>
      </c>
      <c r="D2980">
        <v>79.47</v>
      </c>
      <c r="E2980">
        <v>3.452</v>
      </c>
      <c r="F2980">
        <v>221.38774670000001</v>
      </c>
      <c r="G2980">
        <v>707895.72</v>
      </c>
      <c r="H2980" t="str">
        <f>TEXT(Ventas[[#This Row],[Fecha_venta]],"dd")</f>
        <v>08</v>
      </c>
      <c r="I2980" t="str">
        <f>TEXT(Ventas[[#This Row],[Fecha_venta]],"m")</f>
        <v>6</v>
      </c>
      <c r="J2980" t="str">
        <f>TEXT(Ventas[[#This Row],[Fecha_venta]],"yyyy")</f>
        <v>2012</v>
      </c>
    </row>
    <row r="2981" spans="1:10" x14ac:dyDescent="0.25">
      <c r="A2981">
        <v>21</v>
      </c>
      <c r="B2981" s="1">
        <v>41075</v>
      </c>
      <c r="C2981">
        <v>0</v>
      </c>
      <c r="D2981">
        <v>81.510000000000005</v>
      </c>
      <c r="E2981">
        <v>3.3929999999999998</v>
      </c>
      <c r="F2981">
        <v>221.4009901</v>
      </c>
      <c r="G2981">
        <v>727049.04</v>
      </c>
      <c r="H2981" t="str">
        <f>TEXT(Ventas[[#This Row],[Fecha_venta]],"dd")</f>
        <v>15</v>
      </c>
      <c r="I2981" t="str">
        <f>TEXT(Ventas[[#This Row],[Fecha_venta]],"m")</f>
        <v>6</v>
      </c>
      <c r="J2981" t="str">
        <f>TEXT(Ventas[[#This Row],[Fecha_venta]],"yyyy")</f>
        <v>2012</v>
      </c>
    </row>
    <row r="2982" spans="1:10" x14ac:dyDescent="0.25">
      <c r="A2982">
        <v>21</v>
      </c>
      <c r="B2982" s="1">
        <v>41082</v>
      </c>
      <c r="C2982">
        <v>0</v>
      </c>
      <c r="D2982">
        <v>81.78</v>
      </c>
      <c r="E2982">
        <v>3.3460000000000001</v>
      </c>
      <c r="F2982">
        <v>221.44116220000001</v>
      </c>
      <c r="G2982">
        <v>735870</v>
      </c>
      <c r="H2982" t="str">
        <f>TEXT(Ventas[[#This Row],[Fecha_venta]],"dd")</f>
        <v>22</v>
      </c>
      <c r="I2982" t="str">
        <f>TEXT(Ventas[[#This Row],[Fecha_venta]],"m")</f>
        <v>6</v>
      </c>
      <c r="J2982" t="str">
        <f>TEXT(Ventas[[#This Row],[Fecha_venta]],"yyyy")</f>
        <v>2012</v>
      </c>
    </row>
    <row r="2983" spans="1:10" x14ac:dyDescent="0.25">
      <c r="A2983">
        <v>21</v>
      </c>
      <c r="B2983" s="1">
        <v>41089</v>
      </c>
      <c r="C2983">
        <v>0</v>
      </c>
      <c r="D2983">
        <v>88.05</v>
      </c>
      <c r="E2983">
        <v>3.286</v>
      </c>
      <c r="F2983">
        <v>221.48133429999999</v>
      </c>
      <c r="G2983">
        <v>716341.39</v>
      </c>
      <c r="H2983" t="str">
        <f>TEXT(Ventas[[#This Row],[Fecha_venta]],"dd")</f>
        <v>29</v>
      </c>
      <c r="I2983" t="str">
        <f>TEXT(Ventas[[#This Row],[Fecha_venta]],"m")</f>
        <v>6</v>
      </c>
      <c r="J2983" t="str">
        <f>TEXT(Ventas[[#This Row],[Fecha_venta]],"yyyy")</f>
        <v>2012</v>
      </c>
    </row>
    <row r="2984" spans="1:10" x14ac:dyDescent="0.25">
      <c r="A2984">
        <v>21</v>
      </c>
      <c r="B2984" s="1">
        <v>41096</v>
      </c>
      <c r="C2984">
        <v>0</v>
      </c>
      <c r="D2984">
        <v>85.26</v>
      </c>
      <c r="E2984">
        <v>3.2269999999999999</v>
      </c>
      <c r="F2984">
        <v>221.52150639999999</v>
      </c>
      <c r="G2984">
        <v>693013.59</v>
      </c>
      <c r="H2984" t="str">
        <f>TEXT(Ventas[[#This Row],[Fecha_venta]],"dd")</f>
        <v>06</v>
      </c>
      <c r="I2984" t="str">
        <f>TEXT(Ventas[[#This Row],[Fecha_venta]],"m")</f>
        <v>7</v>
      </c>
      <c r="J2984" t="str">
        <f>TEXT(Ventas[[#This Row],[Fecha_venta]],"yyyy")</f>
        <v>2012</v>
      </c>
    </row>
    <row r="2985" spans="1:10" x14ac:dyDescent="0.25">
      <c r="A2985">
        <v>21</v>
      </c>
      <c r="B2985" s="1">
        <v>41103</v>
      </c>
      <c r="C2985">
        <v>0</v>
      </c>
      <c r="D2985">
        <v>82.51</v>
      </c>
      <c r="E2985">
        <v>3.2559999999999998</v>
      </c>
      <c r="F2985">
        <v>221.56167840000001</v>
      </c>
      <c r="G2985">
        <v>668132.36</v>
      </c>
      <c r="H2985" t="str">
        <f>TEXT(Ventas[[#This Row],[Fecha_venta]],"dd")</f>
        <v>13</v>
      </c>
      <c r="I2985" t="str">
        <f>TEXT(Ventas[[#This Row],[Fecha_venta]],"m")</f>
        <v>7</v>
      </c>
      <c r="J2985" t="str">
        <f>TEXT(Ventas[[#This Row],[Fecha_venta]],"yyyy")</f>
        <v>2012</v>
      </c>
    </row>
    <row r="2986" spans="1:10" x14ac:dyDescent="0.25">
      <c r="A2986">
        <v>21</v>
      </c>
      <c r="B2986" s="1">
        <v>41110</v>
      </c>
      <c r="C2986">
        <v>0</v>
      </c>
      <c r="D2986">
        <v>84.25</v>
      </c>
      <c r="E2986">
        <v>3.3109999999999999</v>
      </c>
      <c r="F2986">
        <v>221.57011230000001</v>
      </c>
      <c r="G2986">
        <v>691200.33</v>
      </c>
      <c r="H2986" t="str">
        <f>TEXT(Ventas[[#This Row],[Fecha_venta]],"dd")</f>
        <v>20</v>
      </c>
      <c r="I2986" t="str">
        <f>TEXT(Ventas[[#This Row],[Fecha_venta]],"m")</f>
        <v>7</v>
      </c>
      <c r="J2986" t="str">
        <f>TEXT(Ventas[[#This Row],[Fecha_venta]],"yyyy")</f>
        <v>2012</v>
      </c>
    </row>
    <row r="2987" spans="1:10" x14ac:dyDescent="0.25">
      <c r="A2987">
        <v>21</v>
      </c>
      <c r="B2987" s="1">
        <v>41117</v>
      </c>
      <c r="C2987">
        <v>0</v>
      </c>
      <c r="D2987">
        <v>88.09</v>
      </c>
      <c r="E2987">
        <v>3.407</v>
      </c>
      <c r="F2987">
        <v>221.57854610000001</v>
      </c>
      <c r="G2987">
        <v>677789.14</v>
      </c>
      <c r="H2987" t="str">
        <f>TEXT(Ventas[[#This Row],[Fecha_venta]],"dd")</f>
        <v>27</v>
      </c>
      <c r="I2987" t="str">
        <f>TEXT(Ventas[[#This Row],[Fecha_venta]],"m")</f>
        <v>7</v>
      </c>
      <c r="J2987" t="str">
        <f>TEXT(Ventas[[#This Row],[Fecha_venta]],"yyyy")</f>
        <v>2012</v>
      </c>
    </row>
    <row r="2988" spans="1:10" x14ac:dyDescent="0.25">
      <c r="A2988">
        <v>21</v>
      </c>
      <c r="B2988" s="1">
        <v>41124</v>
      </c>
      <c r="C2988">
        <v>0</v>
      </c>
      <c r="D2988">
        <v>91.57</v>
      </c>
      <c r="E2988">
        <v>3.4169999999999998</v>
      </c>
      <c r="F2988">
        <v>221.58697989999999</v>
      </c>
      <c r="G2988">
        <v>693785.85</v>
      </c>
      <c r="H2988" t="str">
        <f>TEXT(Ventas[[#This Row],[Fecha_venta]],"dd")</f>
        <v>03</v>
      </c>
      <c r="I2988" t="str">
        <f>TEXT(Ventas[[#This Row],[Fecha_venta]],"m")</f>
        <v>8</v>
      </c>
      <c r="J2988" t="str">
        <f>TEXT(Ventas[[#This Row],[Fecha_venta]],"yyyy")</f>
        <v>2012</v>
      </c>
    </row>
    <row r="2989" spans="1:10" x14ac:dyDescent="0.25">
      <c r="A2989">
        <v>21</v>
      </c>
      <c r="B2989" s="1">
        <v>41131</v>
      </c>
      <c r="C2989">
        <v>0</v>
      </c>
      <c r="D2989">
        <v>89.57</v>
      </c>
      <c r="E2989">
        <v>3.4940000000000002</v>
      </c>
      <c r="F2989">
        <v>221.59541379999999</v>
      </c>
      <c r="G2989">
        <v>700272.01</v>
      </c>
      <c r="H2989" t="str">
        <f>TEXT(Ventas[[#This Row],[Fecha_venta]],"dd")</f>
        <v>10</v>
      </c>
      <c r="I2989" t="str">
        <f>TEXT(Ventas[[#This Row],[Fecha_venta]],"m")</f>
        <v>8</v>
      </c>
      <c r="J2989" t="str">
        <f>TEXT(Ventas[[#This Row],[Fecha_venta]],"yyyy")</f>
        <v>2012</v>
      </c>
    </row>
    <row r="2990" spans="1:10" x14ac:dyDescent="0.25">
      <c r="A2990">
        <v>21</v>
      </c>
      <c r="B2990" s="1">
        <v>41138</v>
      </c>
      <c r="C2990">
        <v>0</v>
      </c>
      <c r="D2990">
        <v>85.55</v>
      </c>
      <c r="E2990">
        <v>3.5710000000000002</v>
      </c>
      <c r="F2990">
        <v>221.67514589999999</v>
      </c>
      <c r="G2990">
        <v>751963.81</v>
      </c>
      <c r="H2990" t="str">
        <f>TEXT(Ventas[[#This Row],[Fecha_venta]],"dd")</f>
        <v>17</v>
      </c>
      <c r="I2990" t="str">
        <f>TEXT(Ventas[[#This Row],[Fecha_venta]],"m")</f>
        <v>8</v>
      </c>
      <c r="J2990" t="str">
        <f>TEXT(Ventas[[#This Row],[Fecha_venta]],"yyyy")</f>
        <v>2012</v>
      </c>
    </row>
    <row r="2991" spans="1:10" x14ac:dyDescent="0.25">
      <c r="A2991">
        <v>21</v>
      </c>
      <c r="B2991" s="1">
        <v>41145</v>
      </c>
      <c r="C2991">
        <v>0</v>
      </c>
      <c r="D2991">
        <v>77.72</v>
      </c>
      <c r="E2991">
        <v>3.62</v>
      </c>
      <c r="F2991">
        <v>221.8083518</v>
      </c>
      <c r="G2991">
        <v>802003.61</v>
      </c>
      <c r="H2991" t="str">
        <f>TEXT(Ventas[[#This Row],[Fecha_venta]],"dd")</f>
        <v>24</v>
      </c>
      <c r="I2991" t="str">
        <f>TEXT(Ventas[[#This Row],[Fecha_venta]],"m")</f>
        <v>8</v>
      </c>
      <c r="J2991" t="str">
        <f>TEXT(Ventas[[#This Row],[Fecha_venta]],"yyyy")</f>
        <v>2012</v>
      </c>
    </row>
    <row r="2992" spans="1:10" x14ac:dyDescent="0.25">
      <c r="A2992">
        <v>21</v>
      </c>
      <c r="B2992" s="1">
        <v>41152</v>
      </c>
      <c r="C2992">
        <v>0</v>
      </c>
      <c r="D2992">
        <v>83.58</v>
      </c>
      <c r="E2992">
        <v>3.6379999999999999</v>
      </c>
      <c r="F2992">
        <v>221.94155760000001</v>
      </c>
      <c r="G2992">
        <v>763867.59</v>
      </c>
      <c r="H2992" t="str">
        <f>TEXT(Ventas[[#This Row],[Fecha_venta]],"dd")</f>
        <v>31</v>
      </c>
      <c r="I2992" t="str">
        <f>TEXT(Ventas[[#This Row],[Fecha_venta]],"m")</f>
        <v>8</v>
      </c>
      <c r="J2992" t="str">
        <f>TEXT(Ventas[[#This Row],[Fecha_venta]],"yyyy")</f>
        <v>2012</v>
      </c>
    </row>
    <row r="2993" spans="1:10" x14ac:dyDescent="0.25">
      <c r="A2993">
        <v>21</v>
      </c>
      <c r="B2993" s="1">
        <v>41159</v>
      </c>
      <c r="C2993">
        <v>1</v>
      </c>
      <c r="D2993">
        <v>88.4</v>
      </c>
      <c r="E2993">
        <v>3.73</v>
      </c>
      <c r="F2993">
        <v>222.07476349999999</v>
      </c>
      <c r="G2993">
        <v>642827.29</v>
      </c>
      <c r="H2993" t="str">
        <f>TEXT(Ventas[[#This Row],[Fecha_venta]],"dd")</f>
        <v>07</v>
      </c>
      <c r="I2993" t="str">
        <f>TEXT(Ventas[[#This Row],[Fecha_venta]],"m")</f>
        <v>9</v>
      </c>
      <c r="J2993" t="str">
        <f>TEXT(Ventas[[#This Row],[Fecha_venta]],"yyyy")</f>
        <v>2012</v>
      </c>
    </row>
    <row r="2994" spans="1:10" x14ac:dyDescent="0.25">
      <c r="A2994">
        <v>21</v>
      </c>
      <c r="B2994" s="1">
        <v>41166</v>
      </c>
      <c r="C2994">
        <v>0</v>
      </c>
      <c r="D2994">
        <v>76.099999999999994</v>
      </c>
      <c r="E2994">
        <v>3.7170000000000001</v>
      </c>
      <c r="F2994">
        <v>222.21743950000001</v>
      </c>
      <c r="G2994">
        <v>628494.63</v>
      </c>
      <c r="H2994" t="str">
        <f>TEXT(Ventas[[#This Row],[Fecha_venta]],"dd")</f>
        <v>14</v>
      </c>
      <c r="I2994" t="str">
        <f>TEXT(Ventas[[#This Row],[Fecha_venta]],"m")</f>
        <v>9</v>
      </c>
      <c r="J2994" t="str">
        <f>TEXT(Ventas[[#This Row],[Fecha_venta]],"yyyy")</f>
        <v>2012</v>
      </c>
    </row>
    <row r="2995" spans="1:10" x14ac:dyDescent="0.25">
      <c r="A2995">
        <v>21</v>
      </c>
      <c r="B2995" s="1">
        <v>41173</v>
      </c>
      <c r="C2995">
        <v>0</v>
      </c>
      <c r="D2995">
        <v>71.540000000000006</v>
      </c>
      <c r="E2995">
        <v>3.7210000000000001</v>
      </c>
      <c r="F2995">
        <v>222.41693620000001</v>
      </c>
      <c r="G2995">
        <v>667151.46</v>
      </c>
      <c r="H2995" t="str">
        <f>TEXT(Ventas[[#This Row],[Fecha_venta]],"dd")</f>
        <v>21</v>
      </c>
      <c r="I2995" t="str">
        <f>TEXT(Ventas[[#This Row],[Fecha_venta]],"m")</f>
        <v>9</v>
      </c>
      <c r="J2995" t="str">
        <f>TEXT(Ventas[[#This Row],[Fecha_venta]],"yyyy")</f>
        <v>2012</v>
      </c>
    </row>
    <row r="2996" spans="1:10" x14ac:dyDescent="0.25">
      <c r="A2996">
        <v>21</v>
      </c>
      <c r="B2996" s="1">
        <v>41180</v>
      </c>
      <c r="C2996">
        <v>0</v>
      </c>
      <c r="D2996">
        <v>80.38</v>
      </c>
      <c r="E2996">
        <v>3.6659999999999999</v>
      </c>
      <c r="F2996">
        <v>222.61643290000001</v>
      </c>
      <c r="G2996">
        <v>647097.65</v>
      </c>
      <c r="H2996" t="str">
        <f>TEXT(Ventas[[#This Row],[Fecha_venta]],"dd")</f>
        <v>28</v>
      </c>
      <c r="I2996" t="str">
        <f>TEXT(Ventas[[#This Row],[Fecha_venta]],"m")</f>
        <v>9</v>
      </c>
      <c r="J2996" t="str">
        <f>TEXT(Ventas[[#This Row],[Fecha_venta]],"yyyy")</f>
        <v>2012</v>
      </c>
    </row>
    <row r="2997" spans="1:10" x14ac:dyDescent="0.25">
      <c r="A2997">
        <v>21</v>
      </c>
      <c r="B2997" s="1">
        <v>41187</v>
      </c>
      <c r="C2997">
        <v>0</v>
      </c>
      <c r="D2997">
        <v>70.28</v>
      </c>
      <c r="E2997">
        <v>3.617</v>
      </c>
      <c r="F2997">
        <v>222.8159296</v>
      </c>
      <c r="G2997">
        <v>651768.91</v>
      </c>
      <c r="H2997" t="str">
        <f>TEXT(Ventas[[#This Row],[Fecha_venta]],"dd")</f>
        <v>05</v>
      </c>
      <c r="I2997" t="str">
        <f>TEXT(Ventas[[#This Row],[Fecha_venta]],"m")</f>
        <v>10</v>
      </c>
      <c r="J2997" t="str">
        <f>TEXT(Ventas[[#This Row],[Fecha_venta]],"yyyy")</f>
        <v>2012</v>
      </c>
    </row>
    <row r="2998" spans="1:10" x14ac:dyDescent="0.25">
      <c r="A2998">
        <v>21</v>
      </c>
      <c r="B2998" s="1">
        <v>41194</v>
      </c>
      <c r="C2998">
        <v>0</v>
      </c>
      <c r="D2998">
        <v>61.53</v>
      </c>
      <c r="E2998">
        <v>3.601</v>
      </c>
      <c r="F2998">
        <v>223.0154263</v>
      </c>
      <c r="G2998">
        <v>653043.43999999994</v>
      </c>
      <c r="H2998" t="str">
        <f>TEXT(Ventas[[#This Row],[Fecha_venta]],"dd")</f>
        <v>12</v>
      </c>
      <c r="I2998" t="str">
        <f>TEXT(Ventas[[#This Row],[Fecha_venta]],"m")</f>
        <v>10</v>
      </c>
      <c r="J2998" t="str">
        <f>TEXT(Ventas[[#This Row],[Fecha_venta]],"yyyy")</f>
        <v>2012</v>
      </c>
    </row>
    <row r="2999" spans="1:10" x14ac:dyDescent="0.25">
      <c r="A2999">
        <v>21</v>
      </c>
      <c r="B2999" s="1">
        <v>41201</v>
      </c>
      <c r="C2999">
        <v>0</v>
      </c>
      <c r="D2999">
        <v>68.52</v>
      </c>
      <c r="E2999">
        <v>3.5939999999999999</v>
      </c>
      <c r="F2999">
        <v>223.05980769999999</v>
      </c>
      <c r="G2999">
        <v>641368.14</v>
      </c>
      <c r="H2999" t="str">
        <f>TEXT(Ventas[[#This Row],[Fecha_venta]],"dd")</f>
        <v>19</v>
      </c>
      <c r="I2999" t="str">
        <f>TEXT(Ventas[[#This Row],[Fecha_venta]],"m")</f>
        <v>10</v>
      </c>
      <c r="J2999" t="str">
        <f>TEXT(Ventas[[#This Row],[Fecha_venta]],"yyyy")</f>
        <v>2012</v>
      </c>
    </row>
    <row r="3000" spans="1:10" x14ac:dyDescent="0.25">
      <c r="A3000">
        <v>21</v>
      </c>
      <c r="B3000" s="1">
        <v>41208</v>
      </c>
      <c r="C3000">
        <v>0</v>
      </c>
      <c r="D3000">
        <v>70.5</v>
      </c>
      <c r="E3000">
        <v>3.5059999999999998</v>
      </c>
      <c r="F3000">
        <v>223.0783366</v>
      </c>
      <c r="G3000">
        <v>675202.87</v>
      </c>
      <c r="H3000" t="str">
        <f>TEXT(Ventas[[#This Row],[Fecha_venta]],"dd")</f>
        <v>26</v>
      </c>
      <c r="I3000" t="str">
        <f>TEXT(Ventas[[#This Row],[Fecha_venta]],"m")</f>
        <v>10</v>
      </c>
      <c r="J3000" t="str">
        <f>TEXT(Ventas[[#This Row],[Fecha_venta]],"yyyy")</f>
        <v>2012</v>
      </c>
    </row>
    <row r="3001" spans="1:10" x14ac:dyDescent="0.25">
      <c r="A3001">
        <v>22</v>
      </c>
      <c r="B3001" s="1">
        <v>40214</v>
      </c>
      <c r="C3001">
        <v>0</v>
      </c>
      <c r="D3001">
        <v>24.36</v>
      </c>
      <c r="E3001">
        <v>2.7879999999999998</v>
      </c>
      <c r="F3001">
        <v>135.35246079999999</v>
      </c>
      <c r="G3001">
        <v>1033017.37</v>
      </c>
      <c r="H3001" t="str">
        <f>TEXT(Ventas[[#This Row],[Fecha_venta]],"dd")</f>
        <v>05</v>
      </c>
      <c r="I3001" t="str">
        <f>TEXT(Ventas[[#This Row],[Fecha_venta]],"m")</f>
        <v>2</v>
      </c>
      <c r="J3001" t="str">
        <f>TEXT(Ventas[[#This Row],[Fecha_venta]],"yyyy")</f>
        <v>2010</v>
      </c>
    </row>
    <row r="3002" spans="1:10" x14ac:dyDescent="0.25">
      <c r="A3002">
        <v>22</v>
      </c>
      <c r="B3002" s="1">
        <v>40221</v>
      </c>
      <c r="C3002">
        <v>1</v>
      </c>
      <c r="D3002">
        <v>28.14</v>
      </c>
      <c r="E3002">
        <v>2.7709999999999999</v>
      </c>
      <c r="F3002">
        <v>135.41130759999999</v>
      </c>
      <c r="G3002">
        <v>1022571.25</v>
      </c>
      <c r="H3002" t="str">
        <f>TEXT(Ventas[[#This Row],[Fecha_venta]],"dd")</f>
        <v>12</v>
      </c>
      <c r="I3002" t="str">
        <f>TEXT(Ventas[[#This Row],[Fecha_venta]],"m")</f>
        <v>2</v>
      </c>
      <c r="J3002" t="str">
        <f>TEXT(Ventas[[#This Row],[Fecha_venta]],"yyyy")</f>
        <v>2010</v>
      </c>
    </row>
    <row r="3003" spans="1:10" x14ac:dyDescent="0.25">
      <c r="A3003">
        <v>22</v>
      </c>
      <c r="B3003" s="1">
        <v>40228</v>
      </c>
      <c r="C3003">
        <v>0</v>
      </c>
      <c r="D3003">
        <v>31.96</v>
      </c>
      <c r="E3003">
        <v>2.7469999999999999</v>
      </c>
      <c r="F3003">
        <v>135.46577809999999</v>
      </c>
      <c r="G3003">
        <v>988467.61</v>
      </c>
      <c r="H3003" t="str">
        <f>TEXT(Ventas[[#This Row],[Fecha_venta]],"dd")</f>
        <v>19</v>
      </c>
      <c r="I3003" t="str">
        <f>TEXT(Ventas[[#This Row],[Fecha_venta]],"m")</f>
        <v>2</v>
      </c>
      <c r="J3003" t="str">
        <f>TEXT(Ventas[[#This Row],[Fecha_venta]],"yyyy")</f>
        <v>2010</v>
      </c>
    </row>
    <row r="3004" spans="1:10" x14ac:dyDescent="0.25">
      <c r="A3004">
        <v>22</v>
      </c>
      <c r="B3004" s="1">
        <v>40235</v>
      </c>
      <c r="C3004">
        <v>0</v>
      </c>
      <c r="D3004">
        <v>35.979999999999997</v>
      </c>
      <c r="E3004">
        <v>2.7530000000000001</v>
      </c>
      <c r="F3004">
        <v>135.5195191</v>
      </c>
      <c r="G3004">
        <v>899761.48</v>
      </c>
      <c r="H3004" t="str">
        <f>TEXT(Ventas[[#This Row],[Fecha_venta]],"dd")</f>
        <v>26</v>
      </c>
      <c r="I3004" t="str">
        <f>TEXT(Ventas[[#This Row],[Fecha_venta]],"m")</f>
        <v>2</v>
      </c>
      <c r="J3004" t="str">
        <f>TEXT(Ventas[[#This Row],[Fecha_venta]],"yyyy")</f>
        <v>2010</v>
      </c>
    </row>
    <row r="3005" spans="1:10" x14ac:dyDescent="0.25">
      <c r="A3005">
        <v>22</v>
      </c>
      <c r="B3005" s="1">
        <v>40242</v>
      </c>
      <c r="C3005">
        <v>0</v>
      </c>
      <c r="D3005">
        <v>36.82</v>
      </c>
      <c r="E3005">
        <v>2.766</v>
      </c>
      <c r="F3005">
        <v>135.57326019999999</v>
      </c>
      <c r="G3005">
        <v>1009201.24</v>
      </c>
      <c r="H3005" t="str">
        <f>TEXT(Ventas[[#This Row],[Fecha_venta]],"dd")</f>
        <v>05</v>
      </c>
      <c r="I3005" t="str">
        <f>TEXT(Ventas[[#This Row],[Fecha_venta]],"m")</f>
        <v>3</v>
      </c>
      <c r="J3005" t="str">
        <f>TEXT(Ventas[[#This Row],[Fecha_venta]],"yyyy")</f>
        <v>2010</v>
      </c>
    </row>
    <row r="3006" spans="1:10" x14ac:dyDescent="0.25">
      <c r="A3006">
        <v>22</v>
      </c>
      <c r="B3006" s="1">
        <v>40249</v>
      </c>
      <c r="C3006">
        <v>0</v>
      </c>
      <c r="D3006">
        <v>43.43</v>
      </c>
      <c r="E3006">
        <v>2.8050000000000002</v>
      </c>
      <c r="F3006">
        <v>135.62700129999999</v>
      </c>
      <c r="G3006">
        <v>967187.37</v>
      </c>
      <c r="H3006" t="str">
        <f>TEXT(Ventas[[#This Row],[Fecha_venta]],"dd")</f>
        <v>12</v>
      </c>
      <c r="I3006" t="str">
        <f>TEXT(Ventas[[#This Row],[Fecha_venta]],"m")</f>
        <v>3</v>
      </c>
      <c r="J3006" t="str">
        <f>TEXT(Ventas[[#This Row],[Fecha_venta]],"yyyy")</f>
        <v>2010</v>
      </c>
    </row>
    <row r="3007" spans="1:10" x14ac:dyDescent="0.25">
      <c r="A3007">
        <v>22</v>
      </c>
      <c r="B3007" s="1">
        <v>40256</v>
      </c>
      <c r="C3007">
        <v>0</v>
      </c>
      <c r="D3007">
        <v>46.03</v>
      </c>
      <c r="E3007">
        <v>2.8340000000000001</v>
      </c>
      <c r="F3007">
        <v>135.6682247</v>
      </c>
      <c r="G3007">
        <v>966145.09</v>
      </c>
      <c r="H3007" t="str">
        <f>TEXT(Ventas[[#This Row],[Fecha_venta]],"dd")</f>
        <v>19</v>
      </c>
      <c r="I3007" t="str">
        <f>TEXT(Ventas[[#This Row],[Fecha_venta]],"m")</f>
        <v>3</v>
      </c>
      <c r="J3007" t="str">
        <f>TEXT(Ventas[[#This Row],[Fecha_venta]],"yyyy")</f>
        <v>2010</v>
      </c>
    </row>
    <row r="3008" spans="1:10" x14ac:dyDescent="0.25">
      <c r="A3008">
        <v>22</v>
      </c>
      <c r="B3008" s="1">
        <v>40263</v>
      </c>
      <c r="C3008">
        <v>0</v>
      </c>
      <c r="D3008">
        <v>48.56</v>
      </c>
      <c r="E3008">
        <v>2.831</v>
      </c>
      <c r="F3008">
        <v>135.7073618</v>
      </c>
      <c r="G3008">
        <v>1012075.12</v>
      </c>
      <c r="H3008" t="str">
        <f>TEXT(Ventas[[#This Row],[Fecha_venta]],"dd")</f>
        <v>26</v>
      </c>
      <c r="I3008" t="str">
        <f>TEXT(Ventas[[#This Row],[Fecha_venta]],"m")</f>
        <v>3</v>
      </c>
      <c r="J3008" t="str">
        <f>TEXT(Ventas[[#This Row],[Fecha_venta]],"yyyy")</f>
        <v>2010</v>
      </c>
    </row>
    <row r="3009" spans="1:10" x14ac:dyDescent="0.25">
      <c r="A3009">
        <v>22</v>
      </c>
      <c r="B3009" s="1">
        <v>40270</v>
      </c>
      <c r="C3009">
        <v>0</v>
      </c>
      <c r="D3009">
        <v>44.96</v>
      </c>
      <c r="E3009">
        <v>2.8260000000000001</v>
      </c>
      <c r="F3009">
        <v>135.74649880000001</v>
      </c>
      <c r="G3009">
        <v>1177340.99</v>
      </c>
      <c r="H3009" t="str">
        <f>TEXT(Ventas[[#This Row],[Fecha_venta]],"dd")</f>
        <v>02</v>
      </c>
      <c r="I3009" t="str">
        <f>TEXT(Ventas[[#This Row],[Fecha_venta]],"m")</f>
        <v>4</v>
      </c>
      <c r="J3009" t="str">
        <f>TEXT(Ventas[[#This Row],[Fecha_venta]],"yyyy")</f>
        <v>2010</v>
      </c>
    </row>
    <row r="3010" spans="1:10" x14ac:dyDescent="0.25">
      <c r="A3010">
        <v>22</v>
      </c>
      <c r="B3010" s="1">
        <v>40277</v>
      </c>
      <c r="C3010">
        <v>0</v>
      </c>
      <c r="D3010">
        <v>57.06</v>
      </c>
      <c r="E3010">
        <v>2.8490000000000002</v>
      </c>
      <c r="F3010">
        <v>135.78563589999999</v>
      </c>
      <c r="G3010">
        <v>1033171.07</v>
      </c>
      <c r="H3010" t="str">
        <f>TEXT(Ventas[[#This Row],[Fecha_venta]],"dd")</f>
        <v>09</v>
      </c>
      <c r="I3010" t="str">
        <f>TEXT(Ventas[[#This Row],[Fecha_venta]],"m")</f>
        <v>4</v>
      </c>
      <c r="J3010" t="str">
        <f>TEXT(Ventas[[#This Row],[Fecha_venta]],"yyyy")</f>
        <v>2010</v>
      </c>
    </row>
    <row r="3011" spans="1:10" x14ac:dyDescent="0.25">
      <c r="A3011">
        <v>22</v>
      </c>
      <c r="B3011" s="1">
        <v>40284</v>
      </c>
      <c r="C3011">
        <v>0</v>
      </c>
      <c r="D3011">
        <v>51.14</v>
      </c>
      <c r="E3011">
        <v>2.8849999999999998</v>
      </c>
      <c r="F3011">
        <v>135.82724999999999</v>
      </c>
      <c r="G3011">
        <v>1000968.67</v>
      </c>
      <c r="H3011" t="str">
        <f>TEXT(Ventas[[#This Row],[Fecha_venta]],"dd")</f>
        <v>16</v>
      </c>
      <c r="I3011" t="str">
        <f>TEXT(Ventas[[#This Row],[Fecha_venta]],"m")</f>
        <v>4</v>
      </c>
      <c r="J3011" t="str">
        <f>TEXT(Ventas[[#This Row],[Fecha_venta]],"yyyy")</f>
        <v>2010</v>
      </c>
    </row>
    <row r="3012" spans="1:10" x14ac:dyDescent="0.25">
      <c r="A3012">
        <v>22</v>
      </c>
      <c r="B3012" s="1">
        <v>40291</v>
      </c>
      <c r="C3012">
        <v>0</v>
      </c>
      <c r="D3012">
        <v>51.04</v>
      </c>
      <c r="E3012">
        <v>2.895</v>
      </c>
      <c r="F3012">
        <v>135.87216670000001</v>
      </c>
      <c r="G3012">
        <v>969594.47</v>
      </c>
      <c r="H3012" t="str">
        <f>TEXT(Ventas[[#This Row],[Fecha_venta]],"dd")</f>
        <v>23</v>
      </c>
      <c r="I3012" t="str">
        <f>TEXT(Ventas[[#This Row],[Fecha_venta]],"m")</f>
        <v>4</v>
      </c>
      <c r="J3012" t="str">
        <f>TEXT(Ventas[[#This Row],[Fecha_venta]],"yyyy")</f>
        <v>2010</v>
      </c>
    </row>
    <row r="3013" spans="1:10" x14ac:dyDescent="0.25">
      <c r="A3013">
        <v>22</v>
      </c>
      <c r="B3013" s="1">
        <v>40298</v>
      </c>
      <c r="C3013">
        <v>0</v>
      </c>
      <c r="D3013">
        <v>50.96</v>
      </c>
      <c r="E3013">
        <v>2.9350000000000001</v>
      </c>
      <c r="F3013">
        <v>135.9170833</v>
      </c>
      <c r="G3013">
        <v>977683.06</v>
      </c>
      <c r="H3013" t="str">
        <f>TEXT(Ventas[[#This Row],[Fecha_venta]],"dd")</f>
        <v>30</v>
      </c>
      <c r="I3013" t="str">
        <f>TEXT(Ventas[[#This Row],[Fecha_venta]],"m")</f>
        <v>4</v>
      </c>
      <c r="J3013" t="str">
        <f>TEXT(Ventas[[#This Row],[Fecha_venta]],"yyyy")</f>
        <v>2010</v>
      </c>
    </row>
    <row r="3014" spans="1:10" x14ac:dyDescent="0.25">
      <c r="A3014">
        <v>22</v>
      </c>
      <c r="B3014" s="1">
        <v>40305</v>
      </c>
      <c r="C3014">
        <v>0</v>
      </c>
      <c r="D3014">
        <v>63.81</v>
      </c>
      <c r="E3014">
        <v>2.9809999999999999</v>
      </c>
      <c r="F3014">
        <v>135.96199999999999</v>
      </c>
      <c r="G3014">
        <v>1052973.28</v>
      </c>
      <c r="H3014" t="str">
        <f>TEXT(Ventas[[#This Row],[Fecha_venta]],"dd")</f>
        <v>07</v>
      </c>
      <c r="I3014" t="str">
        <f>TEXT(Ventas[[#This Row],[Fecha_venta]],"m")</f>
        <v>5</v>
      </c>
      <c r="J3014" t="str">
        <f>TEXT(Ventas[[#This Row],[Fecha_venta]],"yyyy")</f>
        <v>2010</v>
      </c>
    </row>
    <row r="3015" spans="1:10" x14ac:dyDescent="0.25">
      <c r="A3015">
        <v>22</v>
      </c>
      <c r="B3015" s="1">
        <v>40312</v>
      </c>
      <c r="C3015">
        <v>0</v>
      </c>
      <c r="D3015">
        <v>50.99</v>
      </c>
      <c r="E3015">
        <v>2.9830000000000001</v>
      </c>
      <c r="F3015">
        <v>136.01039399999999</v>
      </c>
      <c r="G3015">
        <v>973585.33</v>
      </c>
      <c r="H3015" t="str">
        <f>TEXT(Ventas[[#This Row],[Fecha_venta]],"dd")</f>
        <v>14</v>
      </c>
      <c r="I3015" t="str">
        <f>TEXT(Ventas[[#This Row],[Fecha_venta]],"m")</f>
        <v>5</v>
      </c>
      <c r="J3015" t="str">
        <f>TEXT(Ventas[[#This Row],[Fecha_venta]],"yyyy")</f>
        <v>2010</v>
      </c>
    </row>
    <row r="3016" spans="1:10" x14ac:dyDescent="0.25">
      <c r="A3016">
        <v>22</v>
      </c>
      <c r="B3016" s="1">
        <v>40319</v>
      </c>
      <c r="C3016">
        <v>0</v>
      </c>
      <c r="D3016">
        <v>59.99</v>
      </c>
      <c r="E3016">
        <v>2.9609999999999999</v>
      </c>
      <c r="F3016">
        <v>136.0796521</v>
      </c>
      <c r="G3016">
        <v>979977.89</v>
      </c>
      <c r="H3016" t="str">
        <f>TEXT(Ventas[[#This Row],[Fecha_venta]],"dd")</f>
        <v>21</v>
      </c>
      <c r="I3016" t="str">
        <f>TEXT(Ventas[[#This Row],[Fecha_venta]],"m")</f>
        <v>5</v>
      </c>
      <c r="J3016" t="str">
        <f>TEXT(Ventas[[#This Row],[Fecha_venta]],"yyyy")</f>
        <v>2010</v>
      </c>
    </row>
    <row r="3017" spans="1:10" x14ac:dyDescent="0.25">
      <c r="A3017">
        <v>22</v>
      </c>
      <c r="B3017" s="1">
        <v>40326</v>
      </c>
      <c r="C3017">
        <v>0</v>
      </c>
      <c r="D3017">
        <v>65.64</v>
      </c>
      <c r="E3017">
        <v>2.9060000000000001</v>
      </c>
      <c r="F3017">
        <v>136.14891009999999</v>
      </c>
      <c r="G3017">
        <v>1103740.3999999999</v>
      </c>
      <c r="H3017" t="str">
        <f>TEXT(Ventas[[#This Row],[Fecha_venta]],"dd")</f>
        <v>28</v>
      </c>
      <c r="I3017" t="str">
        <f>TEXT(Ventas[[#This Row],[Fecha_venta]],"m")</f>
        <v>5</v>
      </c>
      <c r="J3017" t="str">
        <f>TEXT(Ventas[[#This Row],[Fecha_venta]],"yyyy")</f>
        <v>2010</v>
      </c>
    </row>
    <row r="3018" spans="1:10" x14ac:dyDescent="0.25">
      <c r="A3018">
        <v>22</v>
      </c>
      <c r="B3018" s="1">
        <v>40333</v>
      </c>
      <c r="C3018">
        <v>0</v>
      </c>
      <c r="D3018">
        <v>69.489999999999995</v>
      </c>
      <c r="E3018">
        <v>2.8570000000000002</v>
      </c>
      <c r="F3018">
        <v>136.21816820000001</v>
      </c>
      <c r="G3018">
        <v>1095539.1299999999</v>
      </c>
      <c r="H3018" t="str">
        <f>TEXT(Ventas[[#This Row],[Fecha_venta]],"dd")</f>
        <v>04</v>
      </c>
      <c r="I3018" t="str">
        <f>TEXT(Ventas[[#This Row],[Fecha_venta]],"m")</f>
        <v>6</v>
      </c>
      <c r="J3018" t="str">
        <f>TEXT(Ventas[[#This Row],[Fecha_venta]],"yyyy")</f>
        <v>2010</v>
      </c>
    </row>
    <row r="3019" spans="1:10" x14ac:dyDescent="0.25">
      <c r="A3019">
        <v>22</v>
      </c>
      <c r="B3019" s="1">
        <v>40340</v>
      </c>
      <c r="C3019">
        <v>0</v>
      </c>
      <c r="D3019">
        <v>65.010000000000005</v>
      </c>
      <c r="E3019">
        <v>2.83</v>
      </c>
      <c r="F3019">
        <v>136.28742629999999</v>
      </c>
      <c r="G3019">
        <v>1061196.47</v>
      </c>
      <c r="H3019" t="str">
        <f>TEXT(Ventas[[#This Row],[Fecha_venta]],"dd")</f>
        <v>11</v>
      </c>
      <c r="I3019" t="str">
        <f>TEXT(Ventas[[#This Row],[Fecha_venta]],"m")</f>
        <v>6</v>
      </c>
      <c r="J3019" t="str">
        <f>TEXT(Ventas[[#This Row],[Fecha_venta]],"yyyy")</f>
        <v>2010</v>
      </c>
    </row>
    <row r="3020" spans="1:10" x14ac:dyDescent="0.25">
      <c r="A3020">
        <v>22</v>
      </c>
      <c r="B3020" s="1">
        <v>40347</v>
      </c>
      <c r="C3020">
        <v>0</v>
      </c>
      <c r="D3020">
        <v>67.13</v>
      </c>
      <c r="E3020">
        <v>2.8050000000000002</v>
      </c>
      <c r="F3020">
        <v>136.32433929999999</v>
      </c>
      <c r="G3020">
        <v>1052895.25</v>
      </c>
      <c r="H3020" t="str">
        <f>TEXT(Ventas[[#This Row],[Fecha_venta]],"dd")</f>
        <v>18</v>
      </c>
      <c r="I3020" t="str">
        <f>TEXT(Ventas[[#This Row],[Fecha_venta]],"m")</f>
        <v>6</v>
      </c>
      <c r="J3020" t="str">
        <f>TEXT(Ventas[[#This Row],[Fecha_venta]],"yyyy")</f>
        <v>2010</v>
      </c>
    </row>
    <row r="3021" spans="1:10" x14ac:dyDescent="0.25">
      <c r="A3021">
        <v>22</v>
      </c>
      <c r="B3021" s="1">
        <v>40354</v>
      </c>
      <c r="C3021">
        <v>0</v>
      </c>
      <c r="D3021">
        <v>74.37</v>
      </c>
      <c r="E3021">
        <v>2.81</v>
      </c>
      <c r="F3021">
        <v>136.3483143</v>
      </c>
      <c r="G3021">
        <v>1095020.33</v>
      </c>
      <c r="H3021" t="str">
        <f>TEXT(Ventas[[#This Row],[Fecha_venta]],"dd")</f>
        <v>25</v>
      </c>
      <c r="I3021" t="str">
        <f>TEXT(Ventas[[#This Row],[Fecha_venta]],"m")</f>
        <v>6</v>
      </c>
      <c r="J3021" t="str">
        <f>TEXT(Ventas[[#This Row],[Fecha_venta]],"yyyy")</f>
        <v>2010</v>
      </c>
    </row>
    <row r="3022" spans="1:10" x14ac:dyDescent="0.25">
      <c r="A3022">
        <v>22</v>
      </c>
      <c r="B3022" s="1">
        <v>40361</v>
      </c>
      <c r="C3022">
        <v>0</v>
      </c>
      <c r="D3022">
        <v>72.88</v>
      </c>
      <c r="E3022">
        <v>2.8149999999999999</v>
      </c>
      <c r="F3022">
        <v>136.37228930000001</v>
      </c>
      <c r="G3022">
        <v>1120259.71</v>
      </c>
      <c r="H3022" t="str">
        <f>TEXT(Ventas[[#This Row],[Fecha_venta]],"dd")</f>
        <v>02</v>
      </c>
      <c r="I3022" t="str">
        <f>TEXT(Ventas[[#This Row],[Fecha_venta]],"m")</f>
        <v>7</v>
      </c>
      <c r="J3022" t="str">
        <f>TEXT(Ventas[[#This Row],[Fecha_venta]],"yyyy")</f>
        <v>2010</v>
      </c>
    </row>
    <row r="3023" spans="1:10" x14ac:dyDescent="0.25">
      <c r="A3023">
        <v>22</v>
      </c>
      <c r="B3023" s="1">
        <v>40368</v>
      </c>
      <c r="C3023">
        <v>0</v>
      </c>
      <c r="D3023">
        <v>79.22</v>
      </c>
      <c r="E3023">
        <v>2.806</v>
      </c>
      <c r="F3023">
        <v>136.39626430000001</v>
      </c>
      <c r="G3023">
        <v>1092654.26</v>
      </c>
      <c r="H3023" t="str">
        <f>TEXT(Ventas[[#This Row],[Fecha_venta]],"dd")</f>
        <v>09</v>
      </c>
      <c r="I3023" t="str">
        <f>TEXT(Ventas[[#This Row],[Fecha_venta]],"m")</f>
        <v>7</v>
      </c>
      <c r="J3023" t="str">
        <f>TEXT(Ventas[[#This Row],[Fecha_venta]],"yyyy")</f>
        <v>2010</v>
      </c>
    </row>
    <row r="3024" spans="1:10" x14ac:dyDescent="0.25">
      <c r="A3024">
        <v>22</v>
      </c>
      <c r="B3024" s="1">
        <v>40375</v>
      </c>
      <c r="C3024">
        <v>0</v>
      </c>
      <c r="D3024">
        <v>76.3</v>
      </c>
      <c r="E3024">
        <v>2.7959999999999998</v>
      </c>
      <c r="F3024">
        <v>136.41798270000001</v>
      </c>
      <c r="G3024">
        <v>988392.99</v>
      </c>
      <c r="H3024" t="str">
        <f>TEXT(Ventas[[#This Row],[Fecha_venta]],"dd")</f>
        <v>16</v>
      </c>
      <c r="I3024" t="str">
        <f>TEXT(Ventas[[#This Row],[Fecha_venta]],"m")</f>
        <v>7</v>
      </c>
      <c r="J3024" t="str">
        <f>TEXT(Ventas[[#This Row],[Fecha_venta]],"yyyy")</f>
        <v>2010</v>
      </c>
    </row>
    <row r="3025" spans="1:10" x14ac:dyDescent="0.25">
      <c r="A3025">
        <v>22</v>
      </c>
      <c r="B3025" s="1">
        <v>40382</v>
      </c>
      <c r="C3025">
        <v>0</v>
      </c>
      <c r="D3025">
        <v>76.91</v>
      </c>
      <c r="E3025">
        <v>2.7839999999999998</v>
      </c>
      <c r="F3025">
        <v>136.4366924</v>
      </c>
      <c r="G3025">
        <v>974123.2</v>
      </c>
      <c r="H3025" t="str">
        <f>TEXT(Ventas[[#This Row],[Fecha_venta]],"dd")</f>
        <v>23</v>
      </c>
      <c r="I3025" t="str">
        <f>TEXT(Ventas[[#This Row],[Fecha_venta]],"m")</f>
        <v>7</v>
      </c>
      <c r="J3025" t="str">
        <f>TEXT(Ventas[[#This Row],[Fecha_venta]],"yyyy")</f>
        <v>2010</v>
      </c>
    </row>
    <row r="3026" spans="1:10" x14ac:dyDescent="0.25">
      <c r="A3026">
        <v>22</v>
      </c>
      <c r="B3026" s="1">
        <v>40389</v>
      </c>
      <c r="C3026">
        <v>0</v>
      </c>
      <c r="D3026">
        <v>76.349999999999994</v>
      </c>
      <c r="E3026">
        <v>2.7919999999999998</v>
      </c>
      <c r="F3026">
        <v>136.45540209999999</v>
      </c>
      <c r="G3026">
        <v>970773.64</v>
      </c>
      <c r="H3026" t="str">
        <f>TEXT(Ventas[[#This Row],[Fecha_venta]],"dd")</f>
        <v>30</v>
      </c>
      <c r="I3026" t="str">
        <f>TEXT(Ventas[[#This Row],[Fecha_venta]],"m")</f>
        <v>7</v>
      </c>
      <c r="J3026" t="str">
        <f>TEXT(Ventas[[#This Row],[Fecha_venta]],"yyyy")</f>
        <v>2010</v>
      </c>
    </row>
    <row r="3027" spans="1:10" x14ac:dyDescent="0.25">
      <c r="A3027">
        <v>22</v>
      </c>
      <c r="B3027" s="1">
        <v>40396</v>
      </c>
      <c r="C3027">
        <v>0</v>
      </c>
      <c r="D3027">
        <v>74.37</v>
      </c>
      <c r="E3027">
        <v>2.7919999999999998</v>
      </c>
      <c r="F3027">
        <v>136.4741118</v>
      </c>
      <c r="G3027">
        <v>1010326.14</v>
      </c>
      <c r="H3027" t="str">
        <f>TEXT(Ventas[[#This Row],[Fecha_venta]],"dd")</f>
        <v>06</v>
      </c>
      <c r="I3027" t="str">
        <f>TEXT(Ventas[[#This Row],[Fecha_venta]],"m")</f>
        <v>8</v>
      </c>
      <c r="J3027" t="str">
        <f>TEXT(Ventas[[#This Row],[Fecha_venta]],"yyyy")</f>
        <v>2010</v>
      </c>
    </row>
    <row r="3028" spans="1:10" x14ac:dyDescent="0.25">
      <c r="A3028">
        <v>22</v>
      </c>
      <c r="B3028" s="1">
        <v>40403</v>
      </c>
      <c r="C3028">
        <v>0</v>
      </c>
      <c r="D3028">
        <v>74.75</v>
      </c>
      <c r="E3028">
        <v>2.81</v>
      </c>
      <c r="F3028">
        <v>136.4928214</v>
      </c>
      <c r="G3028">
        <v>993097.43</v>
      </c>
      <c r="H3028" t="str">
        <f>TEXT(Ventas[[#This Row],[Fecha_venta]],"dd")</f>
        <v>13</v>
      </c>
      <c r="I3028" t="str">
        <f>TEXT(Ventas[[#This Row],[Fecha_venta]],"m")</f>
        <v>8</v>
      </c>
      <c r="J3028" t="str">
        <f>TEXT(Ventas[[#This Row],[Fecha_venta]],"yyyy")</f>
        <v>2010</v>
      </c>
    </row>
    <row r="3029" spans="1:10" x14ac:dyDescent="0.25">
      <c r="A3029">
        <v>22</v>
      </c>
      <c r="B3029" s="1">
        <v>40410</v>
      </c>
      <c r="C3029">
        <v>0</v>
      </c>
      <c r="D3029">
        <v>73.209999999999994</v>
      </c>
      <c r="E3029">
        <v>2.7959999999999998</v>
      </c>
      <c r="F3029">
        <v>136.5249182</v>
      </c>
      <c r="G3029">
        <v>1017045.44</v>
      </c>
      <c r="H3029" t="str">
        <f>TEXT(Ventas[[#This Row],[Fecha_venta]],"dd")</f>
        <v>20</v>
      </c>
      <c r="I3029" t="str">
        <f>TEXT(Ventas[[#This Row],[Fecha_venta]],"m")</f>
        <v>8</v>
      </c>
      <c r="J3029" t="str">
        <f>TEXT(Ventas[[#This Row],[Fecha_venta]],"yyyy")</f>
        <v>2010</v>
      </c>
    </row>
    <row r="3030" spans="1:10" x14ac:dyDescent="0.25">
      <c r="A3030">
        <v>22</v>
      </c>
      <c r="B3030" s="1">
        <v>40417</v>
      </c>
      <c r="C3030">
        <v>0</v>
      </c>
      <c r="D3030">
        <v>68.989999999999995</v>
      </c>
      <c r="E3030">
        <v>2.77</v>
      </c>
      <c r="F3030">
        <v>136.55701500000001</v>
      </c>
      <c r="G3030">
        <v>1081420.96</v>
      </c>
      <c r="H3030" t="str">
        <f>TEXT(Ventas[[#This Row],[Fecha_venta]],"dd")</f>
        <v>27</v>
      </c>
      <c r="I3030" t="str">
        <f>TEXT(Ventas[[#This Row],[Fecha_venta]],"m")</f>
        <v>8</v>
      </c>
      <c r="J3030" t="str">
        <f>TEXT(Ventas[[#This Row],[Fecha_venta]],"yyyy")</f>
        <v>2010</v>
      </c>
    </row>
    <row r="3031" spans="1:10" x14ac:dyDescent="0.25">
      <c r="A3031">
        <v>22</v>
      </c>
      <c r="B3031" s="1">
        <v>40424</v>
      </c>
      <c r="C3031">
        <v>0</v>
      </c>
      <c r="D3031">
        <v>75.849999999999994</v>
      </c>
      <c r="E3031">
        <v>2.7349999999999999</v>
      </c>
      <c r="F3031">
        <v>136.58911180000001</v>
      </c>
      <c r="G3031">
        <v>1074535.8799999999</v>
      </c>
      <c r="H3031" t="str">
        <f>TEXT(Ventas[[#This Row],[Fecha_venta]],"dd")</f>
        <v>03</v>
      </c>
      <c r="I3031" t="str">
        <f>TEXT(Ventas[[#This Row],[Fecha_venta]],"m")</f>
        <v>9</v>
      </c>
      <c r="J3031" t="str">
        <f>TEXT(Ventas[[#This Row],[Fecha_venta]],"yyyy")</f>
        <v>2010</v>
      </c>
    </row>
    <row r="3032" spans="1:10" x14ac:dyDescent="0.25">
      <c r="A3032">
        <v>22</v>
      </c>
      <c r="B3032" s="1">
        <v>40431</v>
      </c>
      <c r="C3032">
        <v>1</v>
      </c>
      <c r="D3032">
        <v>68.599999999999994</v>
      </c>
      <c r="E3032">
        <v>2.7170000000000001</v>
      </c>
      <c r="F3032">
        <v>136.62120849999999</v>
      </c>
      <c r="G3032">
        <v>924174.4</v>
      </c>
      <c r="H3032" t="str">
        <f>TEXT(Ventas[[#This Row],[Fecha_venta]],"dd")</f>
        <v>10</v>
      </c>
      <c r="I3032" t="str">
        <f>TEXT(Ventas[[#This Row],[Fecha_venta]],"m")</f>
        <v>9</v>
      </c>
      <c r="J3032" t="str">
        <f>TEXT(Ventas[[#This Row],[Fecha_venta]],"yyyy")</f>
        <v>2010</v>
      </c>
    </row>
    <row r="3033" spans="1:10" x14ac:dyDescent="0.25">
      <c r="A3033">
        <v>22</v>
      </c>
      <c r="B3033" s="1">
        <v>40438</v>
      </c>
      <c r="C3033">
        <v>0</v>
      </c>
      <c r="D3033">
        <v>62.49</v>
      </c>
      <c r="E3033">
        <v>2.7160000000000002</v>
      </c>
      <c r="F3033">
        <v>136.63380710000001</v>
      </c>
      <c r="G3033">
        <v>918285.97</v>
      </c>
      <c r="H3033" t="str">
        <f>TEXT(Ventas[[#This Row],[Fecha_venta]],"dd")</f>
        <v>17</v>
      </c>
      <c r="I3033" t="str">
        <f>TEXT(Ventas[[#This Row],[Fecha_venta]],"m")</f>
        <v>9</v>
      </c>
      <c r="J3033" t="str">
        <f>TEXT(Ventas[[#This Row],[Fecha_venta]],"yyyy")</f>
        <v>2010</v>
      </c>
    </row>
    <row r="3034" spans="1:10" x14ac:dyDescent="0.25">
      <c r="A3034">
        <v>22</v>
      </c>
      <c r="B3034" s="1">
        <v>40445</v>
      </c>
      <c r="C3034">
        <v>0</v>
      </c>
      <c r="D3034">
        <v>65.14</v>
      </c>
      <c r="E3034">
        <v>2.718</v>
      </c>
      <c r="F3034">
        <v>136.63178210000001</v>
      </c>
      <c r="G3034">
        <v>902779.25</v>
      </c>
      <c r="H3034" t="str">
        <f>TEXT(Ventas[[#This Row],[Fecha_venta]],"dd")</f>
        <v>24</v>
      </c>
      <c r="I3034" t="str">
        <f>TEXT(Ventas[[#This Row],[Fecha_venta]],"m")</f>
        <v>9</v>
      </c>
      <c r="J3034" t="str">
        <f>TEXT(Ventas[[#This Row],[Fecha_venta]],"yyyy")</f>
        <v>2010</v>
      </c>
    </row>
    <row r="3035" spans="1:10" x14ac:dyDescent="0.25">
      <c r="A3035">
        <v>22</v>
      </c>
      <c r="B3035" s="1">
        <v>40452</v>
      </c>
      <c r="C3035">
        <v>0</v>
      </c>
      <c r="D3035">
        <v>69.31</v>
      </c>
      <c r="E3035">
        <v>2.7170000000000001</v>
      </c>
      <c r="F3035">
        <v>136.62975710000001</v>
      </c>
      <c r="G3035">
        <v>905987.17</v>
      </c>
      <c r="H3035" t="str">
        <f>TEXT(Ventas[[#This Row],[Fecha_venta]],"dd")</f>
        <v>01</v>
      </c>
      <c r="I3035" t="str">
        <f>TEXT(Ventas[[#This Row],[Fecha_venta]],"m")</f>
        <v>10</v>
      </c>
      <c r="J3035" t="str">
        <f>TEXT(Ventas[[#This Row],[Fecha_venta]],"yyyy")</f>
        <v>2010</v>
      </c>
    </row>
    <row r="3036" spans="1:10" x14ac:dyDescent="0.25">
      <c r="A3036">
        <v>22</v>
      </c>
      <c r="B3036" s="1">
        <v>40459</v>
      </c>
      <c r="C3036">
        <v>0</v>
      </c>
      <c r="D3036">
        <v>56.32</v>
      </c>
      <c r="E3036">
        <v>2.7759999999999998</v>
      </c>
      <c r="F3036">
        <v>136.6277321</v>
      </c>
      <c r="G3036">
        <v>1015051.62</v>
      </c>
      <c r="H3036" t="str">
        <f>TEXT(Ventas[[#This Row],[Fecha_venta]],"dd")</f>
        <v>08</v>
      </c>
      <c r="I3036" t="str">
        <f>TEXT(Ventas[[#This Row],[Fecha_venta]],"m")</f>
        <v>10</v>
      </c>
      <c r="J3036" t="str">
        <f>TEXT(Ventas[[#This Row],[Fecha_venta]],"yyyy")</f>
        <v>2010</v>
      </c>
    </row>
    <row r="3037" spans="1:10" x14ac:dyDescent="0.25">
      <c r="A3037">
        <v>22</v>
      </c>
      <c r="B3037" s="1">
        <v>40466</v>
      </c>
      <c r="C3037">
        <v>0</v>
      </c>
      <c r="D3037">
        <v>55.23</v>
      </c>
      <c r="E3037">
        <v>2.8780000000000001</v>
      </c>
      <c r="F3037">
        <v>136.64019350000001</v>
      </c>
      <c r="G3037">
        <v>954401.46</v>
      </c>
      <c r="H3037" t="str">
        <f>TEXT(Ventas[[#This Row],[Fecha_venta]],"dd")</f>
        <v>15</v>
      </c>
      <c r="I3037" t="str">
        <f>TEXT(Ventas[[#This Row],[Fecha_venta]],"m")</f>
        <v>10</v>
      </c>
      <c r="J3037" t="str">
        <f>TEXT(Ventas[[#This Row],[Fecha_venta]],"yyyy")</f>
        <v>2010</v>
      </c>
    </row>
    <row r="3038" spans="1:10" x14ac:dyDescent="0.25">
      <c r="A3038">
        <v>22</v>
      </c>
      <c r="B3038" s="1">
        <v>40473</v>
      </c>
      <c r="C3038">
        <v>0</v>
      </c>
      <c r="D3038">
        <v>50.24</v>
      </c>
      <c r="E3038">
        <v>2.919</v>
      </c>
      <c r="F3038">
        <v>136.68887100000001</v>
      </c>
      <c r="G3038">
        <v>960998.52</v>
      </c>
      <c r="H3038" t="str">
        <f>TEXT(Ventas[[#This Row],[Fecha_venta]],"dd")</f>
        <v>22</v>
      </c>
      <c r="I3038" t="str">
        <f>TEXT(Ventas[[#This Row],[Fecha_venta]],"m")</f>
        <v>10</v>
      </c>
      <c r="J3038" t="str">
        <f>TEXT(Ventas[[#This Row],[Fecha_venta]],"yyyy")</f>
        <v>2010</v>
      </c>
    </row>
    <row r="3039" spans="1:10" x14ac:dyDescent="0.25">
      <c r="A3039">
        <v>22</v>
      </c>
      <c r="B3039" s="1">
        <v>40480</v>
      </c>
      <c r="C3039">
        <v>0</v>
      </c>
      <c r="D3039">
        <v>57.73</v>
      </c>
      <c r="E3039">
        <v>2.9380000000000002</v>
      </c>
      <c r="F3039">
        <v>136.73754840000001</v>
      </c>
      <c r="G3039">
        <v>1025766.27</v>
      </c>
      <c r="H3039" t="str">
        <f>TEXT(Ventas[[#This Row],[Fecha_venta]],"dd")</f>
        <v>29</v>
      </c>
      <c r="I3039" t="str">
        <f>TEXT(Ventas[[#This Row],[Fecha_venta]],"m")</f>
        <v>10</v>
      </c>
      <c r="J3039" t="str">
        <f>TEXT(Ventas[[#This Row],[Fecha_venta]],"yyyy")</f>
        <v>2010</v>
      </c>
    </row>
    <row r="3040" spans="1:10" x14ac:dyDescent="0.25">
      <c r="A3040">
        <v>22</v>
      </c>
      <c r="B3040" s="1">
        <v>40487</v>
      </c>
      <c r="C3040">
        <v>0</v>
      </c>
      <c r="D3040">
        <v>44.34</v>
      </c>
      <c r="E3040">
        <v>2.9380000000000002</v>
      </c>
      <c r="F3040">
        <v>136.78622580000001</v>
      </c>
      <c r="G3040">
        <v>1006888.16</v>
      </c>
      <c r="H3040" t="str">
        <f>TEXT(Ventas[[#This Row],[Fecha_venta]],"dd")</f>
        <v>05</v>
      </c>
      <c r="I3040" t="str">
        <f>TEXT(Ventas[[#This Row],[Fecha_venta]],"m")</f>
        <v>11</v>
      </c>
      <c r="J3040" t="str">
        <f>TEXT(Ventas[[#This Row],[Fecha_venta]],"yyyy")</f>
        <v>2010</v>
      </c>
    </row>
    <row r="3041" spans="1:10" x14ac:dyDescent="0.25">
      <c r="A3041">
        <v>22</v>
      </c>
      <c r="B3041" s="1">
        <v>40494</v>
      </c>
      <c r="C3041">
        <v>0</v>
      </c>
      <c r="D3041">
        <v>44.42</v>
      </c>
      <c r="E3041">
        <v>2.9609999999999999</v>
      </c>
      <c r="F3041">
        <v>136.83490320000001</v>
      </c>
      <c r="G3041">
        <v>1043698.64</v>
      </c>
      <c r="H3041" t="str">
        <f>TEXT(Ventas[[#This Row],[Fecha_venta]],"dd")</f>
        <v>12</v>
      </c>
      <c r="I3041" t="str">
        <f>TEXT(Ventas[[#This Row],[Fecha_venta]],"m")</f>
        <v>11</v>
      </c>
      <c r="J3041" t="str">
        <f>TEXT(Ventas[[#This Row],[Fecha_venta]],"yyyy")</f>
        <v>2010</v>
      </c>
    </row>
    <row r="3042" spans="1:10" x14ac:dyDescent="0.25">
      <c r="A3042">
        <v>22</v>
      </c>
      <c r="B3042" s="1">
        <v>40501</v>
      </c>
      <c r="C3042">
        <v>0</v>
      </c>
      <c r="D3042">
        <v>48.62</v>
      </c>
      <c r="E3042">
        <v>3.03</v>
      </c>
      <c r="F3042">
        <v>136.7715714</v>
      </c>
      <c r="G3042">
        <v>985896.44</v>
      </c>
      <c r="H3042" t="str">
        <f>TEXT(Ventas[[#This Row],[Fecha_venta]],"dd")</f>
        <v>19</v>
      </c>
      <c r="I3042" t="str">
        <f>TEXT(Ventas[[#This Row],[Fecha_venta]],"m")</f>
        <v>11</v>
      </c>
      <c r="J3042" t="str">
        <f>TEXT(Ventas[[#This Row],[Fecha_venta]],"yyyy")</f>
        <v>2010</v>
      </c>
    </row>
    <row r="3043" spans="1:10" x14ac:dyDescent="0.25">
      <c r="A3043">
        <v>22</v>
      </c>
      <c r="B3043" s="1">
        <v>40508</v>
      </c>
      <c r="C3043">
        <v>1</v>
      </c>
      <c r="D3043">
        <v>44.61</v>
      </c>
      <c r="E3043">
        <v>3.07</v>
      </c>
      <c r="F3043">
        <v>136.68957140000001</v>
      </c>
      <c r="G3043">
        <v>1564502.26</v>
      </c>
      <c r="H3043" t="str">
        <f>TEXT(Ventas[[#This Row],[Fecha_venta]],"dd")</f>
        <v>26</v>
      </c>
      <c r="I3043" t="str">
        <f>TEXT(Ventas[[#This Row],[Fecha_venta]],"m")</f>
        <v>11</v>
      </c>
      <c r="J3043" t="str">
        <f>TEXT(Ventas[[#This Row],[Fecha_venta]],"yyyy")</f>
        <v>2010</v>
      </c>
    </row>
    <row r="3044" spans="1:10" x14ac:dyDescent="0.25">
      <c r="A3044">
        <v>22</v>
      </c>
      <c r="B3044" s="1">
        <v>40515</v>
      </c>
      <c r="C3044">
        <v>0</v>
      </c>
      <c r="D3044">
        <v>39.42</v>
      </c>
      <c r="E3044">
        <v>3.0649999999999999</v>
      </c>
      <c r="F3044">
        <v>136.60757140000001</v>
      </c>
      <c r="G3044">
        <v>1230514.58</v>
      </c>
      <c r="H3044" t="str">
        <f>TEXT(Ventas[[#This Row],[Fecha_venta]],"dd")</f>
        <v>03</v>
      </c>
      <c r="I3044" t="str">
        <f>TEXT(Ventas[[#This Row],[Fecha_venta]],"m")</f>
        <v>12</v>
      </c>
      <c r="J3044" t="str">
        <f>TEXT(Ventas[[#This Row],[Fecha_venta]],"yyyy")</f>
        <v>2010</v>
      </c>
    </row>
    <row r="3045" spans="1:10" x14ac:dyDescent="0.25">
      <c r="A3045">
        <v>22</v>
      </c>
      <c r="B3045" s="1">
        <v>40522</v>
      </c>
      <c r="C3045">
        <v>0</v>
      </c>
      <c r="D3045">
        <v>28.43</v>
      </c>
      <c r="E3045">
        <v>3.1320000000000001</v>
      </c>
      <c r="F3045">
        <v>136.52557139999999</v>
      </c>
      <c r="G3045">
        <v>1367202.84</v>
      </c>
      <c r="H3045" t="str">
        <f>TEXT(Ventas[[#This Row],[Fecha_venta]],"dd")</f>
        <v>10</v>
      </c>
      <c r="I3045" t="str">
        <f>TEXT(Ventas[[#This Row],[Fecha_venta]],"m")</f>
        <v>12</v>
      </c>
      <c r="J3045" t="str">
        <f>TEXT(Ventas[[#This Row],[Fecha_venta]],"yyyy")</f>
        <v>2010</v>
      </c>
    </row>
    <row r="3046" spans="1:10" x14ac:dyDescent="0.25">
      <c r="A3046">
        <v>22</v>
      </c>
      <c r="B3046" s="1">
        <v>40529</v>
      </c>
      <c r="C3046">
        <v>0</v>
      </c>
      <c r="D3046">
        <v>30.46</v>
      </c>
      <c r="E3046">
        <v>3.1389999999999998</v>
      </c>
      <c r="F3046">
        <v>136.52928109999999</v>
      </c>
      <c r="G3046">
        <v>1527682.99</v>
      </c>
      <c r="H3046" t="str">
        <f>TEXT(Ventas[[#This Row],[Fecha_venta]],"dd")</f>
        <v>17</v>
      </c>
      <c r="I3046" t="str">
        <f>TEXT(Ventas[[#This Row],[Fecha_venta]],"m")</f>
        <v>12</v>
      </c>
      <c r="J3046" t="str">
        <f>TEXT(Ventas[[#This Row],[Fecha_venta]],"yyyy")</f>
        <v>2010</v>
      </c>
    </row>
    <row r="3047" spans="1:10" x14ac:dyDescent="0.25">
      <c r="A3047">
        <v>22</v>
      </c>
      <c r="B3047" s="1">
        <v>40536</v>
      </c>
      <c r="C3047">
        <v>0</v>
      </c>
      <c r="D3047">
        <v>29.76</v>
      </c>
      <c r="E3047">
        <v>3.15</v>
      </c>
      <c r="F3047">
        <v>136.597273</v>
      </c>
      <c r="G3047">
        <v>1962445.04</v>
      </c>
      <c r="H3047" t="str">
        <f>TEXT(Ventas[[#This Row],[Fecha_venta]],"dd")</f>
        <v>24</v>
      </c>
      <c r="I3047" t="str">
        <f>TEXT(Ventas[[#This Row],[Fecha_venta]],"m")</f>
        <v>12</v>
      </c>
      <c r="J3047" t="str">
        <f>TEXT(Ventas[[#This Row],[Fecha_venta]],"yyyy")</f>
        <v>2010</v>
      </c>
    </row>
    <row r="3048" spans="1:10" x14ac:dyDescent="0.25">
      <c r="A3048">
        <v>22</v>
      </c>
      <c r="B3048" s="1">
        <v>40543</v>
      </c>
      <c r="C3048">
        <v>1</v>
      </c>
      <c r="D3048">
        <v>28.49</v>
      </c>
      <c r="E3048">
        <v>3.177</v>
      </c>
      <c r="F3048">
        <v>136.66526500000001</v>
      </c>
      <c r="G3048">
        <v>774262.28</v>
      </c>
      <c r="H3048" t="str">
        <f>TEXT(Ventas[[#This Row],[Fecha_venta]],"dd")</f>
        <v>31</v>
      </c>
      <c r="I3048" t="str">
        <f>TEXT(Ventas[[#This Row],[Fecha_venta]],"m")</f>
        <v>12</v>
      </c>
      <c r="J3048" t="str">
        <f>TEXT(Ventas[[#This Row],[Fecha_venta]],"yyyy")</f>
        <v>2010</v>
      </c>
    </row>
    <row r="3049" spans="1:10" x14ac:dyDescent="0.25">
      <c r="A3049">
        <v>22</v>
      </c>
      <c r="B3049" s="1">
        <v>40550</v>
      </c>
      <c r="C3049">
        <v>0</v>
      </c>
      <c r="D3049">
        <v>32.56</v>
      </c>
      <c r="E3049">
        <v>3.1930000000000001</v>
      </c>
      <c r="F3049">
        <v>136.73325689999999</v>
      </c>
      <c r="G3049">
        <v>873954.7</v>
      </c>
      <c r="H3049" t="str">
        <f>TEXT(Ventas[[#This Row],[Fecha_venta]],"dd")</f>
        <v>07</v>
      </c>
      <c r="I3049" t="str">
        <f>TEXT(Ventas[[#This Row],[Fecha_venta]],"m")</f>
        <v>1</v>
      </c>
      <c r="J3049" t="str">
        <f>TEXT(Ventas[[#This Row],[Fecha_venta]],"yyyy")</f>
        <v>2011</v>
      </c>
    </row>
    <row r="3050" spans="1:10" x14ac:dyDescent="0.25">
      <c r="A3050">
        <v>22</v>
      </c>
      <c r="B3050" s="1">
        <v>40557</v>
      </c>
      <c r="C3050">
        <v>0</v>
      </c>
      <c r="D3050">
        <v>24.76</v>
      </c>
      <c r="E3050">
        <v>3.2149999999999999</v>
      </c>
      <c r="F3050">
        <v>136.80347699999999</v>
      </c>
      <c r="G3050">
        <v>807535.52</v>
      </c>
      <c r="H3050" t="str">
        <f>TEXT(Ventas[[#This Row],[Fecha_venta]],"dd")</f>
        <v>14</v>
      </c>
      <c r="I3050" t="str">
        <f>TEXT(Ventas[[#This Row],[Fecha_venta]],"m")</f>
        <v>1</v>
      </c>
      <c r="J3050" t="str">
        <f>TEXT(Ventas[[#This Row],[Fecha_venta]],"yyyy")</f>
        <v>2011</v>
      </c>
    </row>
    <row r="3051" spans="1:10" x14ac:dyDescent="0.25">
      <c r="A3051">
        <v>22</v>
      </c>
      <c r="B3051" s="1">
        <v>40564</v>
      </c>
      <c r="C3051">
        <v>0</v>
      </c>
      <c r="D3051">
        <v>26.8</v>
      </c>
      <c r="E3051">
        <v>3.2320000000000002</v>
      </c>
      <c r="F3051">
        <v>136.88706569999999</v>
      </c>
      <c r="G3051">
        <v>855001.02</v>
      </c>
      <c r="H3051" t="str">
        <f>TEXT(Ventas[[#This Row],[Fecha_venta]],"dd")</f>
        <v>21</v>
      </c>
      <c r="I3051" t="str">
        <f>TEXT(Ventas[[#This Row],[Fecha_venta]],"m")</f>
        <v>1</v>
      </c>
      <c r="J3051" t="str">
        <f>TEXT(Ventas[[#This Row],[Fecha_venta]],"yyyy")</f>
        <v>2011</v>
      </c>
    </row>
    <row r="3052" spans="1:10" x14ac:dyDescent="0.25">
      <c r="A3052">
        <v>22</v>
      </c>
      <c r="B3052" s="1">
        <v>40571</v>
      </c>
      <c r="C3052">
        <v>0</v>
      </c>
      <c r="D3052">
        <v>20.61</v>
      </c>
      <c r="E3052">
        <v>3.2429999999999999</v>
      </c>
      <c r="F3052">
        <v>136.9706544</v>
      </c>
      <c r="G3052">
        <v>799369.15</v>
      </c>
      <c r="H3052" t="str">
        <f>TEXT(Ventas[[#This Row],[Fecha_venta]],"dd")</f>
        <v>28</v>
      </c>
      <c r="I3052" t="str">
        <f>TEXT(Ventas[[#This Row],[Fecha_venta]],"m")</f>
        <v>1</v>
      </c>
      <c r="J3052" t="str">
        <f>TEXT(Ventas[[#This Row],[Fecha_venta]],"yyyy")</f>
        <v>2011</v>
      </c>
    </row>
    <row r="3053" spans="1:10" x14ac:dyDescent="0.25">
      <c r="A3053">
        <v>22</v>
      </c>
      <c r="B3053" s="1">
        <v>40578</v>
      </c>
      <c r="C3053">
        <v>0</v>
      </c>
      <c r="D3053">
        <v>26.39</v>
      </c>
      <c r="E3053">
        <v>3.24</v>
      </c>
      <c r="F3053">
        <v>137.05424310000001</v>
      </c>
      <c r="G3053">
        <v>946060.98</v>
      </c>
      <c r="H3053" t="str">
        <f>TEXT(Ventas[[#This Row],[Fecha_venta]],"dd")</f>
        <v>04</v>
      </c>
      <c r="I3053" t="str">
        <f>TEXT(Ventas[[#This Row],[Fecha_venta]],"m")</f>
        <v>2</v>
      </c>
      <c r="J3053" t="str">
        <f>TEXT(Ventas[[#This Row],[Fecha_venta]],"yyyy")</f>
        <v>2011</v>
      </c>
    </row>
    <row r="3054" spans="1:10" x14ac:dyDescent="0.25">
      <c r="A3054">
        <v>22</v>
      </c>
      <c r="B3054" s="1">
        <v>40585</v>
      </c>
      <c r="C3054">
        <v>1</v>
      </c>
      <c r="D3054">
        <v>28.89</v>
      </c>
      <c r="E3054">
        <v>3.2549999999999999</v>
      </c>
      <c r="F3054">
        <v>137.13783179999999</v>
      </c>
      <c r="G3054">
        <v>1009206.33</v>
      </c>
      <c r="H3054" t="str">
        <f>TEXT(Ventas[[#This Row],[Fecha_venta]],"dd")</f>
        <v>11</v>
      </c>
      <c r="I3054" t="str">
        <f>TEXT(Ventas[[#This Row],[Fecha_venta]],"m")</f>
        <v>2</v>
      </c>
      <c r="J3054" t="str">
        <f>TEXT(Ventas[[#This Row],[Fecha_venta]],"yyyy")</f>
        <v>2011</v>
      </c>
    </row>
    <row r="3055" spans="1:10" x14ac:dyDescent="0.25">
      <c r="A3055">
        <v>22</v>
      </c>
      <c r="B3055" s="1">
        <v>40592</v>
      </c>
      <c r="C3055">
        <v>0</v>
      </c>
      <c r="D3055">
        <v>35.340000000000003</v>
      </c>
      <c r="E3055">
        <v>3.2629999999999999</v>
      </c>
      <c r="F3055">
        <v>137.2511849</v>
      </c>
      <c r="G3055">
        <v>975964.86</v>
      </c>
      <c r="H3055" t="str">
        <f>TEXT(Ventas[[#This Row],[Fecha_venta]],"dd")</f>
        <v>18</v>
      </c>
      <c r="I3055" t="str">
        <f>TEXT(Ventas[[#This Row],[Fecha_venta]],"m")</f>
        <v>2</v>
      </c>
      <c r="J3055" t="str">
        <f>TEXT(Ventas[[#This Row],[Fecha_venta]],"yyyy")</f>
        <v>2011</v>
      </c>
    </row>
    <row r="3056" spans="1:10" x14ac:dyDescent="0.25">
      <c r="A3056">
        <v>22</v>
      </c>
      <c r="B3056" s="1">
        <v>40599</v>
      </c>
      <c r="C3056">
        <v>0</v>
      </c>
      <c r="D3056">
        <v>30.23</v>
      </c>
      <c r="E3056">
        <v>3.2810000000000001</v>
      </c>
      <c r="F3056">
        <v>137.3764439</v>
      </c>
      <c r="G3056">
        <v>911245.43</v>
      </c>
      <c r="H3056" t="str">
        <f>TEXT(Ventas[[#This Row],[Fecha_venta]],"dd")</f>
        <v>25</v>
      </c>
      <c r="I3056" t="str">
        <f>TEXT(Ventas[[#This Row],[Fecha_venta]],"m")</f>
        <v>2</v>
      </c>
      <c r="J3056" t="str">
        <f>TEXT(Ventas[[#This Row],[Fecha_venta]],"yyyy")</f>
        <v>2011</v>
      </c>
    </row>
    <row r="3057" spans="1:10" x14ac:dyDescent="0.25">
      <c r="A3057">
        <v>22</v>
      </c>
      <c r="B3057" s="1">
        <v>40606</v>
      </c>
      <c r="C3057">
        <v>0</v>
      </c>
      <c r="D3057">
        <v>33.520000000000003</v>
      </c>
      <c r="E3057">
        <v>3.4369999999999998</v>
      </c>
      <c r="F3057">
        <v>137.5017028</v>
      </c>
      <c r="G3057">
        <v>997353.15</v>
      </c>
      <c r="H3057" t="str">
        <f>TEXT(Ventas[[#This Row],[Fecha_venta]],"dd")</f>
        <v>04</v>
      </c>
      <c r="I3057" t="str">
        <f>TEXT(Ventas[[#This Row],[Fecha_venta]],"m")</f>
        <v>3</v>
      </c>
      <c r="J3057" t="str">
        <f>TEXT(Ventas[[#This Row],[Fecha_venta]],"yyyy")</f>
        <v>2011</v>
      </c>
    </row>
    <row r="3058" spans="1:10" x14ac:dyDescent="0.25">
      <c r="A3058">
        <v>22</v>
      </c>
      <c r="B3058" s="1">
        <v>40613</v>
      </c>
      <c r="C3058">
        <v>0</v>
      </c>
      <c r="D3058">
        <v>41.42</v>
      </c>
      <c r="E3058">
        <v>3.6</v>
      </c>
      <c r="F3058">
        <v>137.62696170000001</v>
      </c>
      <c r="G3058">
        <v>944587.23</v>
      </c>
      <c r="H3058" t="str">
        <f>TEXT(Ventas[[#This Row],[Fecha_venta]],"dd")</f>
        <v>11</v>
      </c>
      <c r="I3058" t="str">
        <f>TEXT(Ventas[[#This Row],[Fecha_venta]],"m")</f>
        <v>3</v>
      </c>
      <c r="J3058" t="str">
        <f>TEXT(Ventas[[#This Row],[Fecha_venta]],"yyyy")</f>
        <v>2011</v>
      </c>
    </row>
    <row r="3059" spans="1:10" x14ac:dyDescent="0.25">
      <c r="A3059">
        <v>22</v>
      </c>
      <c r="B3059" s="1">
        <v>40620</v>
      </c>
      <c r="C3059">
        <v>0</v>
      </c>
      <c r="D3059">
        <v>43.38</v>
      </c>
      <c r="E3059">
        <v>3.6339999999999999</v>
      </c>
      <c r="F3059">
        <v>137.7398929</v>
      </c>
      <c r="G3059">
        <v>926427.12</v>
      </c>
      <c r="H3059" t="str">
        <f>TEXT(Ventas[[#This Row],[Fecha_venta]],"dd")</f>
        <v>18</v>
      </c>
      <c r="I3059" t="str">
        <f>TEXT(Ventas[[#This Row],[Fecha_venta]],"m")</f>
        <v>3</v>
      </c>
      <c r="J3059" t="str">
        <f>TEXT(Ventas[[#This Row],[Fecha_venta]],"yyyy")</f>
        <v>2011</v>
      </c>
    </row>
    <row r="3060" spans="1:10" x14ac:dyDescent="0.25">
      <c r="A3060">
        <v>22</v>
      </c>
      <c r="B3060" s="1">
        <v>40627</v>
      </c>
      <c r="C3060">
        <v>0</v>
      </c>
      <c r="D3060">
        <v>38.770000000000003</v>
      </c>
      <c r="E3060">
        <v>3.6240000000000001</v>
      </c>
      <c r="F3060">
        <v>137.84789290000001</v>
      </c>
      <c r="G3060">
        <v>933528.39</v>
      </c>
      <c r="H3060" t="str">
        <f>TEXT(Ventas[[#This Row],[Fecha_venta]],"dd")</f>
        <v>25</v>
      </c>
      <c r="I3060" t="str">
        <f>TEXT(Ventas[[#This Row],[Fecha_venta]],"m")</f>
        <v>3</v>
      </c>
      <c r="J3060" t="str">
        <f>TEXT(Ventas[[#This Row],[Fecha_venta]],"yyyy")</f>
        <v>2011</v>
      </c>
    </row>
    <row r="3061" spans="1:10" x14ac:dyDescent="0.25">
      <c r="A3061">
        <v>22</v>
      </c>
      <c r="B3061" s="1">
        <v>40634</v>
      </c>
      <c r="C3061">
        <v>0</v>
      </c>
      <c r="D3061">
        <v>36.04</v>
      </c>
      <c r="E3061">
        <v>3.6379999999999999</v>
      </c>
      <c r="F3061">
        <v>137.95589290000001</v>
      </c>
      <c r="G3061">
        <v>951588.37</v>
      </c>
      <c r="H3061" t="str">
        <f>TEXT(Ventas[[#This Row],[Fecha_venta]],"dd")</f>
        <v>01</v>
      </c>
      <c r="I3061" t="str">
        <f>TEXT(Ventas[[#This Row],[Fecha_venta]],"m")</f>
        <v>4</v>
      </c>
      <c r="J3061" t="str">
        <f>TEXT(Ventas[[#This Row],[Fecha_venta]],"yyyy")</f>
        <v>2011</v>
      </c>
    </row>
    <row r="3062" spans="1:10" x14ac:dyDescent="0.25">
      <c r="A3062">
        <v>22</v>
      </c>
      <c r="B3062" s="1">
        <v>40641</v>
      </c>
      <c r="C3062">
        <v>0</v>
      </c>
      <c r="D3062">
        <v>44.42</v>
      </c>
      <c r="E3062">
        <v>3.72</v>
      </c>
      <c r="F3062">
        <v>138.06389290000001</v>
      </c>
      <c r="G3062">
        <v>969046.69</v>
      </c>
      <c r="H3062" t="str">
        <f>TEXT(Ventas[[#This Row],[Fecha_venta]],"dd")</f>
        <v>08</v>
      </c>
      <c r="I3062" t="str">
        <f>TEXT(Ventas[[#This Row],[Fecha_venta]],"m")</f>
        <v>4</v>
      </c>
      <c r="J3062" t="str">
        <f>TEXT(Ventas[[#This Row],[Fecha_venta]],"yyyy")</f>
        <v>2011</v>
      </c>
    </row>
    <row r="3063" spans="1:10" x14ac:dyDescent="0.25">
      <c r="A3063">
        <v>22</v>
      </c>
      <c r="B3063" s="1">
        <v>40648</v>
      </c>
      <c r="C3063">
        <v>0</v>
      </c>
      <c r="D3063">
        <v>48.88</v>
      </c>
      <c r="E3063">
        <v>3.823</v>
      </c>
      <c r="F3063">
        <v>138.16469520000001</v>
      </c>
      <c r="G3063">
        <v>1008557.04</v>
      </c>
      <c r="H3063" t="str">
        <f>TEXT(Ventas[[#This Row],[Fecha_venta]],"dd")</f>
        <v>15</v>
      </c>
      <c r="I3063" t="str">
        <f>TEXT(Ventas[[#This Row],[Fecha_venta]],"m")</f>
        <v>4</v>
      </c>
      <c r="J3063" t="str">
        <f>TEXT(Ventas[[#This Row],[Fecha_venta]],"yyyy")</f>
        <v>2011</v>
      </c>
    </row>
    <row r="3064" spans="1:10" x14ac:dyDescent="0.25">
      <c r="A3064">
        <v>22</v>
      </c>
      <c r="B3064" s="1">
        <v>40655</v>
      </c>
      <c r="C3064">
        <v>0</v>
      </c>
      <c r="D3064">
        <v>47.76</v>
      </c>
      <c r="E3064">
        <v>3.919</v>
      </c>
      <c r="F3064">
        <v>138.24750359999999</v>
      </c>
      <c r="G3064">
        <v>1152781.8999999999</v>
      </c>
      <c r="H3064" t="str">
        <f>TEXT(Ventas[[#This Row],[Fecha_venta]],"dd")</f>
        <v>22</v>
      </c>
      <c r="I3064" t="str">
        <f>TEXT(Ventas[[#This Row],[Fecha_venta]],"m")</f>
        <v>4</v>
      </c>
      <c r="J3064" t="str">
        <f>TEXT(Ventas[[#This Row],[Fecha_venta]],"yyyy")</f>
        <v>2011</v>
      </c>
    </row>
    <row r="3065" spans="1:10" x14ac:dyDescent="0.25">
      <c r="A3065">
        <v>22</v>
      </c>
      <c r="B3065" s="1">
        <v>40662</v>
      </c>
      <c r="C3065">
        <v>0</v>
      </c>
      <c r="D3065">
        <v>57.2</v>
      </c>
      <c r="E3065">
        <v>3.988</v>
      </c>
      <c r="F3065">
        <v>138.3303119</v>
      </c>
      <c r="G3065">
        <v>926133.8</v>
      </c>
      <c r="H3065" t="str">
        <f>TEXT(Ventas[[#This Row],[Fecha_venta]],"dd")</f>
        <v>29</v>
      </c>
      <c r="I3065" t="str">
        <f>TEXT(Ventas[[#This Row],[Fecha_venta]],"m")</f>
        <v>4</v>
      </c>
      <c r="J3065" t="str">
        <f>TEXT(Ventas[[#This Row],[Fecha_venta]],"yyyy")</f>
        <v>2011</v>
      </c>
    </row>
    <row r="3066" spans="1:10" x14ac:dyDescent="0.25">
      <c r="A3066">
        <v>22</v>
      </c>
      <c r="B3066" s="1">
        <v>40669</v>
      </c>
      <c r="C3066">
        <v>0</v>
      </c>
      <c r="D3066">
        <v>53.63</v>
      </c>
      <c r="E3066">
        <v>4.0780000000000003</v>
      </c>
      <c r="F3066">
        <v>138.41312020000001</v>
      </c>
      <c r="G3066">
        <v>1032076.06</v>
      </c>
      <c r="H3066" t="str">
        <f>TEXT(Ventas[[#This Row],[Fecha_venta]],"dd")</f>
        <v>06</v>
      </c>
      <c r="I3066" t="str">
        <f>TEXT(Ventas[[#This Row],[Fecha_venta]],"m")</f>
        <v>5</v>
      </c>
      <c r="J3066" t="str">
        <f>TEXT(Ventas[[#This Row],[Fecha_venta]],"yyyy")</f>
        <v>2011</v>
      </c>
    </row>
    <row r="3067" spans="1:10" x14ac:dyDescent="0.25">
      <c r="A3067">
        <v>22</v>
      </c>
      <c r="B3067" s="1">
        <v>40676</v>
      </c>
      <c r="C3067">
        <v>0</v>
      </c>
      <c r="D3067">
        <v>57.71</v>
      </c>
      <c r="E3067">
        <v>4.0949999999999998</v>
      </c>
      <c r="F3067">
        <v>138.49592860000001</v>
      </c>
      <c r="G3067">
        <v>1001558.74</v>
      </c>
      <c r="H3067" t="str">
        <f>TEXT(Ventas[[#This Row],[Fecha_venta]],"dd")</f>
        <v>13</v>
      </c>
      <c r="I3067" t="str">
        <f>TEXT(Ventas[[#This Row],[Fecha_venta]],"m")</f>
        <v>5</v>
      </c>
      <c r="J3067" t="str">
        <f>TEXT(Ventas[[#This Row],[Fecha_venta]],"yyyy")</f>
        <v>2011</v>
      </c>
    </row>
    <row r="3068" spans="1:10" x14ac:dyDescent="0.25">
      <c r="A3068">
        <v>22</v>
      </c>
      <c r="B3068" s="1">
        <v>40683</v>
      </c>
      <c r="C3068">
        <v>0</v>
      </c>
      <c r="D3068">
        <v>58.56</v>
      </c>
      <c r="E3068">
        <v>4.101</v>
      </c>
      <c r="F3068">
        <v>138.58710600000001</v>
      </c>
      <c r="G3068">
        <v>970307.83</v>
      </c>
      <c r="H3068" t="str">
        <f>TEXT(Ventas[[#This Row],[Fecha_venta]],"dd")</f>
        <v>20</v>
      </c>
      <c r="I3068" t="str">
        <f>TEXT(Ventas[[#This Row],[Fecha_venta]],"m")</f>
        <v>5</v>
      </c>
      <c r="J3068" t="str">
        <f>TEXT(Ventas[[#This Row],[Fecha_venta]],"yyyy")</f>
        <v>2011</v>
      </c>
    </row>
    <row r="3069" spans="1:10" x14ac:dyDescent="0.25">
      <c r="A3069">
        <v>22</v>
      </c>
      <c r="B3069" s="1">
        <v>40690</v>
      </c>
      <c r="C3069">
        <v>0</v>
      </c>
      <c r="D3069">
        <v>62.59</v>
      </c>
      <c r="E3069">
        <v>4.0339999999999998</v>
      </c>
      <c r="F3069">
        <v>138.6782834</v>
      </c>
      <c r="G3069">
        <v>1021568.34</v>
      </c>
      <c r="H3069" t="str">
        <f>TEXT(Ventas[[#This Row],[Fecha_venta]],"dd")</f>
        <v>27</v>
      </c>
      <c r="I3069" t="str">
        <f>TEXT(Ventas[[#This Row],[Fecha_venta]],"m")</f>
        <v>5</v>
      </c>
      <c r="J3069" t="str">
        <f>TEXT(Ventas[[#This Row],[Fecha_venta]],"yyyy")</f>
        <v>2011</v>
      </c>
    </row>
    <row r="3070" spans="1:10" x14ac:dyDescent="0.25">
      <c r="A3070">
        <v>22</v>
      </c>
      <c r="B3070" s="1">
        <v>40697</v>
      </c>
      <c r="C3070">
        <v>0</v>
      </c>
      <c r="D3070">
        <v>70.09</v>
      </c>
      <c r="E3070">
        <v>3.9729999999999999</v>
      </c>
      <c r="F3070">
        <v>138.76946079999999</v>
      </c>
      <c r="G3070">
        <v>1125169.92</v>
      </c>
      <c r="H3070" t="str">
        <f>TEXT(Ventas[[#This Row],[Fecha_venta]],"dd")</f>
        <v>03</v>
      </c>
      <c r="I3070" t="str">
        <f>TEXT(Ventas[[#This Row],[Fecha_venta]],"m")</f>
        <v>6</v>
      </c>
      <c r="J3070" t="str">
        <f>TEXT(Ventas[[#This Row],[Fecha_venta]],"yyyy")</f>
        <v>2011</v>
      </c>
    </row>
    <row r="3071" spans="1:10" x14ac:dyDescent="0.25">
      <c r="A3071">
        <v>22</v>
      </c>
      <c r="B3071" s="1">
        <v>40704</v>
      </c>
      <c r="C3071">
        <v>0</v>
      </c>
      <c r="D3071">
        <v>69.53</v>
      </c>
      <c r="E3071">
        <v>3.9239999999999999</v>
      </c>
      <c r="F3071">
        <v>138.86063820000001</v>
      </c>
      <c r="G3071">
        <v>1060868.49</v>
      </c>
      <c r="H3071" t="str">
        <f>TEXT(Ventas[[#This Row],[Fecha_venta]],"dd")</f>
        <v>10</v>
      </c>
      <c r="I3071" t="str">
        <f>TEXT(Ventas[[#This Row],[Fecha_venta]],"m")</f>
        <v>6</v>
      </c>
      <c r="J3071" t="str">
        <f>TEXT(Ventas[[#This Row],[Fecha_venta]],"yyyy")</f>
        <v>2011</v>
      </c>
    </row>
    <row r="3072" spans="1:10" x14ac:dyDescent="0.25">
      <c r="A3072">
        <v>22</v>
      </c>
      <c r="B3072" s="1">
        <v>40711</v>
      </c>
      <c r="C3072">
        <v>0</v>
      </c>
      <c r="D3072">
        <v>63.97</v>
      </c>
      <c r="E3072">
        <v>3.8730000000000002</v>
      </c>
      <c r="F3072">
        <v>139.00283329999999</v>
      </c>
      <c r="G3072">
        <v>1042454.61</v>
      </c>
      <c r="H3072" t="str">
        <f>TEXT(Ventas[[#This Row],[Fecha_venta]],"dd")</f>
        <v>17</v>
      </c>
      <c r="I3072" t="str">
        <f>TEXT(Ventas[[#This Row],[Fecha_venta]],"m")</f>
        <v>6</v>
      </c>
      <c r="J3072" t="str">
        <f>TEXT(Ventas[[#This Row],[Fecha_venta]],"yyyy")</f>
        <v>2011</v>
      </c>
    </row>
    <row r="3073" spans="1:10" x14ac:dyDescent="0.25">
      <c r="A3073">
        <v>22</v>
      </c>
      <c r="B3073" s="1">
        <v>40718</v>
      </c>
      <c r="C3073">
        <v>0</v>
      </c>
      <c r="D3073">
        <v>68.53</v>
      </c>
      <c r="E3073">
        <v>3.851</v>
      </c>
      <c r="F3073">
        <v>139.18329170000001</v>
      </c>
      <c r="G3073">
        <v>1012584.2</v>
      </c>
      <c r="H3073" t="str">
        <f>TEXT(Ventas[[#This Row],[Fecha_venta]],"dd")</f>
        <v>24</v>
      </c>
      <c r="I3073" t="str">
        <f>TEXT(Ventas[[#This Row],[Fecha_venta]],"m")</f>
        <v>6</v>
      </c>
      <c r="J3073" t="str">
        <f>TEXT(Ventas[[#This Row],[Fecha_venta]],"yyyy")</f>
        <v>2011</v>
      </c>
    </row>
    <row r="3074" spans="1:10" x14ac:dyDescent="0.25">
      <c r="A3074">
        <v>22</v>
      </c>
      <c r="B3074" s="1">
        <v>40725</v>
      </c>
      <c r="C3074">
        <v>0</v>
      </c>
      <c r="D3074">
        <v>70.8</v>
      </c>
      <c r="E3074">
        <v>3.8149999999999999</v>
      </c>
      <c r="F3074">
        <v>139.36375000000001</v>
      </c>
      <c r="G3074">
        <v>1077491.68</v>
      </c>
      <c r="H3074" t="str">
        <f>TEXT(Ventas[[#This Row],[Fecha_venta]],"dd")</f>
        <v>01</v>
      </c>
      <c r="I3074" t="str">
        <f>TEXT(Ventas[[#This Row],[Fecha_venta]],"m")</f>
        <v>7</v>
      </c>
      <c r="J3074" t="str">
        <f>TEXT(Ventas[[#This Row],[Fecha_venta]],"yyyy")</f>
        <v>2011</v>
      </c>
    </row>
    <row r="3075" spans="1:10" x14ac:dyDescent="0.25">
      <c r="A3075">
        <v>22</v>
      </c>
      <c r="B3075" s="1">
        <v>40732</v>
      </c>
      <c r="C3075">
        <v>0</v>
      </c>
      <c r="D3075">
        <v>74.22</v>
      </c>
      <c r="E3075">
        <v>3.7839999999999998</v>
      </c>
      <c r="F3075">
        <v>139.54420830000001</v>
      </c>
      <c r="G3075">
        <v>1017050.65</v>
      </c>
      <c r="H3075" t="str">
        <f>TEXT(Ventas[[#This Row],[Fecha_venta]],"dd")</f>
        <v>08</v>
      </c>
      <c r="I3075" t="str">
        <f>TEXT(Ventas[[#This Row],[Fecha_venta]],"m")</f>
        <v>7</v>
      </c>
      <c r="J3075" t="str">
        <f>TEXT(Ventas[[#This Row],[Fecha_venta]],"yyyy")</f>
        <v>2011</v>
      </c>
    </row>
    <row r="3076" spans="1:10" x14ac:dyDescent="0.25">
      <c r="A3076">
        <v>22</v>
      </c>
      <c r="B3076" s="1">
        <v>40739</v>
      </c>
      <c r="C3076">
        <v>0</v>
      </c>
      <c r="D3076">
        <v>75.2</v>
      </c>
      <c r="E3076">
        <v>3.827</v>
      </c>
      <c r="F3076">
        <v>139.70063250000001</v>
      </c>
      <c r="G3076">
        <v>961953.57</v>
      </c>
      <c r="H3076" t="str">
        <f>TEXT(Ventas[[#This Row],[Fecha_venta]],"dd")</f>
        <v>15</v>
      </c>
      <c r="I3076" t="str">
        <f>TEXT(Ventas[[#This Row],[Fecha_venta]],"m")</f>
        <v>7</v>
      </c>
      <c r="J3076" t="str">
        <f>TEXT(Ventas[[#This Row],[Fecha_venta]],"yyyy")</f>
        <v>2011</v>
      </c>
    </row>
    <row r="3077" spans="1:10" x14ac:dyDescent="0.25">
      <c r="A3077">
        <v>22</v>
      </c>
      <c r="B3077" s="1">
        <v>40746</v>
      </c>
      <c r="C3077">
        <v>0</v>
      </c>
      <c r="D3077">
        <v>77.790000000000006</v>
      </c>
      <c r="E3077">
        <v>3.8820000000000001</v>
      </c>
      <c r="F3077">
        <v>139.7969712</v>
      </c>
      <c r="G3077">
        <v>964683.8</v>
      </c>
      <c r="H3077" t="str">
        <f>TEXT(Ventas[[#This Row],[Fecha_venta]],"dd")</f>
        <v>22</v>
      </c>
      <c r="I3077" t="str">
        <f>TEXT(Ventas[[#This Row],[Fecha_venta]],"m")</f>
        <v>7</v>
      </c>
      <c r="J3077" t="str">
        <f>TEXT(Ventas[[#This Row],[Fecha_venta]],"yyyy")</f>
        <v>2011</v>
      </c>
    </row>
    <row r="3078" spans="1:10" x14ac:dyDescent="0.25">
      <c r="A3078">
        <v>22</v>
      </c>
      <c r="B3078" s="1">
        <v>40753</v>
      </c>
      <c r="C3078">
        <v>0</v>
      </c>
      <c r="D3078">
        <v>75.319999999999993</v>
      </c>
      <c r="E3078">
        <v>3.8980000000000001</v>
      </c>
      <c r="F3078">
        <v>139.89330989999999</v>
      </c>
      <c r="G3078">
        <v>0</v>
      </c>
      <c r="H3078" t="str">
        <f>TEXT(Ventas[[#This Row],[Fecha_venta]],"dd")</f>
        <v>29</v>
      </c>
      <c r="I3078" t="str">
        <f>TEXT(Ventas[[#This Row],[Fecha_venta]],"m")</f>
        <v>7</v>
      </c>
      <c r="J3078" t="str">
        <f>TEXT(Ventas[[#This Row],[Fecha_venta]],"yyyy")</f>
        <v>2011</v>
      </c>
    </row>
    <row r="3079" spans="1:10" x14ac:dyDescent="0.25">
      <c r="A3079">
        <v>22</v>
      </c>
      <c r="B3079" s="1">
        <v>40760</v>
      </c>
      <c r="C3079">
        <v>0</v>
      </c>
      <c r="D3079">
        <v>75.33</v>
      </c>
      <c r="E3079">
        <v>3.903</v>
      </c>
      <c r="F3079">
        <v>139.98964860000001</v>
      </c>
      <c r="G3079">
        <v>983232.96</v>
      </c>
      <c r="H3079" t="str">
        <f>TEXT(Ventas[[#This Row],[Fecha_venta]],"dd")</f>
        <v>05</v>
      </c>
      <c r="I3079" t="str">
        <f>TEXT(Ventas[[#This Row],[Fecha_venta]],"m")</f>
        <v>8</v>
      </c>
      <c r="J3079" t="str">
        <f>TEXT(Ventas[[#This Row],[Fecha_venta]],"yyyy")</f>
        <v>2011</v>
      </c>
    </row>
    <row r="3080" spans="1:10" x14ac:dyDescent="0.25">
      <c r="A3080">
        <v>22</v>
      </c>
      <c r="B3080" s="1">
        <v>40767</v>
      </c>
      <c r="C3080">
        <v>0</v>
      </c>
      <c r="D3080">
        <v>74.69</v>
      </c>
      <c r="E3080">
        <v>3.88</v>
      </c>
      <c r="F3080">
        <v>140.0859873</v>
      </c>
      <c r="G3080">
        <v>991779.2</v>
      </c>
      <c r="H3080" t="str">
        <f>TEXT(Ventas[[#This Row],[Fecha_venta]],"dd")</f>
        <v>12</v>
      </c>
      <c r="I3080" t="str">
        <f>TEXT(Ventas[[#This Row],[Fecha_venta]],"m")</f>
        <v>8</v>
      </c>
      <c r="J3080" t="str">
        <f>TEXT(Ventas[[#This Row],[Fecha_venta]],"yyyy")</f>
        <v>2011</v>
      </c>
    </row>
    <row r="3081" spans="1:10" x14ac:dyDescent="0.25">
      <c r="A3081">
        <v>22</v>
      </c>
      <c r="B3081" s="1">
        <v>40774</v>
      </c>
      <c r="C3081">
        <v>0</v>
      </c>
      <c r="D3081">
        <v>71.3</v>
      </c>
      <c r="E3081">
        <v>3.82</v>
      </c>
      <c r="F3081">
        <v>140.12892049999999</v>
      </c>
      <c r="G3081">
        <v>973004.91</v>
      </c>
      <c r="H3081" t="str">
        <f>TEXT(Ventas[[#This Row],[Fecha_venta]],"dd")</f>
        <v>19</v>
      </c>
      <c r="I3081" t="str">
        <f>TEXT(Ventas[[#This Row],[Fecha_venta]],"m")</f>
        <v>8</v>
      </c>
      <c r="J3081" t="str">
        <f>TEXT(Ventas[[#This Row],[Fecha_venta]],"yyyy")</f>
        <v>2011</v>
      </c>
    </row>
    <row r="3082" spans="1:10" x14ac:dyDescent="0.25">
      <c r="A3082">
        <v>22</v>
      </c>
      <c r="B3082" s="1">
        <v>40781</v>
      </c>
      <c r="C3082">
        <v>0</v>
      </c>
      <c r="D3082">
        <v>72.22</v>
      </c>
      <c r="E3082">
        <v>3.7959999999999998</v>
      </c>
      <c r="F3082">
        <v>140.1629528</v>
      </c>
      <c r="G3082">
        <v>1181815.31</v>
      </c>
      <c r="H3082" t="str">
        <f>TEXT(Ventas[[#This Row],[Fecha_venta]],"dd")</f>
        <v>26</v>
      </c>
      <c r="I3082" t="str">
        <f>TEXT(Ventas[[#This Row],[Fecha_venta]],"m")</f>
        <v>8</v>
      </c>
      <c r="J3082" t="str">
        <f>TEXT(Ventas[[#This Row],[Fecha_venta]],"yyyy")</f>
        <v>2011</v>
      </c>
    </row>
    <row r="3083" spans="1:10" x14ac:dyDescent="0.25">
      <c r="A3083">
        <v>22</v>
      </c>
      <c r="B3083" s="1">
        <v>40788</v>
      </c>
      <c r="C3083">
        <v>0</v>
      </c>
      <c r="D3083">
        <v>69.16</v>
      </c>
      <c r="E3083">
        <v>3.7839999999999998</v>
      </c>
      <c r="F3083">
        <v>140.19698500000001</v>
      </c>
      <c r="G3083">
        <v>912762.76</v>
      </c>
      <c r="H3083" t="str">
        <f>TEXT(Ventas[[#This Row],[Fecha_venta]],"dd")</f>
        <v>02</v>
      </c>
      <c r="I3083" t="str">
        <f>TEXT(Ventas[[#This Row],[Fecha_venta]],"m")</f>
        <v>9</v>
      </c>
      <c r="J3083" t="str">
        <f>TEXT(Ventas[[#This Row],[Fecha_venta]],"yyyy")</f>
        <v>2011</v>
      </c>
    </row>
    <row r="3084" spans="1:10" x14ac:dyDescent="0.25">
      <c r="A3084">
        <v>22</v>
      </c>
      <c r="B3084" s="1">
        <v>40795</v>
      </c>
      <c r="C3084">
        <v>1</v>
      </c>
      <c r="D3084">
        <v>69.14</v>
      </c>
      <c r="E3084">
        <v>3.8090000000000002</v>
      </c>
      <c r="F3084">
        <v>140.23101729999999</v>
      </c>
      <c r="G3084">
        <v>1004434.54</v>
      </c>
      <c r="H3084" t="str">
        <f>TEXT(Ventas[[#This Row],[Fecha_venta]],"dd")</f>
        <v>09</v>
      </c>
      <c r="I3084" t="str">
        <f>TEXT(Ventas[[#This Row],[Fecha_venta]],"m")</f>
        <v>9</v>
      </c>
      <c r="J3084" t="str">
        <f>TEXT(Ventas[[#This Row],[Fecha_venta]],"yyyy")</f>
        <v>2011</v>
      </c>
    </row>
    <row r="3085" spans="1:10" x14ac:dyDescent="0.25">
      <c r="A3085">
        <v>22</v>
      </c>
      <c r="B3085" s="1">
        <v>40802</v>
      </c>
      <c r="C3085">
        <v>0</v>
      </c>
      <c r="D3085">
        <v>68.08</v>
      </c>
      <c r="E3085">
        <v>3.8090000000000002</v>
      </c>
      <c r="F3085">
        <v>140.27350000000001</v>
      </c>
      <c r="G3085">
        <v>937420.65</v>
      </c>
      <c r="H3085" t="str">
        <f>TEXT(Ventas[[#This Row],[Fecha_venta]],"dd")</f>
        <v>16</v>
      </c>
      <c r="I3085" t="str">
        <f>TEXT(Ventas[[#This Row],[Fecha_venta]],"m")</f>
        <v>9</v>
      </c>
      <c r="J3085" t="str">
        <f>TEXT(Ventas[[#This Row],[Fecha_venta]],"yyyy")</f>
        <v>2011</v>
      </c>
    </row>
    <row r="3086" spans="1:10" x14ac:dyDescent="0.25">
      <c r="A3086">
        <v>22</v>
      </c>
      <c r="B3086" s="1">
        <v>40809</v>
      </c>
      <c r="C3086">
        <v>0</v>
      </c>
      <c r="D3086">
        <v>62.36</v>
      </c>
      <c r="E3086">
        <v>3.758</v>
      </c>
      <c r="F3086">
        <v>140.32724999999999</v>
      </c>
      <c r="G3086">
        <v>899834.75</v>
      </c>
      <c r="H3086" t="str">
        <f>TEXT(Ventas[[#This Row],[Fecha_venta]],"dd")</f>
        <v>23</v>
      </c>
      <c r="I3086" t="str">
        <f>TEXT(Ventas[[#This Row],[Fecha_venta]],"m")</f>
        <v>9</v>
      </c>
      <c r="J3086" t="str">
        <f>TEXT(Ventas[[#This Row],[Fecha_venta]],"yyyy")</f>
        <v>2011</v>
      </c>
    </row>
    <row r="3087" spans="1:10" x14ac:dyDescent="0.25">
      <c r="A3087">
        <v>22</v>
      </c>
      <c r="B3087" s="1">
        <v>40816</v>
      </c>
      <c r="C3087">
        <v>0</v>
      </c>
      <c r="D3087">
        <v>69.78</v>
      </c>
      <c r="E3087">
        <v>3.6840000000000002</v>
      </c>
      <c r="F3087">
        <v>140.381</v>
      </c>
      <c r="G3087">
        <v>953314.16</v>
      </c>
      <c r="H3087" t="str">
        <f>TEXT(Ventas[[#This Row],[Fecha_venta]],"dd")</f>
        <v>30</v>
      </c>
      <c r="I3087" t="str">
        <f>TEXT(Ventas[[#This Row],[Fecha_venta]],"m")</f>
        <v>9</v>
      </c>
      <c r="J3087" t="str">
        <f>TEXT(Ventas[[#This Row],[Fecha_venta]],"yyyy")</f>
        <v>2011</v>
      </c>
    </row>
    <row r="3088" spans="1:10" x14ac:dyDescent="0.25">
      <c r="A3088">
        <v>22</v>
      </c>
      <c r="B3088" s="1">
        <v>40823</v>
      </c>
      <c r="C3088">
        <v>0</v>
      </c>
      <c r="D3088">
        <v>56.44</v>
      </c>
      <c r="E3088">
        <v>3.633</v>
      </c>
      <c r="F3088">
        <v>140.43475000000001</v>
      </c>
      <c r="G3088">
        <v>993436.67</v>
      </c>
      <c r="H3088" t="str">
        <f>TEXT(Ventas[[#This Row],[Fecha_venta]],"dd")</f>
        <v>07</v>
      </c>
      <c r="I3088" t="str">
        <f>TEXT(Ventas[[#This Row],[Fecha_venta]],"m")</f>
        <v>10</v>
      </c>
      <c r="J3088" t="str">
        <f>TEXT(Ventas[[#This Row],[Fecha_venta]],"yyyy")</f>
        <v>2011</v>
      </c>
    </row>
    <row r="3089" spans="1:10" x14ac:dyDescent="0.25">
      <c r="A3089">
        <v>22</v>
      </c>
      <c r="B3089" s="1">
        <v>40830</v>
      </c>
      <c r="C3089">
        <v>0</v>
      </c>
      <c r="D3089">
        <v>62.63</v>
      </c>
      <c r="E3089">
        <v>3.5830000000000002</v>
      </c>
      <c r="F3089">
        <v>140.47841940000001</v>
      </c>
      <c r="G3089">
        <v>944337.32</v>
      </c>
      <c r="H3089" t="str">
        <f>TEXT(Ventas[[#This Row],[Fecha_venta]],"dd")</f>
        <v>14</v>
      </c>
      <c r="I3089" t="str">
        <f>TEXT(Ventas[[#This Row],[Fecha_venta]],"m")</f>
        <v>10</v>
      </c>
      <c r="J3089" t="str">
        <f>TEXT(Ventas[[#This Row],[Fecha_venta]],"yyyy")</f>
        <v>2011</v>
      </c>
    </row>
    <row r="3090" spans="1:10" x14ac:dyDescent="0.25">
      <c r="A3090">
        <v>22</v>
      </c>
      <c r="B3090" s="1">
        <v>40837</v>
      </c>
      <c r="C3090">
        <v>0</v>
      </c>
      <c r="D3090">
        <v>59.3</v>
      </c>
      <c r="E3090">
        <v>3.6179999999999999</v>
      </c>
      <c r="F3090">
        <v>140.4616048</v>
      </c>
      <c r="G3090">
        <v>981567.22</v>
      </c>
      <c r="H3090" t="str">
        <f>TEXT(Ventas[[#This Row],[Fecha_venta]],"dd")</f>
        <v>21</v>
      </c>
      <c r="I3090" t="str">
        <f>TEXT(Ventas[[#This Row],[Fecha_venta]],"m")</f>
        <v>10</v>
      </c>
      <c r="J3090" t="str">
        <f>TEXT(Ventas[[#This Row],[Fecha_venta]],"yyyy")</f>
        <v>2011</v>
      </c>
    </row>
    <row r="3091" spans="1:10" x14ac:dyDescent="0.25">
      <c r="A3091">
        <v>22</v>
      </c>
      <c r="B3091" s="1">
        <v>40844</v>
      </c>
      <c r="C3091">
        <v>0</v>
      </c>
      <c r="D3091">
        <v>49.31</v>
      </c>
      <c r="E3091">
        <v>3.6040000000000001</v>
      </c>
      <c r="F3091">
        <v>140.44479029999999</v>
      </c>
      <c r="G3091">
        <v>1099351.68</v>
      </c>
      <c r="H3091" t="str">
        <f>TEXT(Ventas[[#This Row],[Fecha_venta]],"dd")</f>
        <v>28</v>
      </c>
      <c r="I3091" t="str">
        <f>TEXT(Ventas[[#This Row],[Fecha_venta]],"m")</f>
        <v>10</v>
      </c>
      <c r="J3091" t="str">
        <f>TEXT(Ventas[[#This Row],[Fecha_venta]],"yyyy")</f>
        <v>2011</v>
      </c>
    </row>
    <row r="3092" spans="1:10" x14ac:dyDescent="0.25">
      <c r="A3092">
        <v>22</v>
      </c>
      <c r="B3092" s="1">
        <v>40851</v>
      </c>
      <c r="C3092">
        <v>0</v>
      </c>
      <c r="D3092">
        <v>42.81</v>
      </c>
      <c r="E3092">
        <v>3.5859999999999999</v>
      </c>
      <c r="F3092">
        <v>140.42797580000001</v>
      </c>
      <c r="G3092">
        <v>1106575.5900000001</v>
      </c>
      <c r="H3092" t="str">
        <f>TEXT(Ventas[[#This Row],[Fecha_venta]],"dd")</f>
        <v>04</v>
      </c>
      <c r="I3092" t="str">
        <f>TEXT(Ventas[[#This Row],[Fecha_venta]],"m")</f>
        <v>11</v>
      </c>
      <c r="J3092" t="str">
        <f>TEXT(Ventas[[#This Row],[Fecha_venta]],"yyyy")</f>
        <v>2011</v>
      </c>
    </row>
    <row r="3093" spans="1:10" x14ac:dyDescent="0.25">
      <c r="A3093">
        <v>22</v>
      </c>
      <c r="B3093" s="1">
        <v>40858</v>
      </c>
      <c r="C3093">
        <v>0</v>
      </c>
      <c r="D3093">
        <v>47.8</v>
      </c>
      <c r="E3093">
        <v>3.57</v>
      </c>
      <c r="F3093">
        <v>140.4111613</v>
      </c>
      <c r="G3093">
        <v>1051740.29</v>
      </c>
      <c r="H3093" t="str">
        <f>TEXT(Ventas[[#This Row],[Fecha_venta]],"dd")</f>
        <v>11</v>
      </c>
      <c r="I3093" t="str">
        <f>TEXT(Ventas[[#This Row],[Fecha_venta]],"m")</f>
        <v>11</v>
      </c>
      <c r="J3093" t="str">
        <f>TEXT(Ventas[[#This Row],[Fecha_venta]],"yyyy")</f>
        <v>2011</v>
      </c>
    </row>
    <row r="3094" spans="1:10" x14ac:dyDescent="0.25">
      <c r="A3094">
        <v>22</v>
      </c>
      <c r="B3094" s="1">
        <v>40865</v>
      </c>
      <c r="C3094">
        <v>0</v>
      </c>
      <c r="D3094">
        <v>50.62</v>
      </c>
      <c r="E3094">
        <v>3.5710000000000002</v>
      </c>
      <c r="F3094">
        <v>140.4127857</v>
      </c>
      <c r="G3094">
        <v>1007579.44</v>
      </c>
      <c r="H3094" t="str">
        <f>TEXT(Ventas[[#This Row],[Fecha_venta]],"dd")</f>
        <v>18</v>
      </c>
      <c r="I3094" t="str">
        <f>TEXT(Ventas[[#This Row],[Fecha_venta]],"m")</f>
        <v>11</v>
      </c>
      <c r="J3094" t="str">
        <f>TEXT(Ventas[[#This Row],[Fecha_venta]],"yyyy")</f>
        <v>2011</v>
      </c>
    </row>
    <row r="3095" spans="1:10" x14ac:dyDescent="0.25">
      <c r="A3095">
        <v>22</v>
      </c>
      <c r="B3095" s="1">
        <v>40872</v>
      </c>
      <c r="C3095">
        <v>1</v>
      </c>
      <c r="D3095">
        <v>46.28</v>
      </c>
      <c r="E3095">
        <v>3.536</v>
      </c>
      <c r="F3095">
        <v>140.42178569999999</v>
      </c>
      <c r="G3095">
        <v>1535857.49</v>
      </c>
      <c r="H3095" t="str">
        <f>TEXT(Ventas[[#This Row],[Fecha_venta]],"dd")</f>
        <v>25</v>
      </c>
      <c r="I3095" t="str">
        <f>TEXT(Ventas[[#This Row],[Fecha_venta]],"m")</f>
        <v>11</v>
      </c>
      <c r="J3095" t="str">
        <f>TEXT(Ventas[[#This Row],[Fecha_venta]],"yyyy")</f>
        <v>2011</v>
      </c>
    </row>
    <row r="3096" spans="1:10" x14ac:dyDescent="0.25">
      <c r="A3096">
        <v>22</v>
      </c>
      <c r="B3096" s="1">
        <v>40879</v>
      </c>
      <c r="C3096">
        <v>0</v>
      </c>
      <c r="D3096">
        <v>49.11</v>
      </c>
      <c r="E3096">
        <v>3.5009999999999999</v>
      </c>
      <c r="F3096">
        <v>140.4307857</v>
      </c>
      <c r="G3096">
        <v>1167621.1399999999</v>
      </c>
      <c r="H3096" t="str">
        <f>TEXT(Ventas[[#This Row],[Fecha_venta]],"dd")</f>
        <v>02</v>
      </c>
      <c r="I3096" t="str">
        <f>TEXT(Ventas[[#This Row],[Fecha_venta]],"m")</f>
        <v>12</v>
      </c>
      <c r="J3096" t="str">
        <f>TEXT(Ventas[[#This Row],[Fecha_venta]],"yyyy")</f>
        <v>2011</v>
      </c>
    </row>
    <row r="3097" spans="1:10" x14ac:dyDescent="0.25">
      <c r="A3097">
        <v>22</v>
      </c>
      <c r="B3097" s="1">
        <v>40886</v>
      </c>
      <c r="C3097">
        <v>0</v>
      </c>
      <c r="D3097">
        <v>45.35</v>
      </c>
      <c r="E3097">
        <v>3.47</v>
      </c>
      <c r="F3097">
        <v>140.43978569999999</v>
      </c>
      <c r="G3097">
        <v>1308967.44</v>
      </c>
      <c r="H3097" t="str">
        <f>TEXT(Ventas[[#This Row],[Fecha_venta]],"dd")</f>
        <v>09</v>
      </c>
      <c r="I3097" t="str">
        <f>TEXT(Ventas[[#This Row],[Fecha_venta]],"m")</f>
        <v>12</v>
      </c>
      <c r="J3097" t="str">
        <f>TEXT(Ventas[[#This Row],[Fecha_venta]],"yyyy")</f>
        <v>2011</v>
      </c>
    </row>
    <row r="3098" spans="1:10" x14ac:dyDescent="0.25">
      <c r="A3098">
        <v>22</v>
      </c>
      <c r="B3098" s="1">
        <v>40893</v>
      </c>
      <c r="C3098">
        <v>0</v>
      </c>
      <c r="D3098">
        <v>39.11</v>
      </c>
      <c r="E3098">
        <v>3.4449999999999998</v>
      </c>
      <c r="F3098">
        <v>140.4700795</v>
      </c>
      <c r="G3098">
        <v>1453153.33</v>
      </c>
      <c r="H3098" t="str">
        <f>TEXT(Ventas[[#This Row],[Fecha_venta]],"dd")</f>
        <v>16</v>
      </c>
      <c r="I3098" t="str">
        <f>TEXT(Ventas[[#This Row],[Fecha_venta]],"m")</f>
        <v>12</v>
      </c>
      <c r="J3098" t="str">
        <f>TEXT(Ventas[[#This Row],[Fecha_venta]],"yyyy")</f>
        <v>2011</v>
      </c>
    </row>
    <row r="3099" spans="1:10" x14ac:dyDescent="0.25">
      <c r="A3099">
        <v>22</v>
      </c>
      <c r="B3099" s="1">
        <v>40900</v>
      </c>
      <c r="C3099">
        <v>0</v>
      </c>
      <c r="D3099">
        <v>39.83</v>
      </c>
      <c r="E3099">
        <v>3.4129999999999998</v>
      </c>
      <c r="F3099">
        <v>140.52876499999999</v>
      </c>
      <c r="G3099">
        <v>1863195.68</v>
      </c>
      <c r="H3099" t="str">
        <f>TEXT(Ventas[[#This Row],[Fecha_venta]],"dd")</f>
        <v>23</v>
      </c>
      <c r="I3099" t="str">
        <f>TEXT(Ventas[[#This Row],[Fecha_venta]],"m")</f>
        <v>12</v>
      </c>
      <c r="J3099" t="str">
        <f>TEXT(Ventas[[#This Row],[Fecha_venta]],"yyyy")</f>
        <v>2011</v>
      </c>
    </row>
    <row r="3100" spans="1:10" x14ac:dyDescent="0.25">
      <c r="A3100">
        <v>22</v>
      </c>
      <c r="B3100" s="1">
        <v>40907</v>
      </c>
      <c r="C3100">
        <v>1</v>
      </c>
      <c r="D3100">
        <v>36.28</v>
      </c>
      <c r="E3100">
        <v>3.4020000000000001</v>
      </c>
      <c r="F3100">
        <v>140.58745049999999</v>
      </c>
      <c r="G3100">
        <v>982661.14</v>
      </c>
      <c r="H3100" t="str">
        <f>TEXT(Ventas[[#This Row],[Fecha_venta]],"dd")</f>
        <v>30</v>
      </c>
      <c r="I3100" t="str">
        <f>TEXT(Ventas[[#This Row],[Fecha_venta]],"m")</f>
        <v>12</v>
      </c>
      <c r="J3100" t="str">
        <f>TEXT(Ventas[[#This Row],[Fecha_venta]],"yyyy")</f>
        <v>2011</v>
      </c>
    </row>
    <row r="3101" spans="1:10" x14ac:dyDescent="0.25">
      <c r="A3101">
        <v>22</v>
      </c>
      <c r="B3101" s="1">
        <v>40914</v>
      </c>
      <c r="C3101">
        <v>0</v>
      </c>
      <c r="D3101">
        <v>34.61</v>
      </c>
      <c r="E3101">
        <v>3.4390000000000001</v>
      </c>
      <c r="F3101">
        <v>140.64613589999999</v>
      </c>
      <c r="G3101">
        <v>895358.2</v>
      </c>
      <c r="H3101" t="str">
        <f>TEXT(Ventas[[#This Row],[Fecha_venta]],"dd")</f>
        <v>06</v>
      </c>
      <c r="I3101" t="str">
        <f>TEXT(Ventas[[#This Row],[Fecha_venta]],"m")</f>
        <v>1</v>
      </c>
      <c r="J3101" t="str">
        <f>TEXT(Ventas[[#This Row],[Fecha_venta]],"yyyy")</f>
        <v>2012</v>
      </c>
    </row>
    <row r="3102" spans="1:10" x14ac:dyDescent="0.25">
      <c r="A3102">
        <v>22</v>
      </c>
      <c r="B3102" s="1">
        <v>40921</v>
      </c>
      <c r="C3102">
        <v>0</v>
      </c>
      <c r="D3102">
        <v>39</v>
      </c>
      <c r="E3102">
        <v>3.5230000000000001</v>
      </c>
      <c r="F3102">
        <v>140.70482139999999</v>
      </c>
      <c r="G3102">
        <v>855437.57</v>
      </c>
      <c r="H3102" t="str">
        <f>TEXT(Ventas[[#This Row],[Fecha_venta]],"dd")</f>
        <v>13</v>
      </c>
      <c r="I3102" t="str">
        <f>TEXT(Ventas[[#This Row],[Fecha_venta]],"m")</f>
        <v>1</v>
      </c>
      <c r="J3102" t="str">
        <f>TEXT(Ventas[[#This Row],[Fecha_venta]],"yyyy")</f>
        <v>2012</v>
      </c>
    </row>
    <row r="3103" spans="1:10" x14ac:dyDescent="0.25">
      <c r="A3103">
        <v>22</v>
      </c>
      <c r="B3103" s="1">
        <v>40928</v>
      </c>
      <c r="C3103">
        <v>0</v>
      </c>
      <c r="D3103">
        <v>29.16</v>
      </c>
      <c r="E3103">
        <v>3.5419999999999998</v>
      </c>
      <c r="F3103">
        <v>140.80861179999999</v>
      </c>
      <c r="G3103">
        <v>897027.44</v>
      </c>
      <c r="H3103" t="str">
        <f>TEXT(Ventas[[#This Row],[Fecha_venta]],"dd")</f>
        <v>20</v>
      </c>
      <c r="I3103" t="str">
        <f>TEXT(Ventas[[#This Row],[Fecha_venta]],"m")</f>
        <v>1</v>
      </c>
      <c r="J3103" t="str">
        <f>TEXT(Ventas[[#This Row],[Fecha_venta]],"yyyy")</f>
        <v>2012</v>
      </c>
    </row>
    <row r="3104" spans="1:10" x14ac:dyDescent="0.25">
      <c r="A3104">
        <v>22</v>
      </c>
      <c r="B3104" s="1">
        <v>40935</v>
      </c>
      <c r="C3104">
        <v>0</v>
      </c>
      <c r="D3104">
        <v>35.68</v>
      </c>
      <c r="E3104">
        <v>3.5680000000000001</v>
      </c>
      <c r="F3104">
        <v>140.91240210000001</v>
      </c>
      <c r="G3104">
        <v>786459.23</v>
      </c>
      <c r="H3104" t="str">
        <f>TEXT(Ventas[[#This Row],[Fecha_venta]],"dd")</f>
        <v>27</v>
      </c>
      <c r="I3104" t="str">
        <f>TEXT(Ventas[[#This Row],[Fecha_venta]],"m")</f>
        <v>1</v>
      </c>
      <c r="J3104" t="str">
        <f>TEXT(Ventas[[#This Row],[Fecha_venta]],"yyyy")</f>
        <v>2012</v>
      </c>
    </row>
    <row r="3105" spans="1:10" x14ac:dyDescent="0.25">
      <c r="A3105">
        <v>22</v>
      </c>
      <c r="B3105" s="1">
        <v>40942</v>
      </c>
      <c r="C3105">
        <v>0</v>
      </c>
      <c r="D3105">
        <v>40.58</v>
      </c>
      <c r="E3105">
        <v>3.633</v>
      </c>
      <c r="F3105">
        <v>141.01619239999999</v>
      </c>
      <c r="G3105">
        <v>958487.75</v>
      </c>
      <c r="H3105" t="str">
        <f>TEXT(Ventas[[#This Row],[Fecha_venta]],"dd")</f>
        <v>03</v>
      </c>
      <c r="I3105" t="str">
        <f>TEXT(Ventas[[#This Row],[Fecha_venta]],"m")</f>
        <v>2</v>
      </c>
      <c r="J3105" t="str">
        <f>TEXT(Ventas[[#This Row],[Fecha_venta]],"yyyy")</f>
        <v>2012</v>
      </c>
    </row>
    <row r="3106" spans="1:10" x14ac:dyDescent="0.25">
      <c r="A3106">
        <v>22</v>
      </c>
      <c r="B3106" s="1">
        <v>40949</v>
      </c>
      <c r="C3106">
        <v>1</v>
      </c>
      <c r="D3106">
        <v>35.68</v>
      </c>
      <c r="E3106">
        <v>3.6549999999999998</v>
      </c>
      <c r="F3106">
        <v>141.11998270000001</v>
      </c>
      <c r="G3106">
        <v>1034448.07</v>
      </c>
      <c r="H3106" t="str">
        <f>TEXT(Ventas[[#This Row],[Fecha_venta]],"dd")</f>
        <v>10</v>
      </c>
      <c r="I3106" t="str">
        <f>TEXT(Ventas[[#This Row],[Fecha_venta]],"m")</f>
        <v>2</v>
      </c>
      <c r="J3106" t="str">
        <f>TEXT(Ventas[[#This Row],[Fecha_venta]],"yyyy")</f>
        <v>2012</v>
      </c>
    </row>
    <row r="3107" spans="1:10" x14ac:dyDescent="0.25">
      <c r="A3107">
        <v>22</v>
      </c>
      <c r="B3107" s="1">
        <v>40956</v>
      </c>
      <c r="C3107">
        <v>0</v>
      </c>
      <c r="D3107">
        <v>36.25</v>
      </c>
      <c r="E3107">
        <v>3.7029999999999998</v>
      </c>
      <c r="F3107">
        <v>141.21403570000001</v>
      </c>
      <c r="G3107">
        <v>1004749.41</v>
      </c>
      <c r="H3107" t="str">
        <f>TEXT(Ventas[[#This Row],[Fecha_venta]],"dd")</f>
        <v>17</v>
      </c>
      <c r="I3107" t="str">
        <f>TEXT(Ventas[[#This Row],[Fecha_venta]],"m")</f>
        <v>2</v>
      </c>
      <c r="J3107" t="str">
        <f>TEXT(Ventas[[#This Row],[Fecha_venta]],"yyyy")</f>
        <v>2012</v>
      </c>
    </row>
    <row r="3108" spans="1:10" x14ac:dyDescent="0.25">
      <c r="A3108">
        <v>22</v>
      </c>
      <c r="B3108" s="1">
        <v>40963</v>
      </c>
      <c r="C3108">
        <v>0</v>
      </c>
      <c r="D3108">
        <v>39</v>
      </c>
      <c r="E3108">
        <v>3.7509999999999999</v>
      </c>
      <c r="F3108">
        <v>141.30078570000001</v>
      </c>
      <c r="G3108">
        <v>912958.95</v>
      </c>
      <c r="H3108" t="str">
        <f>TEXT(Ventas[[#This Row],[Fecha_venta]],"dd")</f>
        <v>24</v>
      </c>
      <c r="I3108" t="str">
        <f>TEXT(Ventas[[#This Row],[Fecha_venta]],"m")</f>
        <v>2</v>
      </c>
      <c r="J3108" t="str">
        <f>TEXT(Ventas[[#This Row],[Fecha_venta]],"yyyy")</f>
        <v>2012</v>
      </c>
    </row>
    <row r="3109" spans="1:10" x14ac:dyDescent="0.25">
      <c r="A3109">
        <v>22</v>
      </c>
      <c r="B3109" s="1">
        <v>40970</v>
      </c>
      <c r="C3109">
        <v>0</v>
      </c>
      <c r="D3109">
        <v>37.47</v>
      </c>
      <c r="E3109">
        <v>3.827</v>
      </c>
      <c r="F3109">
        <v>141.3875357</v>
      </c>
      <c r="G3109">
        <v>974866.65</v>
      </c>
      <c r="H3109" t="str">
        <f>TEXT(Ventas[[#This Row],[Fecha_venta]],"dd")</f>
        <v>02</v>
      </c>
      <c r="I3109" t="str">
        <f>TEXT(Ventas[[#This Row],[Fecha_venta]],"m")</f>
        <v>3</v>
      </c>
      <c r="J3109" t="str">
        <f>TEXT(Ventas[[#This Row],[Fecha_venta]],"yyyy")</f>
        <v>2012</v>
      </c>
    </row>
    <row r="3110" spans="1:10" x14ac:dyDescent="0.25">
      <c r="A3110">
        <v>22</v>
      </c>
      <c r="B3110" s="1">
        <v>40977</v>
      </c>
      <c r="C3110">
        <v>0</v>
      </c>
      <c r="D3110">
        <v>41.72</v>
      </c>
      <c r="E3110">
        <v>3.8759999999999999</v>
      </c>
      <c r="F3110">
        <v>141.4742857</v>
      </c>
      <c r="G3110">
        <v>991127.01</v>
      </c>
      <c r="H3110" t="str">
        <f>TEXT(Ventas[[#This Row],[Fecha_venta]],"dd")</f>
        <v>09</v>
      </c>
      <c r="I3110" t="str">
        <f>TEXT(Ventas[[#This Row],[Fecha_venta]],"m")</f>
        <v>3</v>
      </c>
      <c r="J3110" t="str">
        <f>TEXT(Ventas[[#This Row],[Fecha_venta]],"yyyy")</f>
        <v>2012</v>
      </c>
    </row>
    <row r="3111" spans="1:10" x14ac:dyDescent="0.25">
      <c r="A3111">
        <v>22</v>
      </c>
      <c r="B3111" s="1">
        <v>40984</v>
      </c>
      <c r="C3111">
        <v>0</v>
      </c>
      <c r="D3111">
        <v>46.06</v>
      </c>
      <c r="E3111">
        <v>3.867</v>
      </c>
      <c r="F3111">
        <v>141.55477999999999</v>
      </c>
      <c r="G3111">
        <v>966780.01</v>
      </c>
      <c r="H3111" t="str">
        <f>TEXT(Ventas[[#This Row],[Fecha_venta]],"dd")</f>
        <v>16</v>
      </c>
      <c r="I3111" t="str">
        <f>TEXT(Ventas[[#This Row],[Fecha_venta]],"m")</f>
        <v>3</v>
      </c>
      <c r="J3111" t="str">
        <f>TEXT(Ventas[[#This Row],[Fecha_venta]],"yyyy")</f>
        <v>2012</v>
      </c>
    </row>
    <row r="3112" spans="1:10" x14ac:dyDescent="0.25">
      <c r="A3112">
        <v>22</v>
      </c>
      <c r="B3112" s="1">
        <v>40991</v>
      </c>
      <c r="C3112">
        <v>0</v>
      </c>
      <c r="D3112">
        <v>54.68</v>
      </c>
      <c r="E3112">
        <v>3.8889999999999998</v>
      </c>
      <c r="F3112">
        <v>141.6269332</v>
      </c>
      <c r="G3112">
        <v>992774.4</v>
      </c>
      <c r="H3112" t="str">
        <f>TEXT(Ventas[[#This Row],[Fecha_venta]],"dd")</f>
        <v>23</v>
      </c>
      <c r="I3112" t="str">
        <f>TEXT(Ventas[[#This Row],[Fecha_venta]],"m")</f>
        <v>3</v>
      </c>
      <c r="J3112" t="str">
        <f>TEXT(Ventas[[#This Row],[Fecha_venta]],"yyyy")</f>
        <v>2012</v>
      </c>
    </row>
    <row r="3113" spans="1:10" x14ac:dyDescent="0.25">
      <c r="A3113">
        <v>22</v>
      </c>
      <c r="B3113" s="1">
        <v>40998</v>
      </c>
      <c r="C3113">
        <v>0</v>
      </c>
      <c r="D3113">
        <v>46.4</v>
      </c>
      <c r="E3113">
        <v>3.9209999999999998</v>
      </c>
      <c r="F3113">
        <v>141.6990864</v>
      </c>
      <c r="G3113">
        <v>965769.93</v>
      </c>
      <c r="H3113" t="str">
        <f>TEXT(Ventas[[#This Row],[Fecha_venta]],"dd")</f>
        <v>30</v>
      </c>
      <c r="I3113" t="str">
        <f>TEXT(Ventas[[#This Row],[Fecha_venta]],"m")</f>
        <v>3</v>
      </c>
      <c r="J3113" t="str">
        <f>TEXT(Ventas[[#This Row],[Fecha_venta]],"yyyy")</f>
        <v>2012</v>
      </c>
    </row>
    <row r="3114" spans="1:10" x14ac:dyDescent="0.25">
      <c r="A3114">
        <v>22</v>
      </c>
      <c r="B3114" s="1">
        <v>41005</v>
      </c>
      <c r="C3114">
        <v>0</v>
      </c>
      <c r="D3114">
        <v>46.38</v>
      </c>
      <c r="E3114">
        <v>3.9569999999999999</v>
      </c>
      <c r="F3114">
        <v>141.7712396</v>
      </c>
      <c r="G3114">
        <v>1197489.6599999999</v>
      </c>
      <c r="H3114" t="str">
        <f>TEXT(Ventas[[#This Row],[Fecha_venta]],"dd")</f>
        <v>06</v>
      </c>
      <c r="I3114" t="str">
        <f>TEXT(Ventas[[#This Row],[Fecha_venta]],"m")</f>
        <v>4</v>
      </c>
      <c r="J3114" t="str">
        <f>TEXT(Ventas[[#This Row],[Fecha_venta]],"yyyy")</f>
        <v>2012</v>
      </c>
    </row>
    <row r="3115" spans="1:10" x14ac:dyDescent="0.25">
      <c r="A3115">
        <v>22</v>
      </c>
      <c r="B3115" s="1">
        <v>41012</v>
      </c>
      <c r="C3115">
        <v>0</v>
      </c>
      <c r="D3115">
        <v>49.89</v>
      </c>
      <c r="E3115">
        <v>4.0250000000000004</v>
      </c>
      <c r="F3115">
        <v>141.8433929</v>
      </c>
      <c r="G3115">
        <v>939118.24</v>
      </c>
      <c r="H3115" t="str">
        <f>TEXT(Ventas[[#This Row],[Fecha_venta]],"dd")</f>
        <v>13</v>
      </c>
      <c r="I3115" t="str">
        <f>TEXT(Ventas[[#This Row],[Fecha_venta]],"m")</f>
        <v>4</v>
      </c>
      <c r="J3115" t="str">
        <f>TEXT(Ventas[[#This Row],[Fecha_venta]],"yyyy")</f>
        <v>2012</v>
      </c>
    </row>
    <row r="3116" spans="1:10" x14ac:dyDescent="0.25">
      <c r="A3116">
        <v>22</v>
      </c>
      <c r="B3116" s="1">
        <v>41019</v>
      </c>
      <c r="C3116">
        <v>0</v>
      </c>
      <c r="D3116">
        <v>58.81</v>
      </c>
      <c r="E3116">
        <v>4.0460000000000003</v>
      </c>
      <c r="F3116">
        <v>141.90152620000001</v>
      </c>
      <c r="G3116">
        <v>1000342.87</v>
      </c>
      <c r="H3116" t="str">
        <f>TEXT(Ventas[[#This Row],[Fecha_venta]],"dd")</f>
        <v>20</v>
      </c>
      <c r="I3116" t="str">
        <f>TEXT(Ventas[[#This Row],[Fecha_venta]],"m")</f>
        <v>4</v>
      </c>
      <c r="J3116" t="str">
        <f>TEXT(Ventas[[#This Row],[Fecha_venta]],"yyyy")</f>
        <v>2012</v>
      </c>
    </row>
    <row r="3117" spans="1:10" x14ac:dyDescent="0.25">
      <c r="A3117">
        <v>22</v>
      </c>
      <c r="B3117" s="1">
        <v>41026</v>
      </c>
      <c r="C3117">
        <v>0</v>
      </c>
      <c r="D3117">
        <v>51.42</v>
      </c>
      <c r="E3117">
        <v>4.0229999999999997</v>
      </c>
      <c r="F3117">
        <v>141.95965949999999</v>
      </c>
      <c r="G3117">
        <v>922539.94</v>
      </c>
      <c r="H3117" t="str">
        <f>TEXT(Ventas[[#This Row],[Fecha_venta]],"dd")</f>
        <v>27</v>
      </c>
      <c r="I3117" t="str">
        <f>TEXT(Ventas[[#This Row],[Fecha_venta]],"m")</f>
        <v>4</v>
      </c>
      <c r="J3117" t="str">
        <f>TEXT(Ventas[[#This Row],[Fecha_venta]],"yyyy")</f>
        <v>2012</v>
      </c>
    </row>
    <row r="3118" spans="1:10" x14ac:dyDescent="0.25">
      <c r="A3118">
        <v>22</v>
      </c>
      <c r="B3118" s="1">
        <v>41033</v>
      </c>
      <c r="C3118">
        <v>0</v>
      </c>
      <c r="D3118">
        <v>50.75</v>
      </c>
      <c r="E3118">
        <v>3.9910000000000001</v>
      </c>
      <c r="F3118">
        <v>142.01779289999999</v>
      </c>
      <c r="G3118">
        <v>1005083.31</v>
      </c>
      <c r="H3118" t="str">
        <f>TEXT(Ventas[[#This Row],[Fecha_venta]],"dd")</f>
        <v>04</v>
      </c>
      <c r="I3118" t="str">
        <f>TEXT(Ventas[[#This Row],[Fecha_venta]],"m")</f>
        <v>5</v>
      </c>
      <c r="J3118" t="str">
        <f>TEXT(Ventas[[#This Row],[Fecha_venta]],"yyyy")</f>
        <v>2012</v>
      </c>
    </row>
    <row r="3119" spans="1:10" x14ac:dyDescent="0.25">
      <c r="A3119">
        <v>22</v>
      </c>
      <c r="B3119" s="1">
        <v>41040</v>
      </c>
      <c r="C3119">
        <v>0</v>
      </c>
      <c r="D3119">
        <v>56.72</v>
      </c>
      <c r="E3119">
        <v>3.9470000000000001</v>
      </c>
      <c r="F3119">
        <v>142.0759262</v>
      </c>
      <c r="G3119">
        <v>997868.63</v>
      </c>
      <c r="H3119" t="str">
        <f>TEXT(Ventas[[#This Row],[Fecha_venta]],"dd")</f>
        <v>11</v>
      </c>
      <c r="I3119" t="str">
        <f>TEXT(Ventas[[#This Row],[Fecha_venta]],"m")</f>
        <v>5</v>
      </c>
      <c r="J3119" t="str">
        <f>TEXT(Ventas[[#This Row],[Fecha_venta]],"yyyy")</f>
        <v>2012</v>
      </c>
    </row>
    <row r="3120" spans="1:10" x14ac:dyDescent="0.25">
      <c r="A3120">
        <v>22</v>
      </c>
      <c r="B3120" s="1">
        <v>41047</v>
      </c>
      <c r="C3120">
        <v>0</v>
      </c>
      <c r="D3120">
        <v>61.9</v>
      </c>
      <c r="E3120">
        <v>3.899</v>
      </c>
      <c r="F3120">
        <v>142.09701150000001</v>
      </c>
      <c r="G3120">
        <v>986612.02</v>
      </c>
      <c r="H3120" t="str">
        <f>TEXT(Ventas[[#This Row],[Fecha_venta]],"dd")</f>
        <v>18</v>
      </c>
      <c r="I3120" t="str">
        <f>TEXT(Ventas[[#This Row],[Fecha_venta]],"m")</f>
        <v>5</v>
      </c>
      <c r="J3120" t="str">
        <f>TEXT(Ventas[[#This Row],[Fecha_venta]],"yyyy")</f>
        <v>2012</v>
      </c>
    </row>
    <row r="3121" spans="1:10" x14ac:dyDescent="0.25">
      <c r="A3121">
        <v>22</v>
      </c>
      <c r="B3121" s="1">
        <v>41054</v>
      </c>
      <c r="C3121">
        <v>0</v>
      </c>
      <c r="D3121">
        <v>62.39</v>
      </c>
      <c r="E3121">
        <v>3.85</v>
      </c>
      <c r="F3121">
        <v>142.10327760000001</v>
      </c>
      <c r="G3121">
        <v>1047297.38</v>
      </c>
      <c r="H3121" t="str">
        <f>TEXT(Ventas[[#This Row],[Fecha_venta]],"dd")</f>
        <v>25</v>
      </c>
      <c r="I3121" t="str">
        <f>TEXT(Ventas[[#This Row],[Fecha_venta]],"m")</f>
        <v>5</v>
      </c>
      <c r="J3121" t="str">
        <f>TEXT(Ventas[[#This Row],[Fecha_venta]],"yyyy")</f>
        <v>2012</v>
      </c>
    </row>
    <row r="3122" spans="1:10" x14ac:dyDescent="0.25">
      <c r="A3122">
        <v>22</v>
      </c>
      <c r="B3122" s="1">
        <v>41061</v>
      </c>
      <c r="C3122">
        <v>0</v>
      </c>
      <c r="D3122">
        <v>70.010000000000005</v>
      </c>
      <c r="E3122">
        <v>3.798</v>
      </c>
      <c r="F3122">
        <v>142.10954380000001</v>
      </c>
      <c r="G3122">
        <v>1102857.3700000001</v>
      </c>
      <c r="H3122" t="str">
        <f>TEXT(Ventas[[#This Row],[Fecha_venta]],"dd")</f>
        <v>01</v>
      </c>
      <c r="I3122" t="str">
        <f>TEXT(Ventas[[#This Row],[Fecha_venta]],"m")</f>
        <v>6</v>
      </c>
      <c r="J3122" t="str">
        <f>TEXT(Ventas[[#This Row],[Fecha_venta]],"yyyy")</f>
        <v>2012</v>
      </c>
    </row>
    <row r="3123" spans="1:10" x14ac:dyDescent="0.25">
      <c r="A3123">
        <v>22</v>
      </c>
      <c r="B3123" s="1">
        <v>41068</v>
      </c>
      <c r="C3123">
        <v>0</v>
      </c>
      <c r="D3123">
        <v>61.71</v>
      </c>
      <c r="E3123">
        <v>3.746</v>
      </c>
      <c r="F3123">
        <v>142.11580989999999</v>
      </c>
      <c r="G3123">
        <v>1061134.3700000001</v>
      </c>
      <c r="H3123" t="str">
        <f>TEXT(Ventas[[#This Row],[Fecha_venta]],"dd")</f>
        <v>08</v>
      </c>
      <c r="I3123" t="str">
        <f>TEXT(Ventas[[#This Row],[Fecha_venta]],"m")</f>
        <v>6</v>
      </c>
      <c r="J3123" t="str">
        <f>TEXT(Ventas[[#This Row],[Fecha_venta]],"yyyy")</f>
        <v>2012</v>
      </c>
    </row>
    <row r="3124" spans="1:10" x14ac:dyDescent="0.25">
      <c r="A3124">
        <v>22</v>
      </c>
      <c r="B3124" s="1">
        <v>41075</v>
      </c>
      <c r="C3124">
        <v>0</v>
      </c>
      <c r="D3124">
        <v>66.56</v>
      </c>
      <c r="E3124">
        <v>3.6829999999999998</v>
      </c>
      <c r="F3124">
        <v>142.12925480000001</v>
      </c>
      <c r="G3124">
        <v>1061219.19</v>
      </c>
      <c r="H3124" t="str">
        <f>TEXT(Ventas[[#This Row],[Fecha_venta]],"dd")</f>
        <v>15</v>
      </c>
      <c r="I3124" t="str">
        <f>TEXT(Ventas[[#This Row],[Fecha_venta]],"m")</f>
        <v>6</v>
      </c>
      <c r="J3124" t="str">
        <f>TEXT(Ventas[[#This Row],[Fecha_venta]],"yyyy")</f>
        <v>2012</v>
      </c>
    </row>
    <row r="3125" spans="1:10" x14ac:dyDescent="0.25">
      <c r="A3125">
        <v>22</v>
      </c>
      <c r="B3125" s="1">
        <v>41082</v>
      </c>
      <c r="C3125">
        <v>0</v>
      </c>
      <c r="D3125">
        <v>70.61</v>
      </c>
      <c r="E3125">
        <v>3.629</v>
      </c>
      <c r="F3125">
        <v>142.16064639999999</v>
      </c>
      <c r="G3125">
        <v>1112449.3</v>
      </c>
      <c r="H3125" t="str">
        <f>TEXT(Ventas[[#This Row],[Fecha_venta]],"dd")</f>
        <v>22</v>
      </c>
      <c r="I3125" t="str">
        <f>TEXT(Ventas[[#This Row],[Fecha_venta]],"m")</f>
        <v>6</v>
      </c>
      <c r="J3125" t="str">
        <f>TEXT(Ventas[[#This Row],[Fecha_venta]],"yyyy")</f>
        <v>2012</v>
      </c>
    </row>
    <row r="3126" spans="1:10" x14ac:dyDescent="0.25">
      <c r="A3126">
        <v>22</v>
      </c>
      <c r="B3126" s="1">
        <v>41089</v>
      </c>
      <c r="C3126">
        <v>0</v>
      </c>
      <c r="D3126">
        <v>70.989999999999995</v>
      </c>
      <c r="E3126">
        <v>3.577</v>
      </c>
      <c r="F3126">
        <v>142.19203809999999</v>
      </c>
      <c r="G3126">
        <v>1053881.78</v>
      </c>
      <c r="H3126" t="str">
        <f>TEXT(Ventas[[#This Row],[Fecha_venta]],"dd")</f>
        <v>29</v>
      </c>
      <c r="I3126" t="str">
        <f>TEXT(Ventas[[#This Row],[Fecha_venta]],"m")</f>
        <v>6</v>
      </c>
      <c r="J3126" t="str">
        <f>TEXT(Ventas[[#This Row],[Fecha_venta]],"yyyy")</f>
        <v>2012</v>
      </c>
    </row>
    <row r="3127" spans="1:10" x14ac:dyDescent="0.25">
      <c r="A3127">
        <v>22</v>
      </c>
      <c r="B3127" s="1">
        <v>41096</v>
      </c>
      <c r="C3127">
        <v>0</v>
      </c>
      <c r="D3127">
        <v>77.41</v>
      </c>
      <c r="E3127">
        <v>3.5379999999999998</v>
      </c>
      <c r="F3127">
        <v>142.22342979999999</v>
      </c>
      <c r="G3127">
        <v>1097786.1399999999</v>
      </c>
      <c r="H3127" t="str">
        <f>TEXT(Ventas[[#This Row],[Fecha_venta]],"dd")</f>
        <v>06</v>
      </c>
      <c r="I3127" t="str">
        <f>TEXT(Ventas[[#This Row],[Fecha_venta]],"m")</f>
        <v>7</v>
      </c>
      <c r="J3127" t="str">
        <f>TEXT(Ventas[[#This Row],[Fecha_venta]],"yyyy")</f>
        <v>2012</v>
      </c>
    </row>
    <row r="3128" spans="1:10" x14ac:dyDescent="0.25">
      <c r="A3128">
        <v>22</v>
      </c>
      <c r="B3128" s="1">
        <v>41103</v>
      </c>
      <c r="C3128">
        <v>0</v>
      </c>
      <c r="D3128">
        <v>75.81</v>
      </c>
      <c r="E3128">
        <v>3.5609999999999999</v>
      </c>
      <c r="F3128">
        <v>142.2548214</v>
      </c>
      <c r="G3128">
        <v>971361.38</v>
      </c>
      <c r="H3128" t="str">
        <f>TEXT(Ventas[[#This Row],[Fecha_venta]],"dd")</f>
        <v>13</v>
      </c>
      <c r="I3128" t="str">
        <f>TEXT(Ventas[[#This Row],[Fecha_venta]],"m")</f>
        <v>7</v>
      </c>
      <c r="J3128" t="str">
        <f>TEXT(Ventas[[#This Row],[Fecha_venta]],"yyyy")</f>
        <v>2012</v>
      </c>
    </row>
    <row r="3129" spans="1:10" x14ac:dyDescent="0.25">
      <c r="A3129">
        <v>22</v>
      </c>
      <c r="B3129" s="1">
        <v>41110</v>
      </c>
      <c r="C3129">
        <v>0</v>
      </c>
      <c r="D3129">
        <v>76.569999999999993</v>
      </c>
      <c r="E3129">
        <v>3.61</v>
      </c>
      <c r="F3129">
        <v>142.2337569</v>
      </c>
      <c r="G3129">
        <v>991969.37</v>
      </c>
      <c r="H3129" t="str">
        <f>TEXT(Ventas[[#This Row],[Fecha_venta]],"dd")</f>
        <v>20</v>
      </c>
      <c r="I3129" t="str">
        <f>TEXT(Ventas[[#This Row],[Fecha_venta]],"m")</f>
        <v>7</v>
      </c>
      <c r="J3129" t="str">
        <f>TEXT(Ventas[[#This Row],[Fecha_venta]],"yyyy")</f>
        <v>2012</v>
      </c>
    </row>
    <row r="3130" spans="1:10" x14ac:dyDescent="0.25">
      <c r="A3130">
        <v>22</v>
      </c>
      <c r="B3130" s="1">
        <v>41117</v>
      </c>
      <c r="C3130">
        <v>0</v>
      </c>
      <c r="D3130">
        <v>73.52</v>
      </c>
      <c r="E3130">
        <v>3.7010000000000001</v>
      </c>
      <c r="F3130">
        <v>142.21269240000001</v>
      </c>
      <c r="G3130">
        <v>925731.21</v>
      </c>
      <c r="H3130" t="str">
        <f>TEXT(Ventas[[#This Row],[Fecha_venta]],"dd")</f>
        <v>27</v>
      </c>
      <c r="I3130" t="str">
        <f>TEXT(Ventas[[#This Row],[Fecha_venta]],"m")</f>
        <v>7</v>
      </c>
      <c r="J3130" t="str">
        <f>TEXT(Ventas[[#This Row],[Fecha_venta]],"yyyy")</f>
        <v>2012</v>
      </c>
    </row>
    <row r="3131" spans="1:10" x14ac:dyDescent="0.25">
      <c r="A3131">
        <v>22</v>
      </c>
      <c r="B3131" s="1">
        <v>41124</v>
      </c>
      <c r="C3131">
        <v>0</v>
      </c>
      <c r="D3131">
        <v>72.989999999999995</v>
      </c>
      <c r="E3131">
        <v>3.698</v>
      </c>
      <c r="F3131">
        <v>142.19162789999999</v>
      </c>
      <c r="G3131">
        <v>1007257.83</v>
      </c>
      <c r="H3131" t="str">
        <f>TEXT(Ventas[[#This Row],[Fecha_venta]],"dd")</f>
        <v>03</v>
      </c>
      <c r="I3131" t="str">
        <f>TEXT(Ventas[[#This Row],[Fecha_venta]],"m")</f>
        <v>8</v>
      </c>
      <c r="J3131" t="str">
        <f>TEXT(Ventas[[#This Row],[Fecha_venta]],"yyyy")</f>
        <v>2012</v>
      </c>
    </row>
    <row r="3132" spans="1:10" x14ac:dyDescent="0.25">
      <c r="A3132">
        <v>22</v>
      </c>
      <c r="B3132" s="1">
        <v>41131</v>
      </c>
      <c r="C3132">
        <v>0</v>
      </c>
      <c r="D3132">
        <v>76.739999999999995</v>
      </c>
      <c r="E3132">
        <v>3.7719999999999998</v>
      </c>
      <c r="F3132">
        <v>142.17056339999999</v>
      </c>
      <c r="G3132">
        <v>973812.79</v>
      </c>
      <c r="H3132" t="str">
        <f>TEXT(Ventas[[#This Row],[Fecha_venta]],"dd")</f>
        <v>10</v>
      </c>
      <c r="I3132" t="str">
        <f>TEXT(Ventas[[#This Row],[Fecha_venta]],"m")</f>
        <v>8</v>
      </c>
      <c r="J3132" t="str">
        <f>TEXT(Ventas[[#This Row],[Fecha_venta]],"yyyy")</f>
        <v>2012</v>
      </c>
    </row>
    <row r="3133" spans="1:10" x14ac:dyDescent="0.25">
      <c r="A3133">
        <v>22</v>
      </c>
      <c r="B3133" s="1">
        <v>41138</v>
      </c>
      <c r="C3133">
        <v>0</v>
      </c>
      <c r="D3133">
        <v>74.92</v>
      </c>
      <c r="E3133">
        <v>3.84</v>
      </c>
      <c r="F3133">
        <v>142.21573849999999</v>
      </c>
      <c r="G3133">
        <v>981273.26</v>
      </c>
      <c r="H3133" t="str">
        <f>TEXT(Ventas[[#This Row],[Fecha_venta]],"dd")</f>
        <v>17</v>
      </c>
      <c r="I3133" t="str">
        <f>TEXT(Ventas[[#This Row],[Fecha_venta]],"m")</f>
        <v>8</v>
      </c>
      <c r="J3133" t="str">
        <f>TEXT(Ventas[[#This Row],[Fecha_venta]],"yyyy")</f>
        <v>2012</v>
      </c>
    </row>
    <row r="3134" spans="1:10" x14ac:dyDescent="0.25">
      <c r="A3134">
        <v>22</v>
      </c>
      <c r="B3134" s="1">
        <v>41145</v>
      </c>
      <c r="C3134">
        <v>0</v>
      </c>
      <c r="D3134">
        <v>70.42</v>
      </c>
      <c r="E3134">
        <v>3.8740000000000001</v>
      </c>
      <c r="F3134">
        <v>142.31059329999999</v>
      </c>
      <c r="G3134">
        <v>1060906.75</v>
      </c>
      <c r="H3134" t="str">
        <f>TEXT(Ventas[[#This Row],[Fecha_venta]],"dd")</f>
        <v>24</v>
      </c>
      <c r="I3134" t="str">
        <f>TEXT(Ventas[[#This Row],[Fecha_venta]],"m")</f>
        <v>8</v>
      </c>
      <c r="J3134" t="str">
        <f>TEXT(Ventas[[#This Row],[Fecha_venta]],"yyyy")</f>
        <v>2012</v>
      </c>
    </row>
    <row r="3135" spans="1:10" x14ac:dyDescent="0.25">
      <c r="A3135">
        <v>22</v>
      </c>
      <c r="B3135" s="1">
        <v>41152</v>
      </c>
      <c r="C3135">
        <v>0</v>
      </c>
      <c r="D3135">
        <v>71.930000000000007</v>
      </c>
      <c r="E3135">
        <v>3.8839999999999999</v>
      </c>
      <c r="F3135">
        <v>142.4054482</v>
      </c>
      <c r="G3135">
        <v>1022270.86</v>
      </c>
      <c r="H3135" t="str">
        <f>TEXT(Ventas[[#This Row],[Fecha_venta]],"dd")</f>
        <v>31</v>
      </c>
      <c r="I3135" t="str">
        <f>TEXT(Ventas[[#This Row],[Fecha_venta]],"m")</f>
        <v>8</v>
      </c>
      <c r="J3135" t="str">
        <f>TEXT(Ventas[[#This Row],[Fecha_venta]],"yyyy")</f>
        <v>2012</v>
      </c>
    </row>
    <row r="3136" spans="1:10" x14ac:dyDescent="0.25">
      <c r="A3136">
        <v>22</v>
      </c>
      <c r="B3136" s="1">
        <v>41159</v>
      </c>
      <c r="C3136">
        <v>1</v>
      </c>
      <c r="D3136">
        <v>73.3</v>
      </c>
      <c r="E3136">
        <v>3.9209999999999998</v>
      </c>
      <c r="F3136">
        <v>142.500303</v>
      </c>
      <c r="G3136">
        <v>996628.8</v>
      </c>
      <c r="H3136" t="str">
        <f>TEXT(Ventas[[#This Row],[Fecha_venta]],"dd")</f>
        <v>07</v>
      </c>
      <c r="I3136" t="str">
        <f>TEXT(Ventas[[#This Row],[Fecha_venta]],"m")</f>
        <v>9</v>
      </c>
      <c r="J3136" t="str">
        <f>TEXT(Ventas[[#This Row],[Fecha_venta]],"yyyy")</f>
        <v>2012</v>
      </c>
    </row>
    <row r="3137" spans="1:10" x14ac:dyDescent="0.25">
      <c r="A3137">
        <v>22</v>
      </c>
      <c r="B3137" s="1">
        <v>41166</v>
      </c>
      <c r="C3137">
        <v>0</v>
      </c>
      <c r="D3137">
        <v>66.42</v>
      </c>
      <c r="E3137">
        <v>3.988</v>
      </c>
      <c r="F3137">
        <v>142.59388329999999</v>
      </c>
      <c r="G3137">
        <v>918049.28000000003</v>
      </c>
      <c r="H3137" t="str">
        <f>TEXT(Ventas[[#This Row],[Fecha_venta]],"dd")</f>
        <v>14</v>
      </c>
      <c r="I3137" t="str">
        <f>TEXT(Ventas[[#This Row],[Fecha_venta]],"m")</f>
        <v>9</v>
      </c>
      <c r="J3137" t="str">
        <f>TEXT(Ventas[[#This Row],[Fecha_venta]],"yyyy")</f>
        <v>2012</v>
      </c>
    </row>
    <row r="3138" spans="1:10" x14ac:dyDescent="0.25">
      <c r="A3138">
        <v>22</v>
      </c>
      <c r="B3138" s="1">
        <v>41173</v>
      </c>
      <c r="C3138">
        <v>0</v>
      </c>
      <c r="D3138">
        <v>63.38</v>
      </c>
      <c r="E3138">
        <v>4.056</v>
      </c>
      <c r="F3138">
        <v>142.6798167</v>
      </c>
      <c r="G3138">
        <v>921612.53</v>
      </c>
      <c r="H3138" t="str">
        <f>TEXT(Ventas[[#This Row],[Fecha_venta]],"dd")</f>
        <v>21</v>
      </c>
      <c r="I3138" t="str">
        <f>TEXT(Ventas[[#This Row],[Fecha_venta]],"m")</f>
        <v>9</v>
      </c>
      <c r="J3138" t="str">
        <f>TEXT(Ventas[[#This Row],[Fecha_venta]],"yyyy")</f>
        <v>2012</v>
      </c>
    </row>
    <row r="3139" spans="1:10" x14ac:dyDescent="0.25">
      <c r="A3139">
        <v>22</v>
      </c>
      <c r="B3139" s="1">
        <v>41180</v>
      </c>
      <c r="C3139">
        <v>0</v>
      </c>
      <c r="D3139">
        <v>62.17</v>
      </c>
      <c r="E3139">
        <v>4.0179999999999998</v>
      </c>
      <c r="F3139">
        <v>142.76575</v>
      </c>
      <c r="G3139">
        <v>976479.51</v>
      </c>
      <c r="H3139" t="str">
        <f>TEXT(Ventas[[#This Row],[Fecha_venta]],"dd")</f>
        <v>28</v>
      </c>
      <c r="I3139" t="str">
        <f>TEXT(Ventas[[#This Row],[Fecha_venta]],"m")</f>
        <v>9</v>
      </c>
      <c r="J3139" t="str">
        <f>TEXT(Ventas[[#This Row],[Fecha_venta]],"yyyy")</f>
        <v>2012</v>
      </c>
    </row>
    <row r="3140" spans="1:10" x14ac:dyDescent="0.25">
      <c r="A3140">
        <v>22</v>
      </c>
      <c r="B3140" s="1">
        <v>41187</v>
      </c>
      <c r="C3140">
        <v>0</v>
      </c>
      <c r="D3140">
        <v>62.09</v>
      </c>
      <c r="E3140">
        <v>4.0270000000000001</v>
      </c>
      <c r="F3140">
        <v>142.85168329999999</v>
      </c>
      <c r="G3140">
        <v>1009887.36</v>
      </c>
      <c r="H3140" t="str">
        <f>TEXT(Ventas[[#This Row],[Fecha_venta]],"dd")</f>
        <v>05</v>
      </c>
      <c r="I3140" t="str">
        <f>TEXT(Ventas[[#This Row],[Fecha_venta]],"m")</f>
        <v>10</v>
      </c>
      <c r="J3140" t="str">
        <f>TEXT(Ventas[[#This Row],[Fecha_venta]],"yyyy")</f>
        <v>2012</v>
      </c>
    </row>
    <row r="3141" spans="1:10" x14ac:dyDescent="0.25">
      <c r="A3141">
        <v>22</v>
      </c>
      <c r="B3141" s="1">
        <v>41194</v>
      </c>
      <c r="C3141">
        <v>0</v>
      </c>
      <c r="D3141">
        <v>54.18</v>
      </c>
      <c r="E3141">
        <v>4.0289999999999999</v>
      </c>
      <c r="F3141">
        <v>142.93761670000001</v>
      </c>
      <c r="G3141">
        <v>1004039.84</v>
      </c>
      <c r="H3141" t="str">
        <f>TEXT(Ventas[[#This Row],[Fecha_venta]],"dd")</f>
        <v>12</v>
      </c>
      <c r="I3141" t="str">
        <f>TEXT(Ventas[[#This Row],[Fecha_venta]],"m")</f>
        <v>10</v>
      </c>
      <c r="J3141" t="str">
        <f>TEXT(Ventas[[#This Row],[Fecha_venta]],"yyyy")</f>
        <v>2012</v>
      </c>
    </row>
    <row r="3142" spans="1:10" x14ac:dyDescent="0.25">
      <c r="A3142">
        <v>22</v>
      </c>
      <c r="B3142" s="1">
        <v>41201</v>
      </c>
      <c r="C3142">
        <v>0</v>
      </c>
      <c r="D3142">
        <v>55.28</v>
      </c>
      <c r="E3142">
        <v>4</v>
      </c>
      <c r="F3142">
        <v>142.8633629</v>
      </c>
      <c r="G3142">
        <v>978027.95</v>
      </c>
      <c r="H3142" t="str">
        <f>TEXT(Ventas[[#This Row],[Fecha_venta]],"dd")</f>
        <v>19</v>
      </c>
      <c r="I3142" t="str">
        <f>TEXT(Ventas[[#This Row],[Fecha_venta]],"m")</f>
        <v>10</v>
      </c>
      <c r="J3142" t="str">
        <f>TEXT(Ventas[[#This Row],[Fecha_venta]],"yyyy")</f>
        <v>2012</v>
      </c>
    </row>
    <row r="3143" spans="1:10" x14ac:dyDescent="0.25">
      <c r="A3143">
        <v>22</v>
      </c>
      <c r="B3143" s="1">
        <v>41208</v>
      </c>
      <c r="C3143">
        <v>0</v>
      </c>
      <c r="D3143">
        <v>57.58</v>
      </c>
      <c r="E3143">
        <v>3.9169999999999998</v>
      </c>
      <c r="F3143">
        <v>142.7624113</v>
      </c>
      <c r="G3143">
        <v>1094422.69</v>
      </c>
      <c r="H3143" t="str">
        <f>TEXT(Ventas[[#This Row],[Fecha_venta]],"dd")</f>
        <v>26</v>
      </c>
      <c r="I3143" t="str">
        <f>TEXT(Ventas[[#This Row],[Fecha_venta]],"m")</f>
        <v>10</v>
      </c>
      <c r="J3143" t="str">
        <f>TEXT(Ventas[[#This Row],[Fecha_venta]],"yyyy")</f>
        <v>2012</v>
      </c>
    </row>
    <row r="3144" spans="1:10" x14ac:dyDescent="0.25">
      <c r="A3144">
        <v>23</v>
      </c>
      <c r="B3144" s="1">
        <v>40214</v>
      </c>
      <c r="C3144">
        <v>0</v>
      </c>
      <c r="D3144">
        <v>15.25</v>
      </c>
      <c r="E3144">
        <v>2.7879999999999998</v>
      </c>
      <c r="F3144">
        <v>131.5279032</v>
      </c>
      <c r="G3144">
        <v>1364721.58</v>
      </c>
      <c r="H3144" t="str">
        <f>TEXT(Ventas[[#This Row],[Fecha_venta]],"dd")</f>
        <v>05</v>
      </c>
      <c r="I3144" t="str">
        <f>TEXT(Ventas[[#This Row],[Fecha_venta]],"m")</f>
        <v>2</v>
      </c>
      <c r="J3144" t="str">
        <f>TEXT(Ventas[[#This Row],[Fecha_venta]],"yyyy")</f>
        <v>2010</v>
      </c>
    </row>
    <row r="3145" spans="1:10" x14ac:dyDescent="0.25">
      <c r="A3145">
        <v>23</v>
      </c>
      <c r="B3145" s="1">
        <v>40221</v>
      </c>
      <c r="C3145">
        <v>1</v>
      </c>
      <c r="D3145">
        <v>18.75</v>
      </c>
      <c r="E3145">
        <v>2.7709999999999999</v>
      </c>
      <c r="F3145">
        <v>131.58661290000001</v>
      </c>
      <c r="G3145">
        <v>1380892.08</v>
      </c>
      <c r="H3145" t="str">
        <f>TEXT(Ventas[[#This Row],[Fecha_venta]],"dd")</f>
        <v>12</v>
      </c>
      <c r="I3145" t="str">
        <f>TEXT(Ventas[[#This Row],[Fecha_venta]],"m")</f>
        <v>2</v>
      </c>
      <c r="J3145" t="str">
        <f>TEXT(Ventas[[#This Row],[Fecha_venta]],"yyyy")</f>
        <v>2010</v>
      </c>
    </row>
    <row r="3146" spans="1:10" x14ac:dyDescent="0.25">
      <c r="A3146">
        <v>23</v>
      </c>
      <c r="B3146" s="1">
        <v>40228</v>
      </c>
      <c r="C3146">
        <v>0</v>
      </c>
      <c r="D3146">
        <v>26.7</v>
      </c>
      <c r="E3146">
        <v>2.7469999999999999</v>
      </c>
      <c r="F3146">
        <v>131.637</v>
      </c>
      <c r="G3146">
        <v>1319588.04</v>
      </c>
      <c r="H3146" t="str">
        <f>TEXT(Ventas[[#This Row],[Fecha_venta]],"dd")</f>
        <v>19</v>
      </c>
      <c r="I3146" t="str">
        <f>TEXT(Ventas[[#This Row],[Fecha_venta]],"m")</f>
        <v>2</v>
      </c>
      <c r="J3146" t="str">
        <f>TEXT(Ventas[[#This Row],[Fecha_venta]],"yyyy")</f>
        <v>2010</v>
      </c>
    </row>
    <row r="3147" spans="1:10" x14ac:dyDescent="0.25">
      <c r="A3147">
        <v>23</v>
      </c>
      <c r="B3147" s="1">
        <v>40235</v>
      </c>
      <c r="C3147">
        <v>0</v>
      </c>
      <c r="D3147">
        <v>32.68</v>
      </c>
      <c r="E3147">
        <v>2.7530000000000001</v>
      </c>
      <c r="F3147">
        <v>131.68600000000001</v>
      </c>
      <c r="G3147">
        <v>1198709.6499999999</v>
      </c>
      <c r="H3147" t="str">
        <f>TEXT(Ventas[[#This Row],[Fecha_venta]],"dd")</f>
        <v>26</v>
      </c>
      <c r="I3147" t="str">
        <f>TEXT(Ventas[[#This Row],[Fecha_venta]],"m")</f>
        <v>2</v>
      </c>
      <c r="J3147" t="str">
        <f>TEXT(Ventas[[#This Row],[Fecha_venta]],"yyyy")</f>
        <v>2010</v>
      </c>
    </row>
    <row r="3148" spans="1:10" x14ac:dyDescent="0.25">
      <c r="A3148">
        <v>23</v>
      </c>
      <c r="B3148" s="1">
        <v>40242</v>
      </c>
      <c r="C3148">
        <v>0</v>
      </c>
      <c r="D3148">
        <v>33.15</v>
      </c>
      <c r="E3148">
        <v>2.766</v>
      </c>
      <c r="F3148">
        <v>131.73500000000001</v>
      </c>
      <c r="G3148">
        <v>1311175.93</v>
      </c>
      <c r="H3148" t="str">
        <f>TEXT(Ventas[[#This Row],[Fecha_venta]],"dd")</f>
        <v>05</v>
      </c>
      <c r="I3148" t="str">
        <f>TEXT(Ventas[[#This Row],[Fecha_venta]],"m")</f>
        <v>3</v>
      </c>
      <c r="J3148" t="str">
        <f>TEXT(Ventas[[#This Row],[Fecha_venta]],"yyyy")</f>
        <v>2010</v>
      </c>
    </row>
    <row r="3149" spans="1:10" x14ac:dyDescent="0.25">
      <c r="A3149">
        <v>23</v>
      </c>
      <c r="B3149" s="1">
        <v>40249</v>
      </c>
      <c r="C3149">
        <v>0</v>
      </c>
      <c r="D3149">
        <v>36.07</v>
      </c>
      <c r="E3149">
        <v>2.8050000000000002</v>
      </c>
      <c r="F3149">
        <v>131.78399999999999</v>
      </c>
      <c r="G3149">
        <v>1408082.96</v>
      </c>
      <c r="H3149" t="str">
        <f>TEXT(Ventas[[#This Row],[Fecha_venta]],"dd")</f>
        <v>12</v>
      </c>
      <c r="I3149" t="str">
        <f>TEXT(Ventas[[#This Row],[Fecha_venta]],"m")</f>
        <v>3</v>
      </c>
      <c r="J3149" t="str">
        <f>TEXT(Ventas[[#This Row],[Fecha_venta]],"yyyy")</f>
        <v>2010</v>
      </c>
    </row>
    <row r="3150" spans="1:10" x14ac:dyDescent="0.25">
      <c r="A3150">
        <v>23</v>
      </c>
      <c r="B3150" s="1">
        <v>40256</v>
      </c>
      <c r="C3150">
        <v>0</v>
      </c>
      <c r="D3150">
        <v>43.01</v>
      </c>
      <c r="E3150">
        <v>2.8340000000000001</v>
      </c>
      <c r="F3150">
        <v>131.8242903</v>
      </c>
      <c r="G3150">
        <v>1229008.32</v>
      </c>
      <c r="H3150" t="str">
        <f>TEXT(Ventas[[#This Row],[Fecha_venta]],"dd")</f>
        <v>19</v>
      </c>
      <c r="I3150" t="str">
        <f>TEXT(Ventas[[#This Row],[Fecha_venta]],"m")</f>
        <v>3</v>
      </c>
      <c r="J3150" t="str">
        <f>TEXT(Ventas[[#This Row],[Fecha_venta]],"yyyy")</f>
        <v>2010</v>
      </c>
    </row>
    <row r="3151" spans="1:10" x14ac:dyDescent="0.25">
      <c r="A3151">
        <v>23</v>
      </c>
      <c r="B3151" s="1">
        <v>40263</v>
      </c>
      <c r="C3151">
        <v>0</v>
      </c>
      <c r="D3151">
        <v>38.590000000000003</v>
      </c>
      <c r="E3151">
        <v>2.831</v>
      </c>
      <c r="F3151">
        <v>131.86312899999999</v>
      </c>
      <c r="G3151">
        <v>1310701.8</v>
      </c>
      <c r="H3151" t="str">
        <f>TEXT(Ventas[[#This Row],[Fecha_venta]],"dd")</f>
        <v>26</v>
      </c>
      <c r="I3151" t="str">
        <f>TEXT(Ventas[[#This Row],[Fecha_venta]],"m")</f>
        <v>3</v>
      </c>
      <c r="J3151" t="str">
        <f>TEXT(Ventas[[#This Row],[Fecha_venta]],"yyyy")</f>
        <v>2010</v>
      </c>
    </row>
    <row r="3152" spans="1:10" x14ac:dyDescent="0.25">
      <c r="A3152">
        <v>23</v>
      </c>
      <c r="B3152" s="1">
        <v>40270</v>
      </c>
      <c r="C3152">
        <v>0</v>
      </c>
      <c r="D3152">
        <v>40.5</v>
      </c>
      <c r="E3152">
        <v>2.8260000000000001</v>
      </c>
      <c r="F3152">
        <v>131.9019677</v>
      </c>
      <c r="G3152">
        <v>1556627.62</v>
      </c>
      <c r="H3152" t="str">
        <f>TEXT(Ventas[[#This Row],[Fecha_venta]],"dd")</f>
        <v>02</v>
      </c>
      <c r="I3152" t="str">
        <f>TEXT(Ventas[[#This Row],[Fecha_venta]],"m")</f>
        <v>4</v>
      </c>
      <c r="J3152" t="str">
        <f>TEXT(Ventas[[#This Row],[Fecha_venta]],"yyyy")</f>
        <v>2010</v>
      </c>
    </row>
    <row r="3153" spans="1:10" x14ac:dyDescent="0.25">
      <c r="A3153">
        <v>23</v>
      </c>
      <c r="B3153" s="1">
        <v>40277</v>
      </c>
      <c r="C3153">
        <v>0</v>
      </c>
      <c r="D3153">
        <v>56.82</v>
      </c>
      <c r="E3153">
        <v>2.8490000000000002</v>
      </c>
      <c r="F3153">
        <v>131.94080650000001</v>
      </c>
      <c r="G3153">
        <v>1264434.7</v>
      </c>
      <c r="H3153" t="str">
        <f>TEXT(Ventas[[#This Row],[Fecha_venta]],"dd")</f>
        <v>09</v>
      </c>
      <c r="I3153" t="str">
        <f>TEXT(Ventas[[#This Row],[Fecha_venta]],"m")</f>
        <v>4</v>
      </c>
      <c r="J3153" t="str">
        <f>TEXT(Ventas[[#This Row],[Fecha_venta]],"yyyy")</f>
        <v>2010</v>
      </c>
    </row>
    <row r="3154" spans="1:10" x14ac:dyDescent="0.25">
      <c r="A3154">
        <v>23</v>
      </c>
      <c r="B3154" s="1">
        <v>40284</v>
      </c>
      <c r="C3154">
        <v>0</v>
      </c>
      <c r="D3154">
        <v>44.25</v>
      </c>
      <c r="E3154">
        <v>2.8849999999999998</v>
      </c>
      <c r="F3154">
        <v>131.98089999999999</v>
      </c>
      <c r="G3154">
        <v>1288823.72</v>
      </c>
      <c r="H3154" t="str">
        <f>TEXT(Ventas[[#This Row],[Fecha_venta]],"dd")</f>
        <v>16</v>
      </c>
      <c r="I3154" t="str">
        <f>TEXT(Ventas[[#This Row],[Fecha_venta]],"m")</f>
        <v>4</v>
      </c>
      <c r="J3154" t="str">
        <f>TEXT(Ventas[[#This Row],[Fecha_venta]],"yyyy")</f>
        <v>2010</v>
      </c>
    </row>
    <row r="3155" spans="1:10" x14ac:dyDescent="0.25">
      <c r="A3155">
        <v>23</v>
      </c>
      <c r="B3155" s="1">
        <v>40291</v>
      </c>
      <c r="C3155">
        <v>0</v>
      </c>
      <c r="D3155">
        <v>46.4</v>
      </c>
      <c r="E3155">
        <v>2.895</v>
      </c>
      <c r="F3155">
        <v>132.0226667</v>
      </c>
      <c r="G3155">
        <v>1315023.08</v>
      </c>
      <c r="H3155" t="str">
        <f>TEXT(Ventas[[#This Row],[Fecha_venta]],"dd")</f>
        <v>23</v>
      </c>
      <c r="I3155" t="str">
        <f>TEXT(Ventas[[#This Row],[Fecha_venta]],"m")</f>
        <v>4</v>
      </c>
      <c r="J3155" t="str">
        <f>TEXT(Ventas[[#This Row],[Fecha_venta]],"yyyy")</f>
        <v>2010</v>
      </c>
    </row>
    <row r="3156" spans="1:10" x14ac:dyDescent="0.25">
      <c r="A3156">
        <v>23</v>
      </c>
      <c r="B3156" s="1">
        <v>40298</v>
      </c>
      <c r="C3156">
        <v>0</v>
      </c>
      <c r="D3156">
        <v>45.47</v>
      </c>
      <c r="E3156">
        <v>2.9350000000000001</v>
      </c>
      <c r="F3156">
        <v>132.06443329999999</v>
      </c>
      <c r="G3156">
        <v>1259414.52</v>
      </c>
      <c r="H3156" t="str">
        <f>TEXT(Ventas[[#This Row],[Fecha_venta]],"dd")</f>
        <v>30</v>
      </c>
      <c r="I3156" t="str">
        <f>TEXT(Ventas[[#This Row],[Fecha_venta]],"m")</f>
        <v>4</v>
      </c>
      <c r="J3156" t="str">
        <f>TEXT(Ventas[[#This Row],[Fecha_venta]],"yyyy")</f>
        <v>2010</v>
      </c>
    </row>
    <row r="3157" spans="1:10" x14ac:dyDescent="0.25">
      <c r="A3157">
        <v>23</v>
      </c>
      <c r="B3157" s="1">
        <v>40305</v>
      </c>
      <c r="C3157">
        <v>0</v>
      </c>
      <c r="D3157">
        <v>61.04</v>
      </c>
      <c r="E3157">
        <v>2.9809999999999999</v>
      </c>
      <c r="F3157">
        <v>132.1062</v>
      </c>
      <c r="G3157">
        <v>1365552.28</v>
      </c>
      <c r="H3157" t="str">
        <f>TEXT(Ventas[[#This Row],[Fecha_venta]],"dd")</f>
        <v>07</v>
      </c>
      <c r="I3157" t="str">
        <f>TEXT(Ventas[[#This Row],[Fecha_venta]],"m")</f>
        <v>5</v>
      </c>
      <c r="J3157" t="str">
        <f>TEXT(Ventas[[#This Row],[Fecha_venta]],"yyyy")</f>
        <v>2010</v>
      </c>
    </row>
    <row r="3158" spans="1:10" x14ac:dyDescent="0.25">
      <c r="A3158">
        <v>23</v>
      </c>
      <c r="B3158" s="1">
        <v>40312</v>
      </c>
      <c r="C3158">
        <v>0</v>
      </c>
      <c r="D3158">
        <v>45.33</v>
      </c>
      <c r="E3158">
        <v>2.9830000000000001</v>
      </c>
      <c r="F3158">
        <v>132.152129</v>
      </c>
      <c r="G3158">
        <v>1303055.0900000001</v>
      </c>
      <c r="H3158" t="str">
        <f>TEXT(Ventas[[#This Row],[Fecha_venta]],"dd")</f>
        <v>14</v>
      </c>
      <c r="I3158" t="str">
        <f>TEXT(Ventas[[#This Row],[Fecha_venta]],"m")</f>
        <v>5</v>
      </c>
      <c r="J3158" t="str">
        <f>TEXT(Ventas[[#This Row],[Fecha_venta]],"yyyy")</f>
        <v>2010</v>
      </c>
    </row>
    <row r="3159" spans="1:10" x14ac:dyDescent="0.25">
      <c r="A3159">
        <v>23</v>
      </c>
      <c r="B3159" s="1">
        <v>40319</v>
      </c>
      <c r="C3159">
        <v>0</v>
      </c>
      <c r="D3159">
        <v>57.94</v>
      </c>
      <c r="E3159">
        <v>2.9609999999999999</v>
      </c>
      <c r="F3159">
        <v>132.2230323</v>
      </c>
      <c r="G3159">
        <v>1327424.28</v>
      </c>
      <c r="H3159" t="str">
        <f>TEXT(Ventas[[#This Row],[Fecha_venta]],"dd")</f>
        <v>21</v>
      </c>
      <c r="I3159" t="str">
        <f>TEXT(Ventas[[#This Row],[Fecha_venta]],"m")</f>
        <v>5</v>
      </c>
      <c r="J3159" t="str">
        <f>TEXT(Ventas[[#This Row],[Fecha_venta]],"yyyy")</f>
        <v>2010</v>
      </c>
    </row>
    <row r="3160" spans="1:10" x14ac:dyDescent="0.25">
      <c r="A3160">
        <v>23</v>
      </c>
      <c r="B3160" s="1">
        <v>40326</v>
      </c>
      <c r="C3160">
        <v>0</v>
      </c>
      <c r="D3160">
        <v>69.260000000000005</v>
      </c>
      <c r="E3160">
        <v>2.9060000000000001</v>
      </c>
      <c r="F3160">
        <v>132.2939355</v>
      </c>
      <c r="G3160">
        <v>1571158.56</v>
      </c>
      <c r="H3160" t="str">
        <f>TEXT(Ventas[[#This Row],[Fecha_venta]],"dd")</f>
        <v>28</v>
      </c>
      <c r="I3160" t="str">
        <f>TEXT(Ventas[[#This Row],[Fecha_venta]],"m")</f>
        <v>5</v>
      </c>
      <c r="J3160" t="str">
        <f>TEXT(Ventas[[#This Row],[Fecha_venta]],"yyyy")</f>
        <v>2010</v>
      </c>
    </row>
    <row r="3161" spans="1:10" x14ac:dyDescent="0.25">
      <c r="A3161">
        <v>23</v>
      </c>
      <c r="B3161" s="1">
        <v>40333</v>
      </c>
      <c r="C3161">
        <v>0</v>
      </c>
      <c r="D3161">
        <v>64.94</v>
      </c>
      <c r="E3161">
        <v>2.8570000000000002</v>
      </c>
      <c r="F3161">
        <v>132.36483870000001</v>
      </c>
      <c r="G3161">
        <v>1514435.51</v>
      </c>
      <c r="H3161" t="str">
        <f>TEXT(Ventas[[#This Row],[Fecha_venta]],"dd")</f>
        <v>04</v>
      </c>
      <c r="I3161" t="str">
        <f>TEXT(Ventas[[#This Row],[Fecha_venta]],"m")</f>
        <v>6</v>
      </c>
      <c r="J3161" t="str">
        <f>TEXT(Ventas[[#This Row],[Fecha_venta]],"yyyy")</f>
        <v>2010</v>
      </c>
    </row>
    <row r="3162" spans="1:10" x14ac:dyDescent="0.25">
      <c r="A3162">
        <v>23</v>
      </c>
      <c r="B3162" s="1">
        <v>40340</v>
      </c>
      <c r="C3162">
        <v>0</v>
      </c>
      <c r="D3162">
        <v>58.35</v>
      </c>
      <c r="E3162">
        <v>2.83</v>
      </c>
      <c r="F3162">
        <v>132.43574190000001</v>
      </c>
      <c r="G3162">
        <v>1439432.06</v>
      </c>
      <c r="H3162" t="str">
        <f>TEXT(Ventas[[#This Row],[Fecha_venta]],"dd")</f>
        <v>11</v>
      </c>
      <c r="I3162" t="str">
        <f>TEXT(Ventas[[#This Row],[Fecha_venta]],"m")</f>
        <v>6</v>
      </c>
      <c r="J3162" t="str">
        <f>TEXT(Ventas[[#This Row],[Fecha_venta]],"yyyy")</f>
        <v>2010</v>
      </c>
    </row>
    <row r="3163" spans="1:10" x14ac:dyDescent="0.25">
      <c r="A3163">
        <v>23</v>
      </c>
      <c r="B3163" s="1">
        <v>40347</v>
      </c>
      <c r="C3163">
        <v>0</v>
      </c>
      <c r="D3163">
        <v>60.29</v>
      </c>
      <c r="E3163">
        <v>2.8050000000000002</v>
      </c>
      <c r="F3163">
        <v>132.47333330000001</v>
      </c>
      <c r="G3163">
        <v>1507708.93</v>
      </c>
      <c r="H3163" t="str">
        <f>TEXT(Ventas[[#This Row],[Fecha_venta]],"dd")</f>
        <v>18</v>
      </c>
      <c r="I3163" t="str">
        <f>TEXT(Ventas[[#This Row],[Fecha_venta]],"m")</f>
        <v>6</v>
      </c>
      <c r="J3163" t="str">
        <f>TEXT(Ventas[[#This Row],[Fecha_venta]],"yyyy")</f>
        <v>2010</v>
      </c>
    </row>
    <row r="3164" spans="1:10" x14ac:dyDescent="0.25">
      <c r="A3164">
        <v>23</v>
      </c>
      <c r="B3164" s="1">
        <v>40354</v>
      </c>
      <c r="C3164">
        <v>0</v>
      </c>
      <c r="D3164">
        <v>69.83</v>
      </c>
      <c r="E3164">
        <v>2.81</v>
      </c>
      <c r="F3164">
        <v>132.49760000000001</v>
      </c>
      <c r="G3164">
        <v>1415204.88</v>
      </c>
      <c r="H3164" t="str">
        <f>TEXT(Ventas[[#This Row],[Fecha_venta]],"dd")</f>
        <v>25</v>
      </c>
      <c r="I3164" t="str">
        <f>TEXT(Ventas[[#This Row],[Fecha_venta]],"m")</f>
        <v>6</v>
      </c>
      <c r="J3164" t="str">
        <f>TEXT(Ventas[[#This Row],[Fecha_venta]],"yyyy")</f>
        <v>2010</v>
      </c>
    </row>
    <row r="3165" spans="1:10" x14ac:dyDescent="0.25">
      <c r="A3165">
        <v>23</v>
      </c>
      <c r="B3165" s="1">
        <v>40361</v>
      </c>
      <c r="C3165">
        <v>0</v>
      </c>
      <c r="D3165">
        <v>64.760000000000005</v>
      </c>
      <c r="E3165">
        <v>2.8149999999999999</v>
      </c>
      <c r="F3165">
        <v>132.5218667</v>
      </c>
      <c r="G3165">
        <v>1549113.18</v>
      </c>
      <c r="H3165" t="str">
        <f>TEXT(Ventas[[#This Row],[Fecha_venta]],"dd")</f>
        <v>02</v>
      </c>
      <c r="I3165" t="str">
        <f>TEXT(Ventas[[#This Row],[Fecha_venta]],"m")</f>
        <v>7</v>
      </c>
      <c r="J3165" t="str">
        <f>TEXT(Ventas[[#This Row],[Fecha_venta]],"yyyy")</f>
        <v>2010</v>
      </c>
    </row>
    <row r="3166" spans="1:10" x14ac:dyDescent="0.25">
      <c r="A3166">
        <v>23</v>
      </c>
      <c r="B3166" s="1">
        <v>40368</v>
      </c>
      <c r="C3166">
        <v>0</v>
      </c>
      <c r="D3166">
        <v>77.16</v>
      </c>
      <c r="E3166">
        <v>2.806</v>
      </c>
      <c r="F3166">
        <v>132.54613330000001</v>
      </c>
      <c r="G3166">
        <v>1417535.78</v>
      </c>
      <c r="H3166" t="str">
        <f>TEXT(Ventas[[#This Row],[Fecha_venta]],"dd")</f>
        <v>09</v>
      </c>
      <c r="I3166" t="str">
        <f>TEXT(Ventas[[#This Row],[Fecha_venta]],"m")</f>
        <v>7</v>
      </c>
      <c r="J3166" t="str">
        <f>TEXT(Ventas[[#This Row],[Fecha_venta]],"yyyy")</f>
        <v>2010</v>
      </c>
    </row>
    <row r="3167" spans="1:10" x14ac:dyDescent="0.25">
      <c r="A3167">
        <v>23</v>
      </c>
      <c r="B3167" s="1">
        <v>40375</v>
      </c>
      <c r="C3167">
        <v>0</v>
      </c>
      <c r="D3167">
        <v>73.94</v>
      </c>
      <c r="E3167">
        <v>2.7959999999999998</v>
      </c>
      <c r="F3167">
        <v>132.5667742</v>
      </c>
      <c r="G3167">
        <v>1413124.11</v>
      </c>
      <c r="H3167" t="str">
        <f>TEXT(Ventas[[#This Row],[Fecha_venta]],"dd")</f>
        <v>16</v>
      </c>
      <c r="I3167" t="str">
        <f>TEXT(Ventas[[#This Row],[Fecha_venta]],"m")</f>
        <v>7</v>
      </c>
      <c r="J3167" t="str">
        <f>TEXT(Ventas[[#This Row],[Fecha_venta]],"yyyy")</f>
        <v>2010</v>
      </c>
    </row>
    <row r="3168" spans="1:10" x14ac:dyDescent="0.25">
      <c r="A3168">
        <v>23</v>
      </c>
      <c r="B3168" s="1">
        <v>40382</v>
      </c>
      <c r="C3168">
        <v>0</v>
      </c>
      <c r="D3168">
        <v>70.2</v>
      </c>
      <c r="E3168">
        <v>2.7839999999999998</v>
      </c>
      <c r="F3168">
        <v>132.5825806</v>
      </c>
      <c r="G3168">
        <v>1333634.45</v>
      </c>
      <c r="H3168" t="str">
        <f>TEXT(Ventas[[#This Row],[Fecha_venta]],"dd")</f>
        <v>23</v>
      </c>
      <c r="I3168" t="str">
        <f>TEXT(Ventas[[#This Row],[Fecha_venta]],"m")</f>
        <v>7</v>
      </c>
      <c r="J3168" t="str">
        <f>TEXT(Ventas[[#This Row],[Fecha_venta]],"yyyy")</f>
        <v>2010</v>
      </c>
    </row>
    <row r="3169" spans="1:10" x14ac:dyDescent="0.25">
      <c r="A3169">
        <v>23</v>
      </c>
      <c r="B3169" s="1">
        <v>40389</v>
      </c>
      <c r="C3169">
        <v>0</v>
      </c>
      <c r="D3169">
        <v>69.709999999999994</v>
      </c>
      <c r="E3169">
        <v>2.7919999999999998</v>
      </c>
      <c r="F3169">
        <v>132.5983871</v>
      </c>
      <c r="G3169">
        <v>1319773.55</v>
      </c>
      <c r="H3169" t="str">
        <f>TEXT(Ventas[[#This Row],[Fecha_venta]],"dd")</f>
        <v>30</v>
      </c>
      <c r="I3169" t="str">
        <f>TEXT(Ventas[[#This Row],[Fecha_venta]],"m")</f>
        <v>7</v>
      </c>
      <c r="J3169" t="str">
        <f>TEXT(Ventas[[#This Row],[Fecha_venta]],"yyyy")</f>
        <v>2010</v>
      </c>
    </row>
    <row r="3170" spans="1:10" x14ac:dyDescent="0.25">
      <c r="A3170">
        <v>23</v>
      </c>
      <c r="B3170" s="1">
        <v>40396</v>
      </c>
      <c r="C3170">
        <v>0</v>
      </c>
      <c r="D3170">
        <v>70.03</v>
      </c>
      <c r="E3170">
        <v>2.7919999999999998</v>
      </c>
      <c r="F3170">
        <v>132.6141935</v>
      </c>
      <c r="G3170">
        <v>1417013.07</v>
      </c>
      <c r="H3170" t="str">
        <f>TEXT(Ventas[[#This Row],[Fecha_venta]],"dd")</f>
        <v>06</v>
      </c>
      <c r="I3170" t="str">
        <f>TEXT(Ventas[[#This Row],[Fecha_venta]],"m")</f>
        <v>8</v>
      </c>
      <c r="J3170" t="str">
        <f>TEXT(Ventas[[#This Row],[Fecha_venta]],"yyyy")</f>
        <v>2010</v>
      </c>
    </row>
    <row r="3171" spans="1:10" x14ac:dyDescent="0.25">
      <c r="A3171">
        <v>23</v>
      </c>
      <c r="B3171" s="1">
        <v>40403</v>
      </c>
      <c r="C3171">
        <v>0</v>
      </c>
      <c r="D3171">
        <v>67.430000000000007</v>
      </c>
      <c r="E3171">
        <v>2.81</v>
      </c>
      <c r="F3171">
        <v>132.63</v>
      </c>
      <c r="G3171">
        <v>1346345.97</v>
      </c>
      <c r="H3171" t="str">
        <f>TEXT(Ventas[[#This Row],[Fecha_venta]],"dd")</f>
        <v>13</v>
      </c>
      <c r="I3171" t="str">
        <f>TEXT(Ventas[[#This Row],[Fecha_venta]],"m")</f>
        <v>8</v>
      </c>
      <c r="J3171" t="str">
        <f>TEXT(Ventas[[#This Row],[Fecha_venta]],"yyyy")</f>
        <v>2010</v>
      </c>
    </row>
    <row r="3172" spans="1:10" x14ac:dyDescent="0.25">
      <c r="A3172">
        <v>23</v>
      </c>
      <c r="B3172" s="1">
        <v>40410</v>
      </c>
      <c r="C3172">
        <v>0</v>
      </c>
      <c r="D3172">
        <v>68.650000000000006</v>
      </c>
      <c r="E3172">
        <v>2.7959999999999998</v>
      </c>
      <c r="F3172">
        <v>132.66161289999999</v>
      </c>
      <c r="G3172">
        <v>1439901.05</v>
      </c>
      <c r="H3172" t="str">
        <f>TEXT(Ventas[[#This Row],[Fecha_venta]],"dd")</f>
        <v>20</v>
      </c>
      <c r="I3172" t="str">
        <f>TEXT(Ventas[[#This Row],[Fecha_venta]],"m")</f>
        <v>8</v>
      </c>
      <c r="J3172" t="str">
        <f>TEXT(Ventas[[#This Row],[Fecha_venta]],"yyyy")</f>
        <v>2010</v>
      </c>
    </row>
    <row r="3173" spans="1:10" x14ac:dyDescent="0.25">
      <c r="A3173">
        <v>23</v>
      </c>
      <c r="B3173" s="1">
        <v>40417</v>
      </c>
      <c r="C3173">
        <v>0</v>
      </c>
      <c r="D3173">
        <v>63.25</v>
      </c>
      <c r="E3173">
        <v>2.77</v>
      </c>
      <c r="F3173">
        <v>132.69322579999999</v>
      </c>
      <c r="G3173">
        <v>1584623.36</v>
      </c>
      <c r="H3173" t="str">
        <f>TEXT(Ventas[[#This Row],[Fecha_venta]],"dd")</f>
        <v>27</v>
      </c>
      <c r="I3173" t="str">
        <f>TEXT(Ventas[[#This Row],[Fecha_venta]],"m")</f>
        <v>8</v>
      </c>
      <c r="J3173" t="str">
        <f>TEXT(Ventas[[#This Row],[Fecha_venta]],"yyyy")</f>
        <v>2010</v>
      </c>
    </row>
    <row r="3174" spans="1:10" x14ac:dyDescent="0.25">
      <c r="A3174">
        <v>23</v>
      </c>
      <c r="B3174" s="1">
        <v>40424</v>
      </c>
      <c r="C3174">
        <v>0</v>
      </c>
      <c r="D3174">
        <v>72.91</v>
      </c>
      <c r="E3174">
        <v>2.7349999999999999</v>
      </c>
      <c r="F3174">
        <v>132.72483869999999</v>
      </c>
      <c r="G3174">
        <v>1405119.23</v>
      </c>
      <c r="H3174" t="str">
        <f>TEXT(Ventas[[#This Row],[Fecha_venta]],"dd")</f>
        <v>03</v>
      </c>
      <c r="I3174" t="str">
        <f>TEXT(Ventas[[#This Row],[Fecha_venta]],"m")</f>
        <v>9</v>
      </c>
      <c r="J3174" t="str">
        <f>TEXT(Ventas[[#This Row],[Fecha_venta]],"yyyy")</f>
        <v>2010</v>
      </c>
    </row>
    <row r="3175" spans="1:10" x14ac:dyDescent="0.25">
      <c r="A3175">
        <v>23</v>
      </c>
      <c r="B3175" s="1">
        <v>40431</v>
      </c>
      <c r="C3175">
        <v>1</v>
      </c>
      <c r="D3175">
        <v>63.21</v>
      </c>
      <c r="E3175">
        <v>2.7170000000000001</v>
      </c>
      <c r="F3175">
        <v>132.75645159999999</v>
      </c>
      <c r="G3175">
        <v>1272842.8500000001</v>
      </c>
      <c r="H3175" t="str">
        <f>TEXT(Ventas[[#This Row],[Fecha_venta]],"dd")</f>
        <v>10</v>
      </c>
      <c r="I3175" t="str">
        <f>TEXT(Ventas[[#This Row],[Fecha_venta]],"m")</f>
        <v>9</v>
      </c>
      <c r="J3175" t="str">
        <f>TEXT(Ventas[[#This Row],[Fecha_venta]],"yyyy")</f>
        <v>2010</v>
      </c>
    </row>
    <row r="3176" spans="1:10" x14ac:dyDescent="0.25">
      <c r="A3176">
        <v>23</v>
      </c>
      <c r="B3176" s="1">
        <v>40438</v>
      </c>
      <c r="C3176">
        <v>0</v>
      </c>
      <c r="D3176">
        <v>55.3</v>
      </c>
      <c r="E3176">
        <v>2.7160000000000002</v>
      </c>
      <c r="F3176">
        <v>132.76706669999999</v>
      </c>
      <c r="G3176">
        <v>1159132.58</v>
      </c>
      <c r="H3176" t="str">
        <f>TEXT(Ventas[[#This Row],[Fecha_venta]],"dd")</f>
        <v>17</v>
      </c>
      <c r="I3176" t="str">
        <f>TEXT(Ventas[[#This Row],[Fecha_venta]],"m")</f>
        <v>9</v>
      </c>
      <c r="J3176" t="str">
        <f>TEXT(Ventas[[#This Row],[Fecha_venta]],"yyyy")</f>
        <v>2010</v>
      </c>
    </row>
    <row r="3177" spans="1:10" x14ac:dyDescent="0.25">
      <c r="A3177">
        <v>23</v>
      </c>
      <c r="B3177" s="1">
        <v>40445</v>
      </c>
      <c r="C3177">
        <v>0</v>
      </c>
      <c r="D3177">
        <v>57.75</v>
      </c>
      <c r="E3177">
        <v>2.718</v>
      </c>
      <c r="F3177">
        <v>132.76193330000001</v>
      </c>
      <c r="G3177">
        <v>1099055.6499999999</v>
      </c>
      <c r="H3177" t="str">
        <f>TEXT(Ventas[[#This Row],[Fecha_venta]],"dd")</f>
        <v>24</v>
      </c>
      <c r="I3177" t="str">
        <f>TEXT(Ventas[[#This Row],[Fecha_venta]],"m")</f>
        <v>9</v>
      </c>
      <c r="J3177" t="str">
        <f>TEXT(Ventas[[#This Row],[Fecha_venta]],"yyyy")</f>
        <v>2010</v>
      </c>
    </row>
    <row r="3178" spans="1:10" x14ac:dyDescent="0.25">
      <c r="A3178">
        <v>23</v>
      </c>
      <c r="B3178" s="1">
        <v>40452</v>
      </c>
      <c r="C3178">
        <v>0</v>
      </c>
      <c r="D3178">
        <v>62.07</v>
      </c>
      <c r="E3178">
        <v>2.7170000000000001</v>
      </c>
      <c r="F3178">
        <v>132.7568</v>
      </c>
      <c r="G3178">
        <v>1129909.44</v>
      </c>
      <c r="H3178" t="str">
        <f>TEXT(Ventas[[#This Row],[Fecha_venta]],"dd")</f>
        <v>01</v>
      </c>
      <c r="I3178" t="str">
        <f>TEXT(Ventas[[#This Row],[Fecha_venta]],"m")</f>
        <v>10</v>
      </c>
      <c r="J3178" t="str">
        <f>TEXT(Ventas[[#This Row],[Fecha_venta]],"yyyy")</f>
        <v>2010</v>
      </c>
    </row>
    <row r="3179" spans="1:10" x14ac:dyDescent="0.25">
      <c r="A3179">
        <v>23</v>
      </c>
      <c r="B3179" s="1">
        <v>40459</v>
      </c>
      <c r="C3179">
        <v>0</v>
      </c>
      <c r="D3179">
        <v>50.75</v>
      </c>
      <c r="E3179">
        <v>2.7759999999999998</v>
      </c>
      <c r="F3179">
        <v>132.75166669999999</v>
      </c>
      <c r="G3179">
        <v>1179851.68</v>
      </c>
      <c r="H3179" t="str">
        <f>TEXT(Ventas[[#This Row],[Fecha_venta]],"dd")</f>
        <v>08</v>
      </c>
      <c r="I3179" t="str">
        <f>TEXT(Ventas[[#This Row],[Fecha_venta]],"m")</f>
        <v>10</v>
      </c>
      <c r="J3179" t="str">
        <f>TEXT(Ventas[[#This Row],[Fecha_venta]],"yyyy")</f>
        <v>2010</v>
      </c>
    </row>
    <row r="3180" spans="1:10" x14ac:dyDescent="0.25">
      <c r="A3180">
        <v>23</v>
      </c>
      <c r="B3180" s="1">
        <v>40466</v>
      </c>
      <c r="C3180">
        <v>0</v>
      </c>
      <c r="D3180">
        <v>45.55</v>
      </c>
      <c r="E3180">
        <v>2.8780000000000001</v>
      </c>
      <c r="F3180">
        <v>132.7633548</v>
      </c>
      <c r="G3180">
        <v>1119809.71</v>
      </c>
      <c r="H3180" t="str">
        <f>TEXT(Ventas[[#This Row],[Fecha_venta]],"dd")</f>
        <v>15</v>
      </c>
      <c r="I3180" t="str">
        <f>TEXT(Ventas[[#This Row],[Fecha_venta]],"m")</f>
        <v>10</v>
      </c>
      <c r="J3180" t="str">
        <f>TEXT(Ventas[[#This Row],[Fecha_venta]],"yyyy")</f>
        <v>2010</v>
      </c>
    </row>
    <row r="3181" spans="1:10" x14ac:dyDescent="0.25">
      <c r="A3181">
        <v>23</v>
      </c>
      <c r="B3181" s="1">
        <v>40473</v>
      </c>
      <c r="C3181">
        <v>0</v>
      </c>
      <c r="D3181">
        <v>43.19</v>
      </c>
      <c r="E3181">
        <v>2.919</v>
      </c>
      <c r="F3181">
        <v>132.8170968</v>
      </c>
      <c r="G3181">
        <v>1147503.92</v>
      </c>
      <c r="H3181" t="str">
        <f>TEXT(Ventas[[#This Row],[Fecha_venta]],"dd")</f>
        <v>22</v>
      </c>
      <c r="I3181" t="str">
        <f>TEXT(Ventas[[#This Row],[Fecha_venta]],"m")</f>
        <v>10</v>
      </c>
      <c r="J3181" t="str">
        <f>TEXT(Ventas[[#This Row],[Fecha_venta]],"yyyy")</f>
        <v>2010</v>
      </c>
    </row>
    <row r="3182" spans="1:10" x14ac:dyDescent="0.25">
      <c r="A3182">
        <v>23</v>
      </c>
      <c r="B3182" s="1">
        <v>40480</v>
      </c>
      <c r="C3182">
        <v>0</v>
      </c>
      <c r="D3182">
        <v>48.68</v>
      </c>
      <c r="E3182">
        <v>2.9380000000000002</v>
      </c>
      <c r="F3182">
        <v>132.87083870000001</v>
      </c>
      <c r="G3182">
        <v>1112871.23</v>
      </c>
      <c r="H3182" t="str">
        <f>TEXT(Ventas[[#This Row],[Fecha_venta]],"dd")</f>
        <v>29</v>
      </c>
      <c r="I3182" t="str">
        <f>TEXT(Ventas[[#This Row],[Fecha_venta]],"m")</f>
        <v>10</v>
      </c>
      <c r="J3182" t="str">
        <f>TEXT(Ventas[[#This Row],[Fecha_venta]],"yyyy")</f>
        <v>2010</v>
      </c>
    </row>
    <row r="3183" spans="1:10" x14ac:dyDescent="0.25">
      <c r="A3183">
        <v>23</v>
      </c>
      <c r="B3183" s="1">
        <v>40487</v>
      </c>
      <c r="C3183">
        <v>0</v>
      </c>
      <c r="D3183">
        <v>36.6</v>
      </c>
      <c r="E3183">
        <v>2.9380000000000002</v>
      </c>
      <c r="F3183">
        <v>132.92458060000001</v>
      </c>
      <c r="G3183">
        <v>1203119.96</v>
      </c>
      <c r="H3183" t="str">
        <f>TEXT(Ventas[[#This Row],[Fecha_venta]],"dd")</f>
        <v>05</v>
      </c>
      <c r="I3183" t="str">
        <f>TEXT(Ventas[[#This Row],[Fecha_venta]],"m")</f>
        <v>11</v>
      </c>
      <c r="J3183" t="str">
        <f>TEXT(Ventas[[#This Row],[Fecha_venta]],"yyyy")</f>
        <v>2010</v>
      </c>
    </row>
    <row r="3184" spans="1:10" x14ac:dyDescent="0.25">
      <c r="A3184">
        <v>23</v>
      </c>
      <c r="B3184" s="1">
        <v>40494</v>
      </c>
      <c r="C3184">
        <v>0</v>
      </c>
      <c r="D3184">
        <v>35.590000000000003</v>
      </c>
      <c r="E3184">
        <v>2.9609999999999999</v>
      </c>
      <c r="F3184">
        <v>132.97832260000001</v>
      </c>
      <c r="G3184">
        <v>1387953.75</v>
      </c>
      <c r="H3184" t="str">
        <f>TEXT(Ventas[[#This Row],[Fecha_venta]],"dd")</f>
        <v>12</v>
      </c>
      <c r="I3184" t="str">
        <f>TEXT(Ventas[[#This Row],[Fecha_venta]],"m")</f>
        <v>11</v>
      </c>
      <c r="J3184" t="str">
        <f>TEXT(Ventas[[#This Row],[Fecha_venta]],"yyyy")</f>
        <v>2010</v>
      </c>
    </row>
    <row r="3185" spans="1:10" x14ac:dyDescent="0.25">
      <c r="A3185">
        <v>23</v>
      </c>
      <c r="B3185" s="1">
        <v>40501</v>
      </c>
      <c r="C3185">
        <v>0</v>
      </c>
      <c r="D3185">
        <v>41.66</v>
      </c>
      <c r="E3185">
        <v>3.03</v>
      </c>
      <c r="F3185">
        <v>132.91720000000001</v>
      </c>
      <c r="G3185">
        <v>1314994.32</v>
      </c>
      <c r="H3185" t="str">
        <f>TEXT(Ventas[[#This Row],[Fecha_venta]],"dd")</f>
        <v>19</v>
      </c>
      <c r="I3185" t="str">
        <f>TEXT(Ventas[[#This Row],[Fecha_venta]],"m")</f>
        <v>11</v>
      </c>
      <c r="J3185" t="str">
        <f>TEXT(Ventas[[#This Row],[Fecha_venta]],"yyyy")</f>
        <v>2010</v>
      </c>
    </row>
    <row r="3186" spans="1:10" x14ac:dyDescent="0.25">
      <c r="A3186">
        <v>23</v>
      </c>
      <c r="B3186" s="1">
        <v>40508</v>
      </c>
      <c r="C3186">
        <v>1</v>
      </c>
      <c r="D3186">
        <v>34.950000000000003</v>
      </c>
      <c r="E3186">
        <v>3.07</v>
      </c>
      <c r="F3186">
        <v>132.8369333</v>
      </c>
      <c r="G3186">
        <v>2072685.05</v>
      </c>
      <c r="H3186" t="str">
        <f>TEXT(Ventas[[#This Row],[Fecha_venta]],"dd")</f>
        <v>26</v>
      </c>
      <c r="I3186" t="str">
        <f>TEXT(Ventas[[#This Row],[Fecha_venta]],"m")</f>
        <v>11</v>
      </c>
      <c r="J3186" t="str">
        <f>TEXT(Ventas[[#This Row],[Fecha_venta]],"yyyy")</f>
        <v>2010</v>
      </c>
    </row>
    <row r="3187" spans="1:10" x14ac:dyDescent="0.25">
      <c r="A3187">
        <v>23</v>
      </c>
      <c r="B3187" s="1">
        <v>40515</v>
      </c>
      <c r="C3187">
        <v>0</v>
      </c>
      <c r="D3187">
        <v>34.299999999999997</v>
      </c>
      <c r="E3187">
        <v>3.0649999999999999</v>
      </c>
      <c r="F3187">
        <v>132.75666670000001</v>
      </c>
      <c r="G3187">
        <v>1617025.41</v>
      </c>
      <c r="H3187" t="str">
        <f>TEXT(Ventas[[#This Row],[Fecha_venta]],"dd")</f>
        <v>03</v>
      </c>
      <c r="I3187" t="str">
        <f>TEXT(Ventas[[#This Row],[Fecha_venta]],"m")</f>
        <v>12</v>
      </c>
      <c r="J3187" t="str">
        <f>TEXT(Ventas[[#This Row],[Fecha_venta]],"yyyy")</f>
        <v>2010</v>
      </c>
    </row>
    <row r="3188" spans="1:10" x14ac:dyDescent="0.25">
      <c r="A3188">
        <v>23</v>
      </c>
      <c r="B3188" s="1">
        <v>40522</v>
      </c>
      <c r="C3188">
        <v>0</v>
      </c>
      <c r="D3188">
        <v>20.12</v>
      </c>
      <c r="E3188">
        <v>3.1320000000000001</v>
      </c>
      <c r="F3188">
        <v>132.6764</v>
      </c>
      <c r="G3188">
        <v>1872365.99</v>
      </c>
      <c r="H3188" t="str">
        <f>TEXT(Ventas[[#This Row],[Fecha_venta]],"dd")</f>
        <v>10</v>
      </c>
      <c r="I3188" t="str">
        <f>TEXT(Ventas[[#This Row],[Fecha_venta]],"m")</f>
        <v>12</v>
      </c>
      <c r="J3188" t="str">
        <f>TEXT(Ventas[[#This Row],[Fecha_venta]],"yyyy")</f>
        <v>2010</v>
      </c>
    </row>
    <row r="3189" spans="1:10" x14ac:dyDescent="0.25">
      <c r="A3189">
        <v>23</v>
      </c>
      <c r="B3189" s="1">
        <v>40529</v>
      </c>
      <c r="C3189">
        <v>0</v>
      </c>
      <c r="D3189">
        <v>23.05</v>
      </c>
      <c r="E3189">
        <v>3.1389999999999998</v>
      </c>
      <c r="F3189">
        <v>132.6804516</v>
      </c>
      <c r="G3189">
        <v>2238573.48</v>
      </c>
      <c r="H3189" t="str">
        <f>TEXT(Ventas[[#This Row],[Fecha_venta]],"dd")</f>
        <v>17</v>
      </c>
      <c r="I3189" t="str">
        <f>TEXT(Ventas[[#This Row],[Fecha_venta]],"m")</f>
        <v>12</v>
      </c>
      <c r="J3189" t="str">
        <f>TEXT(Ventas[[#This Row],[Fecha_venta]],"yyyy")</f>
        <v>2010</v>
      </c>
    </row>
    <row r="3190" spans="1:10" x14ac:dyDescent="0.25">
      <c r="A3190">
        <v>23</v>
      </c>
      <c r="B3190" s="1">
        <v>40536</v>
      </c>
      <c r="C3190">
        <v>0</v>
      </c>
      <c r="D3190">
        <v>22.96</v>
      </c>
      <c r="E3190">
        <v>3.15</v>
      </c>
      <c r="F3190">
        <v>132.74774189999999</v>
      </c>
      <c r="G3190">
        <v>2734277.1</v>
      </c>
      <c r="H3190" t="str">
        <f>TEXT(Ventas[[#This Row],[Fecha_venta]],"dd")</f>
        <v>24</v>
      </c>
      <c r="I3190" t="str">
        <f>TEXT(Ventas[[#This Row],[Fecha_venta]],"m")</f>
        <v>12</v>
      </c>
      <c r="J3190" t="str">
        <f>TEXT(Ventas[[#This Row],[Fecha_venta]],"yyyy")</f>
        <v>2010</v>
      </c>
    </row>
    <row r="3191" spans="1:10" x14ac:dyDescent="0.25">
      <c r="A3191">
        <v>23</v>
      </c>
      <c r="B3191" s="1">
        <v>40543</v>
      </c>
      <c r="C3191">
        <v>1</v>
      </c>
      <c r="D3191">
        <v>19.05</v>
      </c>
      <c r="E3191">
        <v>3.177</v>
      </c>
      <c r="F3191">
        <v>132.81503230000001</v>
      </c>
      <c r="G3191">
        <v>1169773.8500000001</v>
      </c>
      <c r="H3191" t="str">
        <f>TEXT(Ventas[[#This Row],[Fecha_venta]],"dd")</f>
        <v>31</v>
      </c>
      <c r="I3191" t="str">
        <f>TEXT(Ventas[[#This Row],[Fecha_venta]],"m")</f>
        <v>12</v>
      </c>
      <c r="J3191" t="str">
        <f>TEXT(Ventas[[#This Row],[Fecha_venta]],"yyyy")</f>
        <v>2010</v>
      </c>
    </row>
    <row r="3192" spans="1:10" x14ac:dyDescent="0.25">
      <c r="A3192">
        <v>23</v>
      </c>
      <c r="B3192" s="1">
        <v>40550</v>
      </c>
      <c r="C3192">
        <v>0</v>
      </c>
      <c r="D3192">
        <v>27.81</v>
      </c>
      <c r="E3192">
        <v>3.1930000000000001</v>
      </c>
      <c r="F3192">
        <v>132.88232260000001</v>
      </c>
      <c r="G3192">
        <v>1122034.48</v>
      </c>
      <c r="H3192" t="str">
        <f>TEXT(Ventas[[#This Row],[Fecha_venta]],"dd")</f>
        <v>07</v>
      </c>
      <c r="I3192" t="str">
        <f>TEXT(Ventas[[#This Row],[Fecha_venta]],"m")</f>
        <v>1</v>
      </c>
      <c r="J3192" t="str">
        <f>TEXT(Ventas[[#This Row],[Fecha_venta]],"yyyy")</f>
        <v>2011</v>
      </c>
    </row>
    <row r="3193" spans="1:10" x14ac:dyDescent="0.25">
      <c r="A3193">
        <v>23</v>
      </c>
      <c r="B3193" s="1">
        <v>40557</v>
      </c>
      <c r="C3193">
        <v>0</v>
      </c>
      <c r="D3193">
        <v>18.2</v>
      </c>
      <c r="E3193">
        <v>3.2149999999999999</v>
      </c>
      <c r="F3193">
        <v>132.9510645</v>
      </c>
      <c r="G3193">
        <v>1016756.1</v>
      </c>
      <c r="H3193" t="str">
        <f>TEXT(Ventas[[#This Row],[Fecha_venta]],"dd")</f>
        <v>14</v>
      </c>
      <c r="I3193" t="str">
        <f>TEXT(Ventas[[#This Row],[Fecha_venta]],"m")</f>
        <v>1</v>
      </c>
      <c r="J3193" t="str">
        <f>TEXT(Ventas[[#This Row],[Fecha_venta]],"yyyy")</f>
        <v>2011</v>
      </c>
    </row>
    <row r="3194" spans="1:10" x14ac:dyDescent="0.25">
      <c r="A3194">
        <v>23</v>
      </c>
      <c r="B3194" s="1">
        <v>40564</v>
      </c>
      <c r="C3194">
        <v>0</v>
      </c>
      <c r="D3194">
        <v>15.58</v>
      </c>
      <c r="E3194">
        <v>3.2320000000000002</v>
      </c>
      <c r="F3194">
        <v>133.02851609999999</v>
      </c>
      <c r="G3194">
        <v>1110706.06</v>
      </c>
      <c r="H3194" t="str">
        <f>TEXT(Ventas[[#This Row],[Fecha_venta]],"dd")</f>
        <v>21</v>
      </c>
      <c r="I3194" t="str">
        <f>TEXT(Ventas[[#This Row],[Fecha_venta]],"m")</f>
        <v>1</v>
      </c>
      <c r="J3194" t="str">
        <f>TEXT(Ventas[[#This Row],[Fecha_venta]],"yyyy")</f>
        <v>2011</v>
      </c>
    </row>
    <row r="3195" spans="1:10" x14ac:dyDescent="0.25">
      <c r="A3195">
        <v>23</v>
      </c>
      <c r="B3195" s="1">
        <v>40571</v>
      </c>
      <c r="C3195">
        <v>0</v>
      </c>
      <c r="D3195">
        <v>10.91</v>
      </c>
      <c r="E3195">
        <v>3.2429999999999999</v>
      </c>
      <c r="F3195">
        <v>133.10596770000001</v>
      </c>
      <c r="G3195">
        <v>1083657.6100000001</v>
      </c>
      <c r="H3195" t="str">
        <f>TEXT(Ventas[[#This Row],[Fecha_venta]],"dd")</f>
        <v>28</v>
      </c>
      <c r="I3195" t="str">
        <f>TEXT(Ventas[[#This Row],[Fecha_venta]],"m")</f>
        <v>1</v>
      </c>
      <c r="J3195" t="str">
        <f>TEXT(Ventas[[#This Row],[Fecha_venta]],"yyyy")</f>
        <v>2011</v>
      </c>
    </row>
    <row r="3196" spans="1:10" x14ac:dyDescent="0.25">
      <c r="A3196">
        <v>23</v>
      </c>
      <c r="B3196" s="1">
        <v>40578</v>
      </c>
      <c r="C3196">
        <v>0</v>
      </c>
      <c r="D3196">
        <v>14.5</v>
      </c>
      <c r="E3196">
        <v>3.24</v>
      </c>
      <c r="F3196">
        <v>133.18341939999999</v>
      </c>
      <c r="G3196">
        <v>1159438.53</v>
      </c>
      <c r="H3196" t="str">
        <f>TEXT(Ventas[[#This Row],[Fecha_venta]],"dd")</f>
        <v>04</v>
      </c>
      <c r="I3196" t="str">
        <f>TEXT(Ventas[[#This Row],[Fecha_venta]],"m")</f>
        <v>2</v>
      </c>
      <c r="J3196" t="str">
        <f>TEXT(Ventas[[#This Row],[Fecha_venta]],"yyyy")</f>
        <v>2011</v>
      </c>
    </row>
    <row r="3197" spans="1:10" x14ac:dyDescent="0.25">
      <c r="A3197">
        <v>23</v>
      </c>
      <c r="B3197" s="1">
        <v>40585</v>
      </c>
      <c r="C3197">
        <v>1</v>
      </c>
      <c r="D3197">
        <v>21.52</v>
      </c>
      <c r="E3197">
        <v>3.2549999999999999</v>
      </c>
      <c r="F3197">
        <v>133.26087100000001</v>
      </c>
      <c r="G3197">
        <v>1249786.3999999999</v>
      </c>
      <c r="H3197" t="str">
        <f>TEXT(Ventas[[#This Row],[Fecha_venta]],"dd")</f>
        <v>11</v>
      </c>
      <c r="I3197" t="str">
        <f>TEXT(Ventas[[#This Row],[Fecha_venta]],"m")</f>
        <v>2</v>
      </c>
      <c r="J3197" t="str">
        <f>TEXT(Ventas[[#This Row],[Fecha_venta]],"yyyy")</f>
        <v>2011</v>
      </c>
    </row>
    <row r="3198" spans="1:10" x14ac:dyDescent="0.25">
      <c r="A3198">
        <v>23</v>
      </c>
      <c r="B3198" s="1">
        <v>40592</v>
      </c>
      <c r="C3198">
        <v>0</v>
      </c>
      <c r="D3198">
        <v>26.6</v>
      </c>
      <c r="E3198">
        <v>3.2629999999999999</v>
      </c>
      <c r="F3198">
        <v>133.37014289999999</v>
      </c>
      <c r="G3198">
        <v>1369971.57</v>
      </c>
      <c r="H3198" t="str">
        <f>TEXT(Ventas[[#This Row],[Fecha_venta]],"dd")</f>
        <v>18</v>
      </c>
      <c r="I3198" t="str">
        <f>TEXT(Ventas[[#This Row],[Fecha_venta]],"m")</f>
        <v>2</v>
      </c>
      <c r="J3198" t="str">
        <f>TEXT(Ventas[[#This Row],[Fecha_venta]],"yyyy")</f>
        <v>2011</v>
      </c>
    </row>
    <row r="3199" spans="1:10" x14ac:dyDescent="0.25">
      <c r="A3199">
        <v>23</v>
      </c>
      <c r="B3199" s="1">
        <v>40599</v>
      </c>
      <c r="C3199">
        <v>0</v>
      </c>
      <c r="D3199">
        <v>17</v>
      </c>
      <c r="E3199">
        <v>3.2810000000000001</v>
      </c>
      <c r="F3199">
        <v>133.4921429</v>
      </c>
      <c r="G3199">
        <v>1206917.2</v>
      </c>
      <c r="H3199" t="str">
        <f>TEXT(Ventas[[#This Row],[Fecha_venta]],"dd")</f>
        <v>25</v>
      </c>
      <c r="I3199" t="str">
        <f>TEXT(Ventas[[#This Row],[Fecha_venta]],"m")</f>
        <v>2</v>
      </c>
      <c r="J3199" t="str">
        <f>TEXT(Ventas[[#This Row],[Fecha_venta]],"yyyy")</f>
        <v>2011</v>
      </c>
    </row>
    <row r="3200" spans="1:10" x14ac:dyDescent="0.25">
      <c r="A3200">
        <v>23</v>
      </c>
      <c r="B3200" s="1">
        <v>40606</v>
      </c>
      <c r="C3200">
        <v>0</v>
      </c>
      <c r="D3200">
        <v>20.67</v>
      </c>
      <c r="E3200">
        <v>3.4369999999999998</v>
      </c>
      <c r="F3200">
        <v>133.61414289999999</v>
      </c>
      <c r="G3200">
        <v>1301185.28</v>
      </c>
      <c r="H3200" t="str">
        <f>TEXT(Ventas[[#This Row],[Fecha_venta]],"dd")</f>
        <v>04</v>
      </c>
      <c r="I3200" t="str">
        <f>TEXT(Ventas[[#This Row],[Fecha_venta]],"m")</f>
        <v>3</v>
      </c>
      <c r="J3200" t="str">
        <f>TEXT(Ventas[[#This Row],[Fecha_venta]],"yyyy")</f>
        <v>2011</v>
      </c>
    </row>
    <row r="3201" spans="1:10" x14ac:dyDescent="0.25">
      <c r="A3201">
        <v>23</v>
      </c>
      <c r="B3201" s="1">
        <v>40613</v>
      </c>
      <c r="C3201">
        <v>0</v>
      </c>
      <c r="D3201">
        <v>29.36</v>
      </c>
      <c r="E3201">
        <v>3.6</v>
      </c>
      <c r="F3201">
        <v>133.7361429</v>
      </c>
      <c r="G3201">
        <v>1042043.55</v>
      </c>
      <c r="H3201" t="str">
        <f>TEXT(Ventas[[#This Row],[Fecha_venta]],"dd")</f>
        <v>11</v>
      </c>
      <c r="I3201" t="str">
        <f>TEXT(Ventas[[#This Row],[Fecha_venta]],"m")</f>
        <v>3</v>
      </c>
      <c r="J3201" t="str">
        <f>TEXT(Ventas[[#This Row],[Fecha_venta]],"yyyy")</f>
        <v>2011</v>
      </c>
    </row>
    <row r="3202" spans="1:10" x14ac:dyDescent="0.25">
      <c r="A3202">
        <v>23</v>
      </c>
      <c r="B3202" s="1">
        <v>40620</v>
      </c>
      <c r="C3202">
        <v>0</v>
      </c>
      <c r="D3202">
        <v>37.28</v>
      </c>
      <c r="E3202">
        <v>3.6339999999999999</v>
      </c>
      <c r="F3202">
        <v>133.8492258</v>
      </c>
      <c r="G3202">
        <v>1203682.6200000001</v>
      </c>
      <c r="H3202" t="str">
        <f>TEXT(Ventas[[#This Row],[Fecha_venta]],"dd")</f>
        <v>18</v>
      </c>
      <c r="I3202" t="str">
        <f>TEXT(Ventas[[#This Row],[Fecha_venta]],"m")</f>
        <v>3</v>
      </c>
      <c r="J3202" t="str">
        <f>TEXT(Ventas[[#This Row],[Fecha_venta]],"yyyy")</f>
        <v>2011</v>
      </c>
    </row>
    <row r="3203" spans="1:10" x14ac:dyDescent="0.25">
      <c r="A3203">
        <v>23</v>
      </c>
      <c r="B3203" s="1">
        <v>40627</v>
      </c>
      <c r="C3203">
        <v>0</v>
      </c>
      <c r="D3203">
        <v>29.11</v>
      </c>
      <c r="E3203">
        <v>3.6240000000000001</v>
      </c>
      <c r="F3203">
        <v>133.95874190000001</v>
      </c>
      <c r="G3203">
        <v>1148624.83</v>
      </c>
      <c r="H3203" t="str">
        <f>TEXT(Ventas[[#This Row],[Fecha_venta]],"dd")</f>
        <v>25</v>
      </c>
      <c r="I3203" t="str">
        <f>TEXT(Ventas[[#This Row],[Fecha_venta]],"m")</f>
        <v>3</v>
      </c>
      <c r="J3203" t="str">
        <f>TEXT(Ventas[[#This Row],[Fecha_venta]],"yyyy")</f>
        <v>2011</v>
      </c>
    </row>
    <row r="3204" spans="1:10" x14ac:dyDescent="0.25">
      <c r="A3204">
        <v>23</v>
      </c>
      <c r="B3204" s="1">
        <v>40634</v>
      </c>
      <c r="C3204">
        <v>0</v>
      </c>
      <c r="D3204">
        <v>29.44</v>
      </c>
      <c r="E3204">
        <v>3.6379999999999999</v>
      </c>
      <c r="F3204">
        <v>134.06825810000001</v>
      </c>
      <c r="G3204">
        <v>1182694.95</v>
      </c>
      <c r="H3204" t="str">
        <f>TEXT(Ventas[[#This Row],[Fecha_venta]],"dd")</f>
        <v>01</v>
      </c>
      <c r="I3204" t="str">
        <f>TEXT(Ventas[[#This Row],[Fecha_venta]],"m")</f>
        <v>4</v>
      </c>
      <c r="J3204" t="str">
        <f>TEXT(Ventas[[#This Row],[Fecha_venta]],"yyyy")</f>
        <v>2011</v>
      </c>
    </row>
    <row r="3205" spans="1:10" x14ac:dyDescent="0.25">
      <c r="A3205">
        <v>23</v>
      </c>
      <c r="B3205" s="1">
        <v>40641</v>
      </c>
      <c r="C3205">
        <v>0</v>
      </c>
      <c r="D3205">
        <v>36.74</v>
      </c>
      <c r="E3205">
        <v>3.72</v>
      </c>
      <c r="F3205">
        <v>134.17777419999999</v>
      </c>
      <c r="G3205">
        <v>1248901.98</v>
      </c>
      <c r="H3205" t="str">
        <f>TEXT(Ventas[[#This Row],[Fecha_venta]],"dd")</f>
        <v>08</v>
      </c>
      <c r="I3205" t="str">
        <f>TEXT(Ventas[[#This Row],[Fecha_venta]],"m")</f>
        <v>4</v>
      </c>
      <c r="J3205" t="str">
        <f>TEXT(Ventas[[#This Row],[Fecha_venta]],"yyyy")</f>
        <v>2011</v>
      </c>
    </row>
    <row r="3206" spans="1:10" x14ac:dyDescent="0.25">
      <c r="A3206">
        <v>23</v>
      </c>
      <c r="B3206" s="1">
        <v>40648</v>
      </c>
      <c r="C3206">
        <v>0</v>
      </c>
      <c r="D3206">
        <v>45.51</v>
      </c>
      <c r="E3206">
        <v>3.823</v>
      </c>
      <c r="F3206">
        <v>134.2784667</v>
      </c>
      <c r="G3206">
        <v>1263680.51</v>
      </c>
      <c r="H3206" t="str">
        <f>TEXT(Ventas[[#This Row],[Fecha_venta]],"dd")</f>
        <v>15</v>
      </c>
      <c r="I3206" t="str">
        <f>TEXT(Ventas[[#This Row],[Fecha_venta]],"m")</f>
        <v>4</v>
      </c>
      <c r="J3206" t="str">
        <f>TEXT(Ventas[[#This Row],[Fecha_venta]],"yyyy")</f>
        <v>2011</v>
      </c>
    </row>
    <row r="3207" spans="1:10" x14ac:dyDescent="0.25">
      <c r="A3207">
        <v>23</v>
      </c>
      <c r="B3207" s="1">
        <v>40655</v>
      </c>
      <c r="C3207">
        <v>0</v>
      </c>
      <c r="D3207">
        <v>39.619999999999997</v>
      </c>
      <c r="E3207">
        <v>3.919</v>
      </c>
      <c r="F3207">
        <v>134.3571</v>
      </c>
      <c r="G3207">
        <v>1447301.24</v>
      </c>
      <c r="H3207" t="str">
        <f>TEXT(Ventas[[#This Row],[Fecha_venta]],"dd")</f>
        <v>22</v>
      </c>
      <c r="I3207" t="str">
        <f>TEXT(Ventas[[#This Row],[Fecha_venta]],"m")</f>
        <v>4</v>
      </c>
      <c r="J3207" t="str">
        <f>TEXT(Ventas[[#This Row],[Fecha_venta]],"yyyy")</f>
        <v>2011</v>
      </c>
    </row>
    <row r="3208" spans="1:10" x14ac:dyDescent="0.25">
      <c r="A3208">
        <v>23</v>
      </c>
      <c r="B3208" s="1">
        <v>40662</v>
      </c>
      <c r="C3208">
        <v>0</v>
      </c>
      <c r="D3208">
        <v>54.2</v>
      </c>
      <c r="E3208">
        <v>3.988</v>
      </c>
      <c r="F3208">
        <v>134.43573330000001</v>
      </c>
      <c r="G3208">
        <v>1173307.3999999999</v>
      </c>
      <c r="H3208" t="str">
        <f>TEXT(Ventas[[#This Row],[Fecha_venta]],"dd")</f>
        <v>29</v>
      </c>
      <c r="I3208" t="str">
        <f>TEXT(Ventas[[#This Row],[Fecha_venta]],"m")</f>
        <v>4</v>
      </c>
      <c r="J3208" t="str">
        <f>TEXT(Ventas[[#This Row],[Fecha_venta]],"yyyy")</f>
        <v>2011</v>
      </c>
    </row>
    <row r="3209" spans="1:10" x14ac:dyDescent="0.25">
      <c r="A3209">
        <v>23</v>
      </c>
      <c r="B3209" s="1">
        <v>40669</v>
      </c>
      <c r="C3209">
        <v>0</v>
      </c>
      <c r="D3209">
        <v>50.07</v>
      </c>
      <c r="E3209">
        <v>4.0780000000000003</v>
      </c>
      <c r="F3209">
        <v>134.51436670000001</v>
      </c>
      <c r="G3209">
        <v>1359921.13</v>
      </c>
      <c r="H3209" t="str">
        <f>TEXT(Ventas[[#This Row],[Fecha_venta]],"dd")</f>
        <v>06</v>
      </c>
      <c r="I3209" t="str">
        <f>TEXT(Ventas[[#This Row],[Fecha_venta]],"m")</f>
        <v>5</v>
      </c>
      <c r="J3209" t="str">
        <f>TEXT(Ventas[[#This Row],[Fecha_venta]],"yyyy")</f>
        <v>2011</v>
      </c>
    </row>
    <row r="3210" spans="1:10" x14ac:dyDescent="0.25">
      <c r="A3210">
        <v>23</v>
      </c>
      <c r="B3210" s="1">
        <v>40676</v>
      </c>
      <c r="C3210">
        <v>0</v>
      </c>
      <c r="D3210">
        <v>55.12</v>
      </c>
      <c r="E3210">
        <v>4.0949999999999998</v>
      </c>
      <c r="F3210">
        <v>134.59299999999999</v>
      </c>
      <c r="G3210">
        <v>1254914.8700000001</v>
      </c>
      <c r="H3210" t="str">
        <f>TEXT(Ventas[[#This Row],[Fecha_venta]],"dd")</f>
        <v>13</v>
      </c>
      <c r="I3210" t="str">
        <f>TEXT(Ventas[[#This Row],[Fecha_venta]],"m")</f>
        <v>5</v>
      </c>
      <c r="J3210" t="str">
        <f>TEXT(Ventas[[#This Row],[Fecha_venta]],"yyyy")</f>
        <v>2011</v>
      </c>
    </row>
    <row r="3211" spans="1:10" x14ac:dyDescent="0.25">
      <c r="A3211">
        <v>23</v>
      </c>
      <c r="B3211" s="1">
        <v>40683</v>
      </c>
      <c r="C3211">
        <v>0</v>
      </c>
      <c r="D3211">
        <v>56.67</v>
      </c>
      <c r="E3211">
        <v>4.101</v>
      </c>
      <c r="F3211">
        <v>134.68038709999999</v>
      </c>
      <c r="G3211">
        <v>1337617.55</v>
      </c>
      <c r="H3211" t="str">
        <f>TEXT(Ventas[[#This Row],[Fecha_venta]],"dd")</f>
        <v>20</v>
      </c>
      <c r="I3211" t="str">
        <f>TEXT(Ventas[[#This Row],[Fecha_venta]],"m")</f>
        <v>5</v>
      </c>
      <c r="J3211" t="str">
        <f>TEXT(Ventas[[#This Row],[Fecha_venta]],"yyyy")</f>
        <v>2011</v>
      </c>
    </row>
    <row r="3212" spans="1:10" x14ac:dyDescent="0.25">
      <c r="A3212">
        <v>23</v>
      </c>
      <c r="B3212" s="1">
        <v>40690</v>
      </c>
      <c r="C3212">
        <v>0</v>
      </c>
      <c r="D3212">
        <v>63.27</v>
      </c>
      <c r="E3212">
        <v>4.0339999999999998</v>
      </c>
      <c r="F3212">
        <v>134.76777419999999</v>
      </c>
      <c r="G3212">
        <v>1361945.18</v>
      </c>
      <c r="H3212" t="str">
        <f>TEXT(Ventas[[#This Row],[Fecha_venta]],"dd")</f>
        <v>27</v>
      </c>
      <c r="I3212" t="str">
        <f>TEXT(Ventas[[#This Row],[Fecha_venta]],"m")</f>
        <v>5</v>
      </c>
      <c r="J3212" t="str">
        <f>TEXT(Ventas[[#This Row],[Fecha_venta]],"yyyy")</f>
        <v>2011</v>
      </c>
    </row>
    <row r="3213" spans="1:10" x14ac:dyDescent="0.25">
      <c r="A3213">
        <v>23</v>
      </c>
      <c r="B3213" s="1">
        <v>40697</v>
      </c>
      <c r="C3213">
        <v>0</v>
      </c>
      <c r="D3213">
        <v>67.209999999999994</v>
      </c>
      <c r="E3213">
        <v>3.9729999999999999</v>
      </c>
      <c r="F3213">
        <v>134.85516129999999</v>
      </c>
      <c r="G3213">
        <v>1562161.97</v>
      </c>
      <c r="H3213" t="str">
        <f>TEXT(Ventas[[#This Row],[Fecha_venta]],"dd")</f>
        <v>03</v>
      </c>
      <c r="I3213" t="str">
        <f>TEXT(Ventas[[#This Row],[Fecha_venta]],"m")</f>
        <v>6</v>
      </c>
      <c r="J3213" t="str">
        <f>TEXT(Ventas[[#This Row],[Fecha_venta]],"yyyy")</f>
        <v>2011</v>
      </c>
    </row>
    <row r="3214" spans="1:10" x14ac:dyDescent="0.25">
      <c r="A3214">
        <v>23</v>
      </c>
      <c r="B3214" s="1">
        <v>40704</v>
      </c>
      <c r="C3214">
        <v>0</v>
      </c>
      <c r="D3214">
        <v>65.23</v>
      </c>
      <c r="E3214">
        <v>3.9239999999999999</v>
      </c>
      <c r="F3214">
        <v>134.94254839999999</v>
      </c>
      <c r="G3214">
        <v>1447028.06</v>
      </c>
      <c r="H3214" t="str">
        <f>TEXT(Ventas[[#This Row],[Fecha_venta]],"dd")</f>
        <v>10</v>
      </c>
      <c r="I3214" t="str">
        <f>TEXT(Ventas[[#This Row],[Fecha_venta]],"m")</f>
        <v>6</v>
      </c>
      <c r="J3214" t="str">
        <f>TEXT(Ventas[[#This Row],[Fecha_venta]],"yyyy")</f>
        <v>2011</v>
      </c>
    </row>
    <row r="3215" spans="1:10" x14ac:dyDescent="0.25">
      <c r="A3215">
        <v>23</v>
      </c>
      <c r="B3215" s="1">
        <v>40711</v>
      </c>
      <c r="C3215">
        <v>0</v>
      </c>
      <c r="D3215">
        <v>61.06</v>
      </c>
      <c r="E3215">
        <v>3.8730000000000002</v>
      </c>
      <c r="F3215">
        <v>135.08373330000001</v>
      </c>
      <c r="G3215">
        <v>1470520.83</v>
      </c>
      <c r="H3215" t="str">
        <f>TEXT(Ventas[[#This Row],[Fecha_venta]],"dd")</f>
        <v>17</v>
      </c>
      <c r="I3215" t="str">
        <f>TEXT(Ventas[[#This Row],[Fecha_venta]],"m")</f>
        <v>6</v>
      </c>
      <c r="J3215" t="str">
        <f>TEXT(Ventas[[#This Row],[Fecha_venta]],"yyyy")</f>
        <v>2011</v>
      </c>
    </row>
    <row r="3216" spans="1:10" x14ac:dyDescent="0.25">
      <c r="A3216">
        <v>23</v>
      </c>
      <c r="B3216" s="1">
        <v>40718</v>
      </c>
      <c r="C3216">
        <v>0</v>
      </c>
      <c r="D3216">
        <v>63.8</v>
      </c>
      <c r="E3216">
        <v>3.851</v>
      </c>
      <c r="F3216">
        <v>135.26526670000001</v>
      </c>
      <c r="G3216">
        <v>1434036.18</v>
      </c>
      <c r="H3216" t="str">
        <f>TEXT(Ventas[[#This Row],[Fecha_venta]],"dd")</f>
        <v>24</v>
      </c>
      <c r="I3216" t="str">
        <f>TEXT(Ventas[[#This Row],[Fecha_venta]],"m")</f>
        <v>6</v>
      </c>
      <c r="J3216" t="str">
        <f>TEXT(Ventas[[#This Row],[Fecha_venta]],"yyyy")</f>
        <v>2011</v>
      </c>
    </row>
    <row r="3217" spans="1:10" x14ac:dyDescent="0.25">
      <c r="A3217">
        <v>23</v>
      </c>
      <c r="B3217" s="1">
        <v>40725</v>
      </c>
      <c r="C3217">
        <v>0</v>
      </c>
      <c r="D3217">
        <v>65.650000000000006</v>
      </c>
      <c r="E3217">
        <v>3.8149999999999999</v>
      </c>
      <c r="F3217">
        <v>135.4468</v>
      </c>
      <c r="G3217">
        <v>1492507.44</v>
      </c>
      <c r="H3217" t="str">
        <f>TEXT(Ventas[[#This Row],[Fecha_venta]],"dd")</f>
        <v>01</v>
      </c>
      <c r="I3217" t="str">
        <f>TEXT(Ventas[[#This Row],[Fecha_venta]],"m")</f>
        <v>7</v>
      </c>
      <c r="J3217" t="str">
        <f>TEXT(Ventas[[#This Row],[Fecha_venta]],"yyyy")</f>
        <v>2011</v>
      </c>
    </row>
    <row r="3218" spans="1:10" x14ac:dyDescent="0.25">
      <c r="A3218">
        <v>23</v>
      </c>
      <c r="B3218" s="1">
        <v>40732</v>
      </c>
      <c r="C3218">
        <v>0</v>
      </c>
      <c r="D3218">
        <v>69.92</v>
      </c>
      <c r="E3218">
        <v>3.7839999999999998</v>
      </c>
      <c r="F3218">
        <v>135.62833330000001</v>
      </c>
      <c r="G3218">
        <v>1379488.05</v>
      </c>
      <c r="H3218" t="str">
        <f>TEXT(Ventas[[#This Row],[Fecha_venta]],"dd")</f>
        <v>08</v>
      </c>
      <c r="I3218" t="str">
        <f>TEXT(Ventas[[#This Row],[Fecha_venta]],"m")</f>
        <v>7</v>
      </c>
      <c r="J3218" t="str">
        <f>TEXT(Ventas[[#This Row],[Fecha_venta]],"yyyy")</f>
        <v>2011</v>
      </c>
    </row>
    <row r="3219" spans="1:10" x14ac:dyDescent="0.25">
      <c r="A3219">
        <v>23</v>
      </c>
      <c r="B3219" s="1">
        <v>40739</v>
      </c>
      <c r="C3219">
        <v>0</v>
      </c>
      <c r="D3219">
        <v>69.8</v>
      </c>
      <c r="E3219">
        <v>3.827</v>
      </c>
      <c r="F3219">
        <v>135.7837419</v>
      </c>
      <c r="G3219">
        <v>1360520.56</v>
      </c>
      <c r="H3219" t="str">
        <f>TEXT(Ventas[[#This Row],[Fecha_venta]],"dd")</f>
        <v>15</v>
      </c>
      <c r="I3219" t="str">
        <f>TEXT(Ventas[[#This Row],[Fecha_venta]],"m")</f>
        <v>7</v>
      </c>
      <c r="J3219" t="str">
        <f>TEXT(Ventas[[#This Row],[Fecha_venta]],"yyyy")</f>
        <v>2011</v>
      </c>
    </row>
    <row r="3220" spans="1:10" x14ac:dyDescent="0.25">
      <c r="A3220">
        <v>23</v>
      </c>
      <c r="B3220" s="1">
        <v>40746</v>
      </c>
      <c r="C3220">
        <v>0</v>
      </c>
      <c r="D3220">
        <v>76.739999999999995</v>
      </c>
      <c r="E3220">
        <v>3.8820000000000001</v>
      </c>
      <c r="F3220">
        <v>135.87383869999999</v>
      </c>
      <c r="G3220">
        <v>1362144</v>
      </c>
      <c r="H3220" t="str">
        <f>TEXT(Ventas[[#This Row],[Fecha_venta]],"dd")</f>
        <v>22</v>
      </c>
      <c r="I3220" t="str">
        <f>TEXT(Ventas[[#This Row],[Fecha_venta]],"m")</f>
        <v>7</v>
      </c>
      <c r="J3220" t="str">
        <f>TEXT(Ventas[[#This Row],[Fecha_venta]],"yyyy")</f>
        <v>2011</v>
      </c>
    </row>
    <row r="3221" spans="1:10" x14ac:dyDescent="0.25">
      <c r="A3221">
        <v>23</v>
      </c>
      <c r="B3221" s="1">
        <v>40753</v>
      </c>
      <c r="C3221">
        <v>0</v>
      </c>
      <c r="D3221">
        <v>69.55</v>
      </c>
      <c r="E3221">
        <v>3.8980000000000001</v>
      </c>
      <c r="F3221">
        <v>135.96393549999999</v>
      </c>
      <c r="G3221">
        <v>1319767.55</v>
      </c>
      <c r="H3221" t="str">
        <f>TEXT(Ventas[[#This Row],[Fecha_venta]],"dd")</f>
        <v>29</v>
      </c>
      <c r="I3221" t="str">
        <f>TEXT(Ventas[[#This Row],[Fecha_venta]],"m")</f>
        <v>7</v>
      </c>
      <c r="J3221" t="str">
        <f>TEXT(Ventas[[#This Row],[Fecha_venta]],"yyyy")</f>
        <v>2011</v>
      </c>
    </row>
    <row r="3222" spans="1:10" x14ac:dyDescent="0.25">
      <c r="A3222">
        <v>23</v>
      </c>
      <c r="B3222" s="1">
        <v>40760</v>
      </c>
      <c r="C3222">
        <v>0</v>
      </c>
      <c r="D3222">
        <v>69.53</v>
      </c>
      <c r="E3222">
        <v>3.903</v>
      </c>
      <c r="F3222">
        <v>136.05403229999999</v>
      </c>
      <c r="G3222">
        <v>1416344.68</v>
      </c>
      <c r="H3222" t="str">
        <f>TEXT(Ventas[[#This Row],[Fecha_venta]],"dd")</f>
        <v>05</v>
      </c>
      <c r="I3222" t="str">
        <f>TEXT(Ventas[[#This Row],[Fecha_venta]],"m")</f>
        <v>8</v>
      </c>
      <c r="J3222" t="str">
        <f>TEXT(Ventas[[#This Row],[Fecha_venta]],"yyyy")</f>
        <v>2011</v>
      </c>
    </row>
    <row r="3223" spans="1:10" x14ac:dyDescent="0.25">
      <c r="A3223">
        <v>23</v>
      </c>
      <c r="B3223" s="1">
        <v>40767</v>
      </c>
      <c r="C3223">
        <v>0</v>
      </c>
      <c r="D3223">
        <v>69.86</v>
      </c>
      <c r="E3223">
        <v>3.88</v>
      </c>
      <c r="F3223">
        <v>136.14412899999999</v>
      </c>
      <c r="G3223">
        <v>1380952.05</v>
      </c>
      <c r="H3223" t="str">
        <f>TEXT(Ventas[[#This Row],[Fecha_venta]],"dd")</f>
        <v>12</v>
      </c>
      <c r="I3223" t="str">
        <f>TEXT(Ventas[[#This Row],[Fecha_venta]],"m")</f>
        <v>8</v>
      </c>
      <c r="J3223" t="str">
        <f>TEXT(Ventas[[#This Row],[Fecha_venta]],"yyyy")</f>
        <v>2011</v>
      </c>
    </row>
    <row r="3224" spans="1:10" x14ac:dyDescent="0.25">
      <c r="A3224">
        <v>23</v>
      </c>
      <c r="B3224" s="1">
        <v>40774</v>
      </c>
      <c r="C3224">
        <v>0</v>
      </c>
      <c r="D3224">
        <v>67.09</v>
      </c>
      <c r="E3224">
        <v>3.82</v>
      </c>
      <c r="F3224">
        <v>136.18312900000001</v>
      </c>
      <c r="G3224">
        <v>1453416.53</v>
      </c>
      <c r="H3224" t="str">
        <f>TEXT(Ventas[[#This Row],[Fecha_venta]],"dd")</f>
        <v>19</v>
      </c>
      <c r="I3224" t="str">
        <f>TEXT(Ventas[[#This Row],[Fecha_venta]],"m")</f>
        <v>8</v>
      </c>
      <c r="J3224" t="str">
        <f>TEXT(Ventas[[#This Row],[Fecha_venta]],"yyyy")</f>
        <v>2011</v>
      </c>
    </row>
    <row r="3225" spans="1:10" x14ac:dyDescent="0.25">
      <c r="A3225">
        <v>23</v>
      </c>
      <c r="B3225" s="1">
        <v>40781</v>
      </c>
      <c r="C3225">
        <v>0</v>
      </c>
      <c r="D3225">
        <v>67.040000000000006</v>
      </c>
      <c r="E3225">
        <v>3.7959999999999998</v>
      </c>
      <c r="F3225">
        <v>136.21361289999999</v>
      </c>
      <c r="G3225">
        <v>1637266.29</v>
      </c>
      <c r="H3225" t="str">
        <f>TEXT(Ventas[[#This Row],[Fecha_venta]],"dd")</f>
        <v>26</v>
      </c>
      <c r="I3225" t="str">
        <f>TEXT(Ventas[[#This Row],[Fecha_venta]],"m")</f>
        <v>8</v>
      </c>
      <c r="J3225" t="str">
        <f>TEXT(Ventas[[#This Row],[Fecha_venta]],"yyyy")</f>
        <v>2011</v>
      </c>
    </row>
    <row r="3226" spans="1:10" x14ac:dyDescent="0.25">
      <c r="A3226">
        <v>23</v>
      </c>
      <c r="B3226" s="1">
        <v>40788</v>
      </c>
      <c r="C3226">
        <v>0</v>
      </c>
      <c r="D3226">
        <v>65.33</v>
      </c>
      <c r="E3226">
        <v>3.7839999999999998</v>
      </c>
      <c r="F3226">
        <v>136.24409679999999</v>
      </c>
      <c r="G3226">
        <v>1464295.69</v>
      </c>
      <c r="H3226" t="str">
        <f>TEXT(Ventas[[#This Row],[Fecha_venta]],"dd")</f>
        <v>02</v>
      </c>
      <c r="I3226" t="str">
        <f>TEXT(Ventas[[#This Row],[Fecha_venta]],"m")</f>
        <v>9</v>
      </c>
      <c r="J3226" t="str">
        <f>TEXT(Ventas[[#This Row],[Fecha_venta]],"yyyy")</f>
        <v>2011</v>
      </c>
    </row>
    <row r="3227" spans="1:10" x14ac:dyDescent="0.25">
      <c r="A3227">
        <v>23</v>
      </c>
      <c r="B3227" s="1">
        <v>40795</v>
      </c>
      <c r="C3227">
        <v>1</v>
      </c>
      <c r="D3227">
        <v>66.040000000000006</v>
      </c>
      <c r="E3227">
        <v>3.8090000000000002</v>
      </c>
      <c r="F3227">
        <v>136.27458060000001</v>
      </c>
      <c r="G3227">
        <v>1423289.9</v>
      </c>
      <c r="H3227" t="str">
        <f>TEXT(Ventas[[#This Row],[Fecha_venta]],"dd")</f>
        <v>09</v>
      </c>
      <c r="I3227" t="str">
        <f>TEXT(Ventas[[#This Row],[Fecha_venta]],"m")</f>
        <v>9</v>
      </c>
      <c r="J3227" t="str">
        <f>TEXT(Ventas[[#This Row],[Fecha_venta]],"yyyy")</f>
        <v>2011</v>
      </c>
    </row>
    <row r="3228" spans="1:10" x14ac:dyDescent="0.25">
      <c r="A3228">
        <v>23</v>
      </c>
      <c r="B3228" s="1">
        <v>40802</v>
      </c>
      <c r="C3228">
        <v>0</v>
      </c>
      <c r="D3228">
        <v>60.52</v>
      </c>
      <c r="E3228">
        <v>3.8090000000000002</v>
      </c>
      <c r="F3228">
        <v>136.31450000000001</v>
      </c>
      <c r="G3228">
        <v>1253329.17</v>
      </c>
      <c r="H3228" t="str">
        <f>TEXT(Ventas[[#This Row],[Fecha_venta]],"dd")</f>
        <v>16</v>
      </c>
      <c r="I3228" t="str">
        <f>TEXT(Ventas[[#This Row],[Fecha_venta]],"m")</f>
        <v>9</v>
      </c>
      <c r="J3228" t="str">
        <f>TEXT(Ventas[[#This Row],[Fecha_venta]],"yyyy")</f>
        <v>2011</v>
      </c>
    </row>
    <row r="3229" spans="1:10" x14ac:dyDescent="0.25">
      <c r="A3229">
        <v>23</v>
      </c>
      <c r="B3229" s="1">
        <v>40809</v>
      </c>
      <c r="C3229">
        <v>0</v>
      </c>
      <c r="D3229">
        <v>57.14</v>
      </c>
      <c r="E3229">
        <v>3.758</v>
      </c>
      <c r="F3229">
        <v>136.36699999999999</v>
      </c>
      <c r="G3229">
        <v>1289082.81</v>
      </c>
      <c r="H3229" t="str">
        <f>TEXT(Ventas[[#This Row],[Fecha_venta]],"dd")</f>
        <v>23</v>
      </c>
      <c r="I3229" t="str">
        <f>TEXT(Ventas[[#This Row],[Fecha_venta]],"m")</f>
        <v>9</v>
      </c>
      <c r="J3229" t="str">
        <f>TEXT(Ventas[[#This Row],[Fecha_venta]],"yyyy")</f>
        <v>2011</v>
      </c>
    </row>
    <row r="3230" spans="1:10" x14ac:dyDescent="0.25">
      <c r="A3230">
        <v>23</v>
      </c>
      <c r="B3230" s="1">
        <v>40816</v>
      </c>
      <c r="C3230">
        <v>0</v>
      </c>
      <c r="D3230">
        <v>64.760000000000005</v>
      </c>
      <c r="E3230">
        <v>3.6840000000000002</v>
      </c>
      <c r="F3230">
        <v>136.4195</v>
      </c>
      <c r="G3230">
        <v>1275597.8500000001</v>
      </c>
      <c r="H3230" t="str">
        <f>TEXT(Ventas[[#This Row],[Fecha_venta]],"dd")</f>
        <v>30</v>
      </c>
      <c r="I3230" t="str">
        <f>TEXT(Ventas[[#This Row],[Fecha_venta]],"m")</f>
        <v>9</v>
      </c>
      <c r="J3230" t="str">
        <f>TEXT(Ventas[[#This Row],[Fecha_venta]],"yyyy")</f>
        <v>2011</v>
      </c>
    </row>
    <row r="3231" spans="1:10" x14ac:dyDescent="0.25">
      <c r="A3231">
        <v>23</v>
      </c>
      <c r="B3231" s="1">
        <v>40823</v>
      </c>
      <c r="C3231">
        <v>0</v>
      </c>
      <c r="D3231">
        <v>49</v>
      </c>
      <c r="E3231">
        <v>3.633</v>
      </c>
      <c r="F3231">
        <v>136.47200000000001</v>
      </c>
      <c r="G3231">
        <v>1463501.99</v>
      </c>
      <c r="H3231" t="str">
        <f>TEXT(Ventas[[#This Row],[Fecha_venta]],"dd")</f>
        <v>07</v>
      </c>
      <c r="I3231" t="str">
        <f>TEXT(Ventas[[#This Row],[Fecha_venta]],"m")</f>
        <v>10</v>
      </c>
      <c r="J3231" t="str">
        <f>TEXT(Ventas[[#This Row],[Fecha_venta]],"yyyy")</f>
        <v>2011</v>
      </c>
    </row>
    <row r="3232" spans="1:10" x14ac:dyDescent="0.25">
      <c r="A3232">
        <v>23</v>
      </c>
      <c r="B3232" s="1">
        <v>40830</v>
      </c>
      <c r="C3232">
        <v>0</v>
      </c>
      <c r="D3232">
        <v>56.79</v>
      </c>
      <c r="E3232">
        <v>3.5830000000000002</v>
      </c>
      <c r="F3232">
        <v>136.51509680000001</v>
      </c>
      <c r="G3232">
        <v>1257778.3400000001</v>
      </c>
      <c r="H3232" t="str">
        <f>TEXT(Ventas[[#This Row],[Fecha_venta]],"dd")</f>
        <v>14</v>
      </c>
      <c r="I3232" t="str">
        <f>TEXT(Ventas[[#This Row],[Fecha_venta]],"m")</f>
        <v>10</v>
      </c>
      <c r="J3232" t="str">
        <f>TEXT(Ventas[[#This Row],[Fecha_venta]],"yyyy")</f>
        <v>2011</v>
      </c>
    </row>
    <row r="3233" spans="1:10" x14ac:dyDescent="0.25">
      <c r="A3233">
        <v>23</v>
      </c>
      <c r="B3233" s="1">
        <v>40837</v>
      </c>
      <c r="C3233">
        <v>0</v>
      </c>
      <c r="D3233">
        <v>52.12</v>
      </c>
      <c r="E3233">
        <v>3.6179999999999999</v>
      </c>
      <c r="F3233">
        <v>136.5017742</v>
      </c>
      <c r="G3233">
        <v>1441032.59</v>
      </c>
      <c r="H3233" t="str">
        <f>TEXT(Ventas[[#This Row],[Fecha_venta]],"dd")</f>
        <v>21</v>
      </c>
      <c r="I3233" t="str">
        <f>TEXT(Ventas[[#This Row],[Fecha_venta]],"m")</f>
        <v>10</v>
      </c>
      <c r="J3233" t="str">
        <f>TEXT(Ventas[[#This Row],[Fecha_venta]],"yyyy")</f>
        <v>2011</v>
      </c>
    </row>
    <row r="3234" spans="1:10" x14ac:dyDescent="0.25">
      <c r="A3234">
        <v>23</v>
      </c>
      <c r="B3234" s="1">
        <v>40844</v>
      </c>
      <c r="C3234">
        <v>0</v>
      </c>
      <c r="D3234">
        <v>42.57</v>
      </c>
      <c r="E3234">
        <v>3.6040000000000001</v>
      </c>
      <c r="F3234">
        <v>136.48845159999999</v>
      </c>
      <c r="G3234">
        <v>1407191.96</v>
      </c>
      <c r="H3234" t="str">
        <f>TEXT(Ventas[[#This Row],[Fecha_venta]],"dd")</f>
        <v>28</v>
      </c>
      <c r="I3234" t="str">
        <f>TEXT(Ventas[[#This Row],[Fecha_venta]],"m")</f>
        <v>10</v>
      </c>
      <c r="J3234" t="str">
        <f>TEXT(Ventas[[#This Row],[Fecha_venta]],"yyyy")</f>
        <v>2011</v>
      </c>
    </row>
    <row r="3235" spans="1:10" x14ac:dyDescent="0.25">
      <c r="A3235">
        <v>23</v>
      </c>
      <c r="B3235" s="1">
        <v>40851</v>
      </c>
      <c r="C3235">
        <v>0</v>
      </c>
      <c r="D3235">
        <v>39.18</v>
      </c>
      <c r="E3235">
        <v>3.5859999999999999</v>
      </c>
      <c r="F3235">
        <v>136.47512900000001</v>
      </c>
      <c r="G3235">
        <v>1428436.33</v>
      </c>
      <c r="H3235" t="str">
        <f>TEXT(Ventas[[#This Row],[Fecha_venta]],"dd")</f>
        <v>04</v>
      </c>
      <c r="I3235" t="str">
        <f>TEXT(Ventas[[#This Row],[Fecha_venta]],"m")</f>
        <v>11</v>
      </c>
      <c r="J3235" t="str">
        <f>TEXT(Ventas[[#This Row],[Fecha_venta]],"yyyy")</f>
        <v>2011</v>
      </c>
    </row>
    <row r="3236" spans="1:10" x14ac:dyDescent="0.25">
      <c r="A3236">
        <v>23</v>
      </c>
      <c r="B3236" s="1">
        <v>40858</v>
      </c>
      <c r="C3236">
        <v>0</v>
      </c>
      <c r="D3236">
        <v>44.04</v>
      </c>
      <c r="E3236">
        <v>3.57</v>
      </c>
      <c r="F3236">
        <v>136.46180649999999</v>
      </c>
      <c r="G3236">
        <v>1436940.78</v>
      </c>
      <c r="H3236" t="str">
        <f>TEXT(Ventas[[#This Row],[Fecha_venta]],"dd")</f>
        <v>11</v>
      </c>
      <c r="I3236" t="str">
        <f>TEXT(Ventas[[#This Row],[Fecha_venta]],"m")</f>
        <v>11</v>
      </c>
      <c r="J3236" t="str">
        <f>TEXT(Ventas[[#This Row],[Fecha_venta]],"yyyy")</f>
        <v>2011</v>
      </c>
    </row>
    <row r="3237" spans="1:10" x14ac:dyDescent="0.25">
      <c r="A3237">
        <v>23</v>
      </c>
      <c r="B3237" s="1">
        <v>40865</v>
      </c>
      <c r="C3237">
        <v>0</v>
      </c>
      <c r="D3237">
        <v>45.48</v>
      </c>
      <c r="E3237">
        <v>3.5710000000000002</v>
      </c>
      <c r="F3237">
        <v>136.46666669999999</v>
      </c>
      <c r="G3237">
        <v>1345631.96</v>
      </c>
      <c r="H3237" t="str">
        <f>TEXT(Ventas[[#This Row],[Fecha_venta]],"dd")</f>
        <v>18</v>
      </c>
      <c r="I3237" t="str">
        <f>TEXT(Ventas[[#This Row],[Fecha_venta]],"m")</f>
        <v>11</v>
      </c>
      <c r="J3237" t="str">
        <f>TEXT(Ventas[[#This Row],[Fecha_venta]],"yyyy")</f>
        <v>2011</v>
      </c>
    </row>
    <row r="3238" spans="1:10" x14ac:dyDescent="0.25">
      <c r="A3238">
        <v>23</v>
      </c>
      <c r="B3238" s="1">
        <v>40872</v>
      </c>
      <c r="C3238">
        <v>1</v>
      </c>
      <c r="D3238">
        <v>35.229999999999997</v>
      </c>
      <c r="E3238">
        <v>3.536</v>
      </c>
      <c r="F3238">
        <v>136.47880000000001</v>
      </c>
      <c r="G3238">
        <v>2057059.53</v>
      </c>
      <c r="H3238" t="str">
        <f>TEXT(Ventas[[#This Row],[Fecha_venta]],"dd")</f>
        <v>25</v>
      </c>
      <c r="I3238" t="str">
        <f>TEXT(Ventas[[#This Row],[Fecha_venta]],"m")</f>
        <v>11</v>
      </c>
      <c r="J3238" t="str">
        <f>TEXT(Ventas[[#This Row],[Fecha_venta]],"yyyy")</f>
        <v>2011</v>
      </c>
    </row>
    <row r="3239" spans="1:10" x14ac:dyDescent="0.25">
      <c r="A3239">
        <v>23</v>
      </c>
      <c r="B3239" s="1">
        <v>40879</v>
      </c>
      <c r="C3239">
        <v>0</v>
      </c>
      <c r="D3239">
        <v>43.6</v>
      </c>
      <c r="E3239">
        <v>3.5009999999999999</v>
      </c>
      <c r="F3239">
        <v>136.49093329999999</v>
      </c>
      <c r="G3239">
        <v>1552886.59</v>
      </c>
      <c r="H3239" t="str">
        <f>TEXT(Ventas[[#This Row],[Fecha_venta]],"dd")</f>
        <v>02</v>
      </c>
      <c r="I3239" t="str">
        <f>TEXT(Ventas[[#This Row],[Fecha_venta]],"m")</f>
        <v>12</v>
      </c>
      <c r="J3239" t="str">
        <f>TEXT(Ventas[[#This Row],[Fecha_venta]],"yyyy")</f>
        <v>2011</v>
      </c>
    </row>
    <row r="3240" spans="1:10" x14ac:dyDescent="0.25">
      <c r="A3240">
        <v>23</v>
      </c>
      <c r="B3240" s="1">
        <v>40886</v>
      </c>
      <c r="C3240">
        <v>0</v>
      </c>
      <c r="D3240">
        <v>36.4</v>
      </c>
      <c r="E3240">
        <v>3.47</v>
      </c>
      <c r="F3240">
        <v>136.50306670000001</v>
      </c>
      <c r="G3240">
        <v>1841173.6</v>
      </c>
      <c r="H3240" t="str">
        <f>TEXT(Ventas[[#This Row],[Fecha_venta]],"dd")</f>
        <v>09</v>
      </c>
      <c r="I3240" t="str">
        <f>TEXT(Ventas[[#This Row],[Fecha_venta]],"m")</f>
        <v>12</v>
      </c>
      <c r="J3240" t="str">
        <f>TEXT(Ventas[[#This Row],[Fecha_venta]],"yyyy")</f>
        <v>2011</v>
      </c>
    </row>
    <row r="3241" spans="1:10" x14ac:dyDescent="0.25">
      <c r="A3241">
        <v>23</v>
      </c>
      <c r="B3241" s="1">
        <v>40893</v>
      </c>
      <c r="C3241">
        <v>0</v>
      </c>
      <c r="D3241">
        <v>32.99</v>
      </c>
      <c r="E3241">
        <v>3.4449999999999998</v>
      </c>
      <c r="F3241">
        <v>136.53351610000001</v>
      </c>
      <c r="G3241">
        <v>2173621.2000000002</v>
      </c>
      <c r="H3241" t="str">
        <f>TEXT(Ventas[[#This Row],[Fecha_venta]],"dd")</f>
        <v>16</v>
      </c>
      <c r="I3241" t="str">
        <f>TEXT(Ventas[[#This Row],[Fecha_venta]],"m")</f>
        <v>12</v>
      </c>
      <c r="J3241" t="str">
        <f>TEXT(Ventas[[#This Row],[Fecha_venta]],"yyyy")</f>
        <v>2011</v>
      </c>
    </row>
    <row r="3242" spans="1:10" x14ac:dyDescent="0.25">
      <c r="A3242">
        <v>23</v>
      </c>
      <c r="B3242" s="1">
        <v>40900</v>
      </c>
      <c r="C3242">
        <v>0</v>
      </c>
      <c r="D3242">
        <v>27.8</v>
      </c>
      <c r="E3242">
        <v>3.4129999999999998</v>
      </c>
      <c r="F3242">
        <v>136.58838710000001</v>
      </c>
      <c r="G3242">
        <v>2587953.3199999998</v>
      </c>
      <c r="H3242" t="str">
        <f>TEXT(Ventas[[#This Row],[Fecha_venta]],"dd")</f>
        <v>23</v>
      </c>
      <c r="I3242" t="str">
        <f>TEXT(Ventas[[#This Row],[Fecha_venta]],"m")</f>
        <v>12</v>
      </c>
      <c r="J3242" t="str">
        <f>TEXT(Ventas[[#This Row],[Fecha_venta]],"yyyy")</f>
        <v>2011</v>
      </c>
    </row>
    <row r="3243" spans="1:10" x14ac:dyDescent="0.25">
      <c r="A3243">
        <v>23</v>
      </c>
      <c r="B3243" s="1">
        <v>40907</v>
      </c>
      <c r="C3243">
        <v>1</v>
      </c>
      <c r="D3243">
        <v>22.3</v>
      </c>
      <c r="E3243">
        <v>3.4020000000000001</v>
      </c>
      <c r="F3243">
        <v>136.6432581</v>
      </c>
      <c r="G3243">
        <v>1213486.95</v>
      </c>
      <c r="H3243" t="str">
        <f>TEXT(Ventas[[#This Row],[Fecha_venta]],"dd")</f>
        <v>30</v>
      </c>
      <c r="I3243" t="str">
        <f>TEXT(Ventas[[#This Row],[Fecha_venta]],"m")</f>
        <v>12</v>
      </c>
      <c r="J3243" t="str">
        <f>TEXT(Ventas[[#This Row],[Fecha_venta]],"yyyy")</f>
        <v>2011</v>
      </c>
    </row>
    <row r="3244" spans="1:10" x14ac:dyDescent="0.25">
      <c r="A3244">
        <v>23</v>
      </c>
      <c r="B3244" s="1">
        <v>40914</v>
      </c>
      <c r="C3244">
        <v>0</v>
      </c>
      <c r="D3244">
        <v>24.29</v>
      </c>
      <c r="E3244">
        <v>3.4390000000000001</v>
      </c>
      <c r="F3244">
        <v>136.69812899999999</v>
      </c>
      <c r="G3244">
        <v>1150662.55</v>
      </c>
      <c r="H3244" t="str">
        <f>TEXT(Ventas[[#This Row],[Fecha_venta]],"dd")</f>
        <v>06</v>
      </c>
      <c r="I3244" t="str">
        <f>TEXT(Ventas[[#This Row],[Fecha_venta]],"m")</f>
        <v>1</v>
      </c>
      <c r="J3244" t="str">
        <f>TEXT(Ventas[[#This Row],[Fecha_venta]],"yyyy")</f>
        <v>2012</v>
      </c>
    </row>
    <row r="3245" spans="1:10" x14ac:dyDescent="0.25">
      <c r="A3245">
        <v>23</v>
      </c>
      <c r="B3245" s="1">
        <v>40921</v>
      </c>
      <c r="C3245">
        <v>0</v>
      </c>
      <c r="D3245">
        <v>28.49</v>
      </c>
      <c r="E3245">
        <v>3.5230000000000001</v>
      </c>
      <c r="F3245">
        <v>136.75299999999999</v>
      </c>
      <c r="G3245">
        <v>1031451.35</v>
      </c>
      <c r="H3245" t="str">
        <f>TEXT(Ventas[[#This Row],[Fecha_venta]],"dd")</f>
        <v>13</v>
      </c>
      <c r="I3245" t="str">
        <f>TEXT(Ventas[[#This Row],[Fecha_venta]],"m")</f>
        <v>1</v>
      </c>
      <c r="J3245" t="str">
        <f>TEXT(Ventas[[#This Row],[Fecha_venta]],"yyyy")</f>
        <v>2012</v>
      </c>
    </row>
    <row r="3246" spans="1:10" x14ac:dyDescent="0.25">
      <c r="A3246">
        <v>23</v>
      </c>
      <c r="B3246" s="1">
        <v>40928</v>
      </c>
      <c r="C3246">
        <v>0</v>
      </c>
      <c r="D3246">
        <v>15.33</v>
      </c>
      <c r="E3246">
        <v>3.5419999999999998</v>
      </c>
      <c r="F3246">
        <v>136.85641939999999</v>
      </c>
      <c r="G3246">
        <v>1146992.1299999999</v>
      </c>
      <c r="H3246" t="str">
        <f>TEXT(Ventas[[#This Row],[Fecha_venta]],"dd")</f>
        <v>20</v>
      </c>
      <c r="I3246" t="str">
        <f>TEXT(Ventas[[#This Row],[Fecha_venta]],"m")</f>
        <v>1</v>
      </c>
      <c r="J3246" t="str">
        <f>TEXT(Ventas[[#This Row],[Fecha_venta]],"yyyy")</f>
        <v>2012</v>
      </c>
    </row>
    <row r="3247" spans="1:10" x14ac:dyDescent="0.25">
      <c r="A3247">
        <v>23</v>
      </c>
      <c r="B3247" s="1">
        <v>40935</v>
      </c>
      <c r="C3247">
        <v>0</v>
      </c>
      <c r="D3247">
        <v>25.71</v>
      </c>
      <c r="E3247">
        <v>3.5680000000000001</v>
      </c>
      <c r="F3247">
        <v>136.95983870000001</v>
      </c>
      <c r="G3247">
        <v>1037476.38</v>
      </c>
      <c r="H3247" t="str">
        <f>TEXT(Ventas[[#This Row],[Fecha_venta]],"dd")</f>
        <v>27</v>
      </c>
      <c r="I3247" t="str">
        <f>TEXT(Ventas[[#This Row],[Fecha_venta]],"m")</f>
        <v>1</v>
      </c>
      <c r="J3247" t="str">
        <f>TEXT(Ventas[[#This Row],[Fecha_venta]],"yyyy")</f>
        <v>2012</v>
      </c>
    </row>
    <row r="3248" spans="1:10" x14ac:dyDescent="0.25">
      <c r="A3248">
        <v>23</v>
      </c>
      <c r="B3248" s="1">
        <v>40942</v>
      </c>
      <c r="C3248">
        <v>0</v>
      </c>
      <c r="D3248">
        <v>29.71</v>
      </c>
      <c r="E3248">
        <v>3.633</v>
      </c>
      <c r="F3248">
        <v>137.06325810000001</v>
      </c>
      <c r="G3248">
        <v>1261872.67</v>
      </c>
      <c r="H3248" t="str">
        <f>TEXT(Ventas[[#This Row],[Fecha_venta]],"dd")</f>
        <v>03</v>
      </c>
      <c r="I3248" t="str">
        <f>TEXT(Ventas[[#This Row],[Fecha_venta]],"m")</f>
        <v>2</v>
      </c>
      <c r="J3248" t="str">
        <f>TEXT(Ventas[[#This Row],[Fecha_venta]],"yyyy")</f>
        <v>2012</v>
      </c>
    </row>
    <row r="3249" spans="1:10" x14ac:dyDescent="0.25">
      <c r="A3249">
        <v>23</v>
      </c>
      <c r="B3249" s="1">
        <v>40949</v>
      </c>
      <c r="C3249">
        <v>1</v>
      </c>
      <c r="D3249">
        <v>26.6</v>
      </c>
      <c r="E3249">
        <v>3.6549999999999998</v>
      </c>
      <c r="F3249">
        <v>137.1666774</v>
      </c>
      <c r="G3249">
        <v>1358444.07</v>
      </c>
      <c r="H3249" t="str">
        <f>TEXT(Ventas[[#This Row],[Fecha_venta]],"dd")</f>
        <v>10</v>
      </c>
      <c r="I3249" t="str">
        <f>TEXT(Ventas[[#This Row],[Fecha_venta]],"m")</f>
        <v>2</v>
      </c>
      <c r="J3249" t="str">
        <f>TEXT(Ventas[[#This Row],[Fecha_venta]],"yyyy")</f>
        <v>2012</v>
      </c>
    </row>
    <row r="3250" spans="1:10" x14ac:dyDescent="0.25">
      <c r="A3250">
        <v>23</v>
      </c>
      <c r="B3250" s="1">
        <v>40956</v>
      </c>
      <c r="C3250">
        <v>0</v>
      </c>
      <c r="D3250">
        <v>27.01</v>
      </c>
      <c r="E3250">
        <v>3.7029999999999998</v>
      </c>
      <c r="F3250">
        <v>137.25831030000001</v>
      </c>
      <c r="G3250">
        <v>1365546.69</v>
      </c>
      <c r="H3250" t="str">
        <f>TEXT(Ventas[[#This Row],[Fecha_venta]],"dd")</f>
        <v>17</v>
      </c>
      <c r="I3250" t="str">
        <f>TEXT(Ventas[[#This Row],[Fecha_venta]],"m")</f>
        <v>2</v>
      </c>
      <c r="J3250" t="str">
        <f>TEXT(Ventas[[#This Row],[Fecha_venta]],"yyyy")</f>
        <v>2012</v>
      </c>
    </row>
    <row r="3251" spans="1:10" x14ac:dyDescent="0.25">
      <c r="A3251">
        <v>23</v>
      </c>
      <c r="B3251" s="1">
        <v>40963</v>
      </c>
      <c r="C3251">
        <v>0</v>
      </c>
      <c r="D3251">
        <v>31.12</v>
      </c>
      <c r="E3251">
        <v>3.7509999999999999</v>
      </c>
      <c r="F3251">
        <v>137.34110340000001</v>
      </c>
      <c r="G3251">
        <v>1272948.27</v>
      </c>
      <c r="H3251" t="str">
        <f>TEXT(Ventas[[#This Row],[Fecha_venta]],"dd")</f>
        <v>24</v>
      </c>
      <c r="I3251" t="str">
        <f>TEXT(Ventas[[#This Row],[Fecha_venta]],"m")</f>
        <v>2</v>
      </c>
      <c r="J3251" t="str">
        <f>TEXT(Ventas[[#This Row],[Fecha_venta]],"yyyy")</f>
        <v>2012</v>
      </c>
    </row>
    <row r="3252" spans="1:10" x14ac:dyDescent="0.25">
      <c r="A3252">
        <v>23</v>
      </c>
      <c r="B3252" s="1">
        <v>40970</v>
      </c>
      <c r="C3252">
        <v>0</v>
      </c>
      <c r="D3252">
        <v>25.91</v>
      </c>
      <c r="E3252">
        <v>3.827</v>
      </c>
      <c r="F3252">
        <v>137.42389660000001</v>
      </c>
      <c r="G3252">
        <v>1322852.2</v>
      </c>
      <c r="H3252" t="str">
        <f>TEXT(Ventas[[#This Row],[Fecha_venta]],"dd")</f>
        <v>02</v>
      </c>
      <c r="I3252" t="str">
        <f>TEXT(Ventas[[#This Row],[Fecha_venta]],"m")</f>
        <v>3</v>
      </c>
      <c r="J3252" t="str">
        <f>TEXT(Ventas[[#This Row],[Fecha_venta]],"yyyy")</f>
        <v>2012</v>
      </c>
    </row>
    <row r="3253" spans="1:10" x14ac:dyDescent="0.25">
      <c r="A3253">
        <v>23</v>
      </c>
      <c r="B3253" s="1">
        <v>40977</v>
      </c>
      <c r="C3253">
        <v>0</v>
      </c>
      <c r="D3253">
        <v>33.11</v>
      </c>
      <c r="E3253">
        <v>3.8759999999999999</v>
      </c>
      <c r="F3253">
        <v>137.50668970000001</v>
      </c>
      <c r="G3253">
        <v>1292724.8999999999</v>
      </c>
      <c r="H3253" t="str">
        <f>TEXT(Ventas[[#This Row],[Fecha_venta]],"dd")</f>
        <v>09</v>
      </c>
      <c r="I3253" t="str">
        <f>TEXT(Ventas[[#This Row],[Fecha_venta]],"m")</f>
        <v>3</v>
      </c>
      <c r="J3253" t="str">
        <f>TEXT(Ventas[[#This Row],[Fecha_venta]],"yyyy")</f>
        <v>2012</v>
      </c>
    </row>
    <row r="3254" spans="1:10" x14ac:dyDescent="0.25">
      <c r="A3254">
        <v>23</v>
      </c>
      <c r="B3254" s="1">
        <v>40984</v>
      </c>
      <c r="C3254">
        <v>0</v>
      </c>
      <c r="D3254">
        <v>41.19</v>
      </c>
      <c r="E3254">
        <v>3.867</v>
      </c>
      <c r="F3254">
        <v>137.58438709999999</v>
      </c>
      <c r="G3254">
        <v>1258364.31</v>
      </c>
      <c r="H3254" t="str">
        <f>TEXT(Ventas[[#This Row],[Fecha_venta]],"dd")</f>
        <v>16</v>
      </c>
      <c r="I3254" t="str">
        <f>TEXT(Ventas[[#This Row],[Fecha_venta]],"m")</f>
        <v>3</v>
      </c>
      <c r="J3254" t="str">
        <f>TEXT(Ventas[[#This Row],[Fecha_venta]],"yyyy")</f>
        <v>2012</v>
      </c>
    </row>
    <row r="3255" spans="1:10" x14ac:dyDescent="0.25">
      <c r="A3255">
        <v>23</v>
      </c>
      <c r="B3255" s="1">
        <v>40991</v>
      </c>
      <c r="C3255">
        <v>0</v>
      </c>
      <c r="D3255">
        <v>57.82</v>
      </c>
      <c r="E3255">
        <v>3.8889999999999998</v>
      </c>
      <c r="F3255">
        <v>137.65529029999999</v>
      </c>
      <c r="G3255">
        <v>1288154.1000000001</v>
      </c>
      <c r="H3255" t="str">
        <f>TEXT(Ventas[[#This Row],[Fecha_venta]],"dd")</f>
        <v>23</v>
      </c>
      <c r="I3255" t="str">
        <f>TEXT(Ventas[[#This Row],[Fecha_venta]],"m")</f>
        <v>3</v>
      </c>
      <c r="J3255" t="str">
        <f>TEXT(Ventas[[#This Row],[Fecha_venta]],"yyyy")</f>
        <v>2012</v>
      </c>
    </row>
    <row r="3256" spans="1:10" x14ac:dyDescent="0.25">
      <c r="A3256">
        <v>23</v>
      </c>
      <c r="B3256" s="1">
        <v>40998</v>
      </c>
      <c r="C3256">
        <v>0</v>
      </c>
      <c r="D3256">
        <v>36.71</v>
      </c>
      <c r="E3256">
        <v>3.9209999999999998</v>
      </c>
      <c r="F3256">
        <v>137.72619349999999</v>
      </c>
      <c r="G3256">
        <v>1261964.96</v>
      </c>
      <c r="H3256" t="str">
        <f>TEXT(Ventas[[#This Row],[Fecha_venta]],"dd")</f>
        <v>30</v>
      </c>
      <c r="I3256" t="str">
        <f>TEXT(Ventas[[#This Row],[Fecha_venta]],"m")</f>
        <v>3</v>
      </c>
      <c r="J3256" t="str">
        <f>TEXT(Ventas[[#This Row],[Fecha_venta]],"yyyy")</f>
        <v>2012</v>
      </c>
    </row>
    <row r="3257" spans="1:10" x14ac:dyDescent="0.25">
      <c r="A3257">
        <v>23</v>
      </c>
      <c r="B3257" s="1">
        <v>41005</v>
      </c>
      <c r="C3257">
        <v>0</v>
      </c>
      <c r="D3257">
        <v>37.43</v>
      </c>
      <c r="E3257">
        <v>3.9569999999999999</v>
      </c>
      <c r="F3257">
        <v>137.79709679999999</v>
      </c>
      <c r="G3257">
        <v>1604605.69</v>
      </c>
      <c r="H3257" t="str">
        <f>TEXT(Ventas[[#This Row],[Fecha_venta]],"dd")</f>
        <v>06</v>
      </c>
      <c r="I3257" t="str">
        <f>TEXT(Ventas[[#This Row],[Fecha_venta]],"m")</f>
        <v>4</v>
      </c>
      <c r="J3257" t="str">
        <f>TEXT(Ventas[[#This Row],[Fecha_venta]],"yyyy")</f>
        <v>2012</v>
      </c>
    </row>
    <row r="3258" spans="1:10" x14ac:dyDescent="0.25">
      <c r="A3258">
        <v>23</v>
      </c>
      <c r="B3258" s="1">
        <v>41012</v>
      </c>
      <c r="C3258">
        <v>0</v>
      </c>
      <c r="D3258">
        <v>41.81</v>
      </c>
      <c r="E3258">
        <v>4.0250000000000004</v>
      </c>
      <c r="F3258">
        <v>137.86799999999999</v>
      </c>
      <c r="G3258">
        <v>1231752.54</v>
      </c>
      <c r="H3258" t="str">
        <f>TEXT(Ventas[[#This Row],[Fecha_venta]],"dd")</f>
        <v>13</v>
      </c>
      <c r="I3258" t="str">
        <f>TEXT(Ventas[[#This Row],[Fecha_venta]],"m")</f>
        <v>4</v>
      </c>
      <c r="J3258" t="str">
        <f>TEXT(Ventas[[#This Row],[Fecha_venta]],"yyyy")</f>
        <v>2012</v>
      </c>
    </row>
    <row r="3259" spans="1:10" x14ac:dyDescent="0.25">
      <c r="A3259">
        <v>23</v>
      </c>
      <c r="B3259" s="1">
        <v>41019</v>
      </c>
      <c r="C3259">
        <v>0</v>
      </c>
      <c r="D3259">
        <v>56.55</v>
      </c>
      <c r="E3259">
        <v>4.0460000000000003</v>
      </c>
      <c r="F3259">
        <v>137.92306669999999</v>
      </c>
      <c r="G3259">
        <v>1287899.4099999999</v>
      </c>
      <c r="H3259" t="str">
        <f>TEXT(Ventas[[#This Row],[Fecha_venta]],"dd")</f>
        <v>20</v>
      </c>
      <c r="I3259" t="str">
        <f>TEXT(Ventas[[#This Row],[Fecha_venta]],"m")</f>
        <v>4</v>
      </c>
      <c r="J3259" t="str">
        <f>TEXT(Ventas[[#This Row],[Fecha_venta]],"yyyy")</f>
        <v>2012</v>
      </c>
    </row>
    <row r="3260" spans="1:10" x14ac:dyDescent="0.25">
      <c r="A3260">
        <v>23</v>
      </c>
      <c r="B3260" s="1">
        <v>41026</v>
      </c>
      <c r="C3260">
        <v>0</v>
      </c>
      <c r="D3260">
        <v>44.62</v>
      </c>
      <c r="E3260">
        <v>4.0229999999999997</v>
      </c>
      <c r="F3260">
        <v>137.9781333</v>
      </c>
      <c r="G3260">
        <v>1277758.76</v>
      </c>
      <c r="H3260" t="str">
        <f>TEXT(Ventas[[#This Row],[Fecha_venta]],"dd")</f>
        <v>27</v>
      </c>
      <c r="I3260" t="str">
        <f>TEXT(Ventas[[#This Row],[Fecha_venta]],"m")</f>
        <v>4</v>
      </c>
      <c r="J3260" t="str">
        <f>TEXT(Ventas[[#This Row],[Fecha_venta]],"yyyy")</f>
        <v>2012</v>
      </c>
    </row>
    <row r="3261" spans="1:10" x14ac:dyDescent="0.25">
      <c r="A3261">
        <v>23</v>
      </c>
      <c r="B3261" s="1">
        <v>41033</v>
      </c>
      <c r="C3261">
        <v>0</v>
      </c>
      <c r="D3261">
        <v>45.88</v>
      </c>
      <c r="E3261">
        <v>3.9910000000000001</v>
      </c>
      <c r="F3261">
        <v>138.03319999999999</v>
      </c>
      <c r="G3261">
        <v>1317379.68</v>
      </c>
      <c r="H3261" t="str">
        <f>TEXT(Ventas[[#This Row],[Fecha_venta]],"dd")</f>
        <v>04</v>
      </c>
      <c r="I3261" t="str">
        <f>TEXT(Ventas[[#This Row],[Fecha_venta]],"m")</f>
        <v>5</v>
      </c>
      <c r="J3261" t="str">
        <f>TEXT(Ventas[[#This Row],[Fecha_venta]],"yyyy")</f>
        <v>2012</v>
      </c>
    </row>
    <row r="3262" spans="1:10" x14ac:dyDescent="0.25">
      <c r="A3262">
        <v>23</v>
      </c>
      <c r="B3262" s="1">
        <v>41040</v>
      </c>
      <c r="C3262">
        <v>0</v>
      </c>
      <c r="D3262">
        <v>52.9</v>
      </c>
      <c r="E3262">
        <v>3.9470000000000001</v>
      </c>
      <c r="F3262">
        <v>138.08826669999999</v>
      </c>
      <c r="G3262">
        <v>1321914.3400000001</v>
      </c>
      <c r="H3262" t="str">
        <f>TEXT(Ventas[[#This Row],[Fecha_venta]],"dd")</f>
        <v>11</v>
      </c>
      <c r="I3262" t="str">
        <f>TEXT(Ventas[[#This Row],[Fecha_venta]],"m")</f>
        <v>5</v>
      </c>
      <c r="J3262" t="str">
        <f>TEXT(Ventas[[#This Row],[Fecha_venta]],"yyyy")</f>
        <v>2012</v>
      </c>
    </row>
    <row r="3263" spans="1:10" x14ac:dyDescent="0.25">
      <c r="A3263">
        <v>23</v>
      </c>
      <c r="B3263" s="1">
        <v>41047</v>
      </c>
      <c r="C3263">
        <v>0</v>
      </c>
      <c r="D3263">
        <v>58.42</v>
      </c>
      <c r="E3263">
        <v>3.899</v>
      </c>
      <c r="F3263">
        <v>138.1065806</v>
      </c>
      <c r="G3263">
        <v>1332952.47</v>
      </c>
      <c r="H3263" t="str">
        <f>TEXT(Ventas[[#This Row],[Fecha_venta]],"dd")</f>
        <v>18</v>
      </c>
      <c r="I3263" t="str">
        <f>TEXT(Ventas[[#This Row],[Fecha_venta]],"m")</f>
        <v>5</v>
      </c>
      <c r="J3263" t="str">
        <f>TEXT(Ventas[[#This Row],[Fecha_venta]],"yyyy")</f>
        <v>2012</v>
      </c>
    </row>
    <row r="3264" spans="1:10" x14ac:dyDescent="0.25">
      <c r="A3264">
        <v>23</v>
      </c>
      <c r="B3264" s="1">
        <v>41054</v>
      </c>
      <c r="C3264">
        <v>0</v>
      </c>
      <c r="D3264">
        <v>66.430000000000007</v>
      </c>
      <c r="E3264">
        <v>3.85</v>
      </c>
      <c r="F3264">
        <v>138.11019350000001</v>
      </c>
      <c r="G3264">
        <v>1552934.64</v>
      </c>
      <c r="H3264" t="str">
        <f>TEXT(Ventas[[#This Row],[Fecha_venta]],"dd")</f>
        <v>25</v>
      </c>
      <c r="I3264" t="str">
        <f>TEXT(Ventas[[#This Row],[Fecha_venta]],"m")</f>
        <v>5</v>
      </c>
      <c r="J3264" t="str">
        <f>TEXT(Ventas[[#This Row],[Fecha_venta]],"yyyy")</f>
        <v>2012</v>
      </c>
    </row>
    <row r="3265" spans="1:10" x14ac:dyDescent="0.25">
      <c r="A3265">
        <v>23</v>
      </c>
      <c r="B3265" s="1">
        <v>41061</v>
      </c>
      <c r="C3265">
        <v>0</v>
      </c>
      <c r="D3265">
        <v>66.22</v>
      </c>
      <c r="E3265">
        <v>3.798</v>
      </c>
      <c r="F3265">
        <v>138.11380650000001</v>
      </c>
      <c r="G3265">
        <v>1476144.34</v>
      </c>
      <c r="H3265" t="str">
        <f>TEXT(Ventas[[#This Row],[Fecha_venta]],"dd")</f>
        <v>01</v>
      </c>
      <c r="I3265" t="str">
        <f>TEXT(Ventas[[#This Row],[Fecha_venta]],"m")</f>
        <v>6</v>
      </c>
      <c r="J3265" t="str">
        <f>TEXT(Ventas[[#This Row],[Fecha_venta]],"yyyy")</f>
        <v>2012</v>
      </c>
    </row>
    <row r="3266" spans="1:10" x14ac:dyDescent="0.25">
      <c r="A3266">
        <v>23</v>
      </c>
      <c r="B3266" s="1">
        <v>41068</v>
      </c>
      <c r="C3266">
        <v>0</v>
      </c>
      <c r="D3266">
        <v>56.82</v>
      </c>
      <c r="E3266">
        <v>3.746</v>
      </c>
      <c r="F3266">
        <v>138.11741939999999</v>
      </c>
      <c r="G3266">
        <v>1568048.54</v>
      </c>
      <c r="H3266" t="str">
        <f>TEXT(Ventas[[#This Row],[Fecha_venta]],"dd")</f>
        <v>08</v>
      </c>
      <c r="I3266" t="str">
        <f>TEXT(Ventas[[#This Row],[Fecha_venta]],"m")</f>
        <v>6</v>
      </c>
      <c r="J3266" t="str">
        <f>TEXT(Ventas[[#This Row],[Fecha_venta]],"yyyy")</f>
        <v>2012</v>
      </c>
    </row>
    <row r="3267" spans="1:10" x14ac:dyDescent="0.25">
      <c r="A3267">
        <v>23</v>
      </c>
      <c r="B3267" s="1">
        <v>41075</v>
      </c>
      <c r="C3267">
        <v>0</v>
      </c>
      <c r="D3267">
        <v>64.73</v>
      </c>
      <c r="E3267">
        <v>3.6829999999999998</v>
      </c>
      <c r="F3267">
        <v>138.12953329999999</v>
      </c>
      <c r="G3267">
        <v>1543667.68</v>
      </c>
      <c r="H3267" t="str">
        <f>TEXT(Ventas[[#This Row],[Fecha_venta]],"dd")</f>
        <v>15</v>
      </c>
      <c r="I3267" t="str">
        <f>TEXT(Ventas[[#This Row],[Fecha_venta]],"m")</f>
        <v>6</v>
      </c>
      <c r="J3267" t="str">
        <f>TEXT(Ventas[[#This Row],[Fecha_venta]],"yyyy")</f>
        <v>2012</v>
      </c>
    </row>
    <row r="3268" spans="1:10" x14ac:dyDescent="0.25">
      <c r="A3268">
        <v>23</v>
      </c>
      <c r="B3268" s="1">
        <v>41082</v>
      </c>
      <c r="C3268">
        <v>0</v>
      </c>
      <c r="D3268">
        <v>71.819999999999993</v>
      </c>
      <c r="E3268">
        <v>3.629</v>
      </c>
      <c r="F3268">
        <v>138.16290000000001</v>
      </c>
      <c r="G3268">
        <v>1522042.57</v>
      </c>
      <c r="H3268" t="str">
        <f>TEXT(Ventas[[#This Row],[Fecha_venta]],"dd")</f>
        <v>22</v>
      </c>
      <c r="I3268" t="str">
        <f>TEXT(Ventas[[#This Row],[Fecha_venta]],"m")</f>
        <v>6</v>
      </c>
      <c r="J3268" t="str">
        <f>TEXT(Ventas[[#This Row],[Fecha_venta]],"yyyy")</f>
        <v>2012</v>
      </c>
    </row>
    <row r="3269" spans="1:10" x14ac:dyDescent="0.25">
      <c r="A3269">
        <v>23</v>
      </c>
      <c r="B3269" s="1">
        <v>41089</v>
      </c>
      <c r="C3269">
        <v>0</v>
      </c>
      <c r="D3269">
        <v>64.23</v>
      </c>
      <c r="E3269">
        <v>3.577</v>
      </c>
      <c r="F3269">
        <v>138.1962667</v>
      </c>
      <c r="G3269">
        <v>1451782.16</v>
      </c>
      <c r="H3269" t="str">
        <f>TEXT(Ventas[[#This Row],[Fecha_venta]],"dd")</f>
        <v>29</v>
      </c>
      <c r="I3269" t="str">
        <f>TEXT(Ventas[[#This Row],[Fecha_venta]],"m")</f>
        <v>6</v>
      </c>
      <c r="J3269" t="str">
        <f>TEXT(Ventas[[#This Row],[Fecha_venta]],"yyyy")</f>
        <v>2012</v>
      </c>
    </row>
    <row r="3270" spans="1:10" x14ac:dyDescent="0.25">
      <c r="A3270">
        <v>23</v>
      </c>
      <c r="B3270" s="1">
        <v>41096</v>
      </c>
      <c r="C3270">
        <v>0</v>
      </c>
      <c r="D3270">
        <v>70.86</v>
      </c>
      <c r="E3270">
        <v>3.5379999999999998</v>
      </c>
      <c r="F3270">
        <v>138.22963329999999</v>
      </c>
      <c r="G3270">
        <v>1545370.16</v>
      </c>
      <c r="H3270" t="str">
        <f>TEXT(Ventas[[#This Row],[Fecha_venta]],"dd")</f>
        <v>06</v>
      </c>
      <c r="I3270" t="str">
        <f>TEXT(Ventas[[#This Row],[Fecha_venta]],"m")</f>
        <v>7</v>
      </c>
      <c r="J3270" t="str">
        <f>TEXT(Ventas[[#This Row],[Fecha_venta]],"yyyy")</f>
        <v>2012</v>
      </c>
    </row>
    <row r="3271" spans="1:10" x14ac:dyDescent="0.25">
      <c r="A3271">
        <v>23</v>
      </c>
      <c r="B3271" s="1">
        <v>41103</v>
      </c>
      <c r="C3271">
        <v>0</v>
      </c>
      <c r="D3271">
        <v>69.19</v>
      </c>
      <c r="E3271">
        <v>3.5609999999999999</v>
      </c>
      <c r="F3271">
        <v>138.26300000000001</v>
      </c>
      <c r="G3271">
        <v>1384921.63</v>
      </c>
      <c r="H3271" t="str">
        <f>TEXT(Ventas[[#This Row],[Fecha_venta]],"dd")</f>
        <v>13</v>
      </c>
      <c r="I3271" t="str">
        <f>TEXT(Ventas[[#This Row],[Fecha_venta]],"m")</f>
        <v>7</v>
      </c>
      <c r="J3271" t="str">
        <f>TEXT(Ventas[[#This Row],[Fecha_venta]],"yyyy")</f>
        <v>2012</v>
      </c>
    </row>
    <row r="3272" spans="1:10" x14ac:dyDescent="0.25">
      <c r="A3272">
        <v>23</v>
      </c>
      <c r="B3272" s="1">
        <v>41110</v>
      </c>
      <c r="C3272">
        <v>0</v>
      </c>
      <c r="D3272">
        <v>71.13</v>
      </c>
      <c r="E3272">
        <v>3.61</v>
      </c>
      <c r="F3272">
        <v>138.2331935</v>
      </c>
      <c r="G3272">
        <v>1381339.23</v>
      </c>
      <c r="H3272" t="str">
        <f>TEXT(Ventas[[#This Row],[Fecha_venta]],"dd")</f>
        <v>20</v>
      </c>
      <c r="I3272" t="str">
        <f>TEXT(Ventas[[#This Row],[Fecha_venta]],"m")</f>
        <v>7</v>
      </c>
      <c r="J3272" t="str">
        <f>TEXT(Ventas[[#This Row],[Fecha_venta]],"yyyy")</f>
        <v>2012</v>
      </c>
    </row>
    <row r="3273" spans="1:10" x14ac:dyDescent="0.25">
      <c r="A3273">
        <v>23</v>
      </c>
      <c r="B3273" s="1">
        <v>41117</v>
      </c>
      <c r="C3273">
        <v>0</v>
      </c>
      <c r="D3273">
        <v>69.31</v>
      </c>
      <c r="E3273">
        <v>3.7010000000000001</v>
      </c>
      <c r="F3273">
        <v>138.20338709999999</v>
      </c>
      <c r="G3273">
        <v>1322932.3600000001</v>
      </c>
      <c r="H3273" t="str">
        <f>TEXT(Ventas[[#This Row],[Fecha_venta]],"dd")</f>
        <v>27</v>
      </c>
      <c r="I3273" t="str">
        <f>TEXT(Ventas[[#This Row],[Fecha_venta]],"m")</f>
        <v>7</v>
      </c>
      <c r="J3273" t="str">
        <f>TEXT(Ventas[[#This Row],[Fecha_venta]],"yyyy")</f>
        <v>2012</v>
      </c>
    </row>
    <row r="3274" spans="1:10" x14ac:dyDescent="0.25">
      <c r="A3274">
        <v>23</v>
      </c>
      <c r="B3274" s="1">
        <v>41124</v>
      </c>
      <c r="C3274">
        <v>0</v>
      </c>
      <c r="D3274">
        <v>71.510000000000005</v>
      </c>
      <c r="E3274">
        <v>3.698</v>
      </c>
      <c r="F3274">
        <v>138.17358060000001</v>
      </c>
      <c r="G3274">
        <v>1416926.31</v>
      </c>
      <c r="H3274" t="str">
        <f>TEXT(Ventas[[#This Row],[Fecha_venta]],"dd")</f>
        <v>03</v>
      </c>
      <c r="I3274" t="str">
        <f>TEXT(Ventas[[#This Row],[Fecha_venta]],"m")</f>
        <v>8</v>
      </c>
      <c r="J3274" t="str">
        <f>TEXT(Ventas[[#This Row],[Fecha_venta]],"yyyy")</f>
        <v>2012</v>
      </c>
    </row>
    <row r="3275" spans="1:10" x14ac:dyDescent="0.25">
      <c r="A3275">
        <v>23</v>
      </c>
      <c r="B3275" s="1">
        <v>41131</v>
      </c>
      <c r="C3275">
        <v>0</v>
      </c>
      <c r="D3275">
        <v>71.12</v>
      </c>
      <c r="E3275">
        <v>3.7719999999999998</v>
      </c>
      <c r="F3275">
        <v>138.1437742</v>
      </c>
      <c r="G3275">
        <v>1436311.76</v>
      </c>
      <c r="H3275" t="str">
        <f>TEXT(Ventas[[#This Row],[Fecha_venta]],"dd")</f>
        <v>10</v>
      </c>
      <c r="I3275" t="str">
        <f>TEXT(Ventas[[#This Row],[Fecha_venta]],"m")</f>
        <v>8</v>
      </c>
      <c r="J3275" t="str">
        <f>TEXT(Ventas[[#This Row],[Fecha_venta]],"yyyy")</f>
        <v>2012</v>
      </c>
    </row>
    <row r="3276" spans="1:10" x14ac:dyDescent="0.25">
      <c r="A3276">
        <v>23</v>
      </c>
      <c r="B3276" s="1">
        <v>41138</v>
      </c>
      <c r="C3276">
        <v>0</v>
      </c>
      <c r="D3276">
        <v>69.97</v>
      </c>
      <c r="E3276">
        <v>3.84</v>
      </c>
      <c r="F3276">
        <v>138.18570969999999</v>
      </c>
      <c r="G3276">
        <v>1510131.45</v>
      </c>
      <c r="H3276" t="str">
        <f>TEXT(Ventas[[#This Row],[Fecha_venta]],"dd")</f>
        <v>17</v>
      </c>
      <c r="I3276" t="str">
        <f>TEXT(Ventas[[#This Row],[Fecha_venta]],"m")</f>
        <v>8</v>
      </c>
      <c r="J3276" t="str">
        <f>TEXT(Ventas[[#This Row],[Fecha_venta]],"yyyy")</f>
        <v>2012</v>
      </c>
    </row>
    <row r="3277" spans="1:10" x14ac:dyDescent="0.25">
      <c r="A3277">
        <v>23</v>
      </c>
      <c r="B3277" s="1">
        <v>41145</v>
      </c>
      <c r="C3277">
        <v>0</v>
      </c>
      <c r="D3277">
        <v>64.63</v>
      </c>
      <c r="E3277">
        <v>3.8740000000000001</v>
      </c>
      <c r="F3277">
        <v>138.2814516</v>
      </c>
      <c r="G3277">
        <v>1702220.96</v>
      </c>
      <c r="H3277" t="str">
        <f>TEXT(Ventas[[#This Row],[Fecha_venta]],"dd")</f>
        <v>24</v>
      </c>
      <c r="I3277" t="str">
        <f>TEXT(Ventas[[#This Row],[Fecha_venta]],"m")</f>
        <v>8</v>
      </c>
      <c r="J3277" t="str">
        <f>TEXT(Ventas[[#This Row],[Fecha_venta]],"yyyy")</f>
        <v>2012</v>
      </c>
    </row>
    <row r="3278" spans="1:10" x14ac:dyDescent="0.25">
      <c r="A3278">
        <v>23</v>
      </c>
      <c r="B3278" s="1">
        <v>41152</v>
      </c>
      <c r="C3278">
        <v>0</v>
      </c>
      <c r="D3278">
        <v>68.34</v>
      </c>
      <c r="E3278">
        <v>3.8839999999999999</v>
      </c>
      <c r="F3278">
        <v>138.3771935</v>
      </c>
      <c r="G3278">
        <v>1577468.78</v>
      </c>
      <c r="H3278" t="str">
        <f>TEXT(Ventas[[#This Row],[Fecha_venta]],"dd")</f>
        <v>31</v>
      </c>
      <c r="I3278" t="str">
        <f>TEXT(Ventas[[#This Row],[Fecha_venta]],"m")</f>
        <v>8</v>
      </c>
      <c r="J3278" t="str">
        <f>TEXT(Ventas[[#This Row],[Fecha_venta]],"yyyy")</f>
        <v>2012</v>
      </c>
    </row>
    <row r="3279" spans="1:10" x14ac:dyDescent="0.25">
      <c r="A3279">
        <v>23</v>
      </c>
      <c r="B3279" s="1">
        <v>41159</v>
      </c>
      <c r="C3279">
        <v>1</v>
      </c>
      <c r="D3279">
        <v>66.739999999999995</v>
      </c>
      <c r="E3279">
        <v>3.9209999999999998</v>
      </c>
      <c r="F3279">
        <v>138.47293550000001</v>
      </c>
      <c r="G3279">
        <v>1427162.26</v>
      </c>
      <c r="H3279" t="str">
        <f>TEXT(Ventas[[#This Row],[Fecha_venta]],"dd")</f>
        <v>07</v>
      </c>
      <c r="I3279" t="str">
        <f>TEXT(Ventas[[#This Row],[Fecha_venta]],"m")</f>
        <v>9</v>
      </c>
      <c r="J3279" t="str">
        <f>TEXT(Ventas[[#This Row],[Fecha_venta]],"yyyy")</f>
        <v>2012</v>
      </c>
    </row>
    <row r="3280" spans="1:10" x14ac:dyDescent="0.25">
      <c r="A3280">
        <v>23</v>
      </c>
      <c r="B3280" s="1">
        <v>41166</v>
      </c>
      <c r="C3280">
        <v>0</v>
      </c>
      <c r="D3280">
        <v>61.37</v>
      </c>
      <c r="E3280">
        <v>3.988</v>
      </c>
      <c r="F3280">
        <v>138.56729999999999</v>
      </c>
      <c r="G3280">
        <v>1279041.6399999999</v>
      </c>
      <c r="H3280" t="str">
        <f>TEXT(Ventas[[#This Row],[Fecha_venta]],"dd")</f>
        <v>14</v>
      </c>
      <c r="I3280" t="str">
        <f>TEXT(Ventas[[#This Row],[Fecha_venta]],"m")</f>
        <v>9</v>
      </c>
      <c r="J3280" t="str">
        <f>TEXT(Ventas[[#This Row],[Fecha_venta]],"yyyy")</f>
        <v>2012</v>
      </c>
    </row>
    <row r="3281" spans="1:10" x14ac:dyDescent="0.25">
      <c r="A3281">
        <v>23</v>
      </c>
      <c r="B3281" s="1">
        <v>41173</v>
      </c>
      <c r="C3281">
        <v>0</v>
      </c>
      <c r="D3281">
        <v>56.8</v>
      </c>
      <c r="E3281">
        <v>4.056</v>
      </c>
      <c r="F3281">
        <v>138.6534</v>
      </c>
      <c r="G3281">
        <v>1338627.55</v>
      </c>
      <c r="H3281" t="str">
        <f>TEXT(Ventas[[#This Row],[Fecha_venta]],"dd")</f>
        <v>21</v>
      </c>
      <c r="I3281" t="str">
        <f>TEXT(Ventas[[#This Row],[Fecha_venta]],"m")</f>
        <v>9</v>
      </c>
      <c r="J3281" t="str">
        <f>TEXT(Ventas[[#This Row],[Fecha_venta]],"yyyy")</f>
        <v>2012</v>
      </c>
    </row>
    <row r="3282" spans="1:10" x14ac:dyDescent="0.25">
      <c r="A3282">
        <v>23</v>
      </c>
      <c r="B3282" s="1">
        <v>41180</v>
      </c>
      <c r="C3282">
        <v>0</v>
      </c>
      <c r="D3282">
        <v>53.71</v>
      </c>
      <c r="E3282">
        <v>4.0179999999999998</v>
      </c>
      <c r="F3282">
        <v>138.73949999999999</v>
      </c>
      <c r="G3282">
        <v>1319035.06</v>
      </c>
      <c r="H3282" t="str">
        <f>TEXT(Ventas[[#This Row],[Fecha_venta]],"dd")</f>
        <v>28</v>
      </c>
      <c r="I3282" t="str">
        <f>TEXT(Ventas[[#This Row],[Fecha_venta]],"m")</f>
        <v>9</v>
      </c>
      <c r="J3282" t="str">
        <f>TEXT(Ventas[[#This Row],[Fecha_venta]],"yyyy")</f>
        <v>2012</v>
      </c>
    </row>
    <row r="3283" spans="1:10" x14ac:dyDescent="0.25">
      <c r="A3283">
        <v>23</v>
      </c>
      <c r="B3283" s="1">
        <v>41187</v>
      </c>
      <c r="C3283">
        <v>0</v>
      </c>
      <c r="D3283">
        <v>56.65</v>
      </c>
      <c r="E3283">
        <v>4.0270000000000001</v>
      </c>
      <c r="F3283">
        <v>138.82560000000001</v>
      </c>
      <c r="G3283">
        <v>1464616.59</v>
      </c>
      <c r="H3283" t="str">
        <f>TEXT(Ventas[[#This Row],[Fecha_venta]],"dd")</f>
        <v>05</v>
      </c>
      <c r="I3283" t="str">
        <f>TEXT(Ventas[[#This Row],[Fecha_venta]],"m")</f>
        <v>10</v>
      </c>
      <c r="J3283" t="str">
        <f>TEXT(Ventas[[#This Row],[Fecha_venta]],"yyyy")</f>
        <v>2012</v>
      </c>
    </row>
    <row r="3284" spans="1:10" x14ac:dyDescent="0.25">
      <c r="A3284">
        <v>23</v>
      </c>
      <c r="B3284" s="1">
        <v>41194</v>
      </c>
      <c r="C3284">
        <v>0</v>
      </c>
      <c r="D3284">
        <v>48.1</v>
      </c>
      <c r="E3284">
        <v>4.0289999999999999</v>
      </c>
      <c r="F3284">
        <v>138.9117</v>
      </c>
      <c r="G3284">
        <v>1412925.25</v>
      </c>
      <c r="H3284" t="str">
        <f>TEXT(Ventas[[#This Row],[Fecha_venta]],"dd")</f>
        <v>12</v>
      </c>
      <c r="I3284" t="str">
        <f>TEXT(Ventas[[#This Row],[Fecha_venta]],"m")</f>
        <v>10</v>
      </c>
      <c r="J3284" t="str">
        <f>TEXT(Ventas[[#This Row],[Fecha_venta]],"yyyy")</f>
        <v>2012</v>
      </c>
    </row>
    <row r="3285" spans="1:10" x14ac:dyDescent="0.25">
      <c r="A3285">
        <v>23</v>
      </c>
      <c r="B3285" s="1">
        <v>41201</v>
      </c>
      <c r="C3285">
        <v>0</v>
      </c>
      <c r="D3285">
        <v>47.89</v>
      </c>
      <c r="E3285">
        <v>4</v>
      </c>
      <c r="F3285">
        <v>138.83361289999999</v>
      </c>
      <c r="G3285">
        <v>1363155.77</v>
      </c>
      <c r="H3285" t="str">
        <f>TEXT(Ventas[[#This Row],[Fecha_venta]],"dd")</f>
        <v>19</v>
      </c>
      <c r="I3285" t="str">
        <f>TEXT(Ventas[[#This Row],[Fecha_venta]],"m")</f>
        <v>10</v>
      </c>
      <c r="J3285" t="str">
        <f>TEXT(Ventas[[#This Row],[Fecha_venta]],"yyyy")</f>
        <v>2012</v>
      </c>
    </row>
    <row r="3286" spans="1:10" x14ac:dyDescent="0.25">
      <c r="A3286">
        <v>23</v>
      </c>
      <c r="B3286" s="1">
        <v>41208</v>
      </c>
      <c r="C3286">
        <v>0</v>
      </c>
      <c r="D3286">
        <v>50.56</v>
      </c>
      <c r="E3286">
        <v>3.9169999999999998</v>
      </c>
      <c r="F3286">
        <v>138.72816130000001</v>
      </c>
      <c r="G3286">
        <v>1347454.59</v>
      </c>
      <c r="H3286" t="str">
        <f>TEXT(Ventas[[#This Row],[Fecha_venta]],"dd")</f>
        <v>26</v>
      </c>
      <c r="I3286" t="str">
        <f>TEXT(Ventas[[#This Row],[Fecha_venta]],"m")</f>
        <v>10</v>
      </c>
      <c r="J3286" t="str">
        <f>TEXT(Ventas[[#This Row],[Fecha_venta]],"yyyy")</f>
        <v>2012</v>
      </c>
    </row>
    <row r="3287" spans="1:10" x14ac:dyDescent="0.25">
      <c r="A3287">
        <v>24</v>
      </c>
      <c r="B3287" s="1">
        <v>40214</v>
      </c>
      <c r="C3287">
        <v>0</v>
      </c>
      <c r="D3287">
        <v>22.43</v>
      </c>
      <c r="E3287">
        <v>2.9540000000000002</v>
      </c>
      <c r="F3287">
        <v>131.5279032</v>
      </c>
      <c r="G3287">
        <v>1388725.63</v>
      </c>
      <c r="H3287" t="str">
        <f>TEXT(Ventas[[#This Row],[Fecha_venta]],"dd")</f>
        <v>05</v>
      </c>
      <c r="I3287" t="str">
        <f>TEXT(Ventas[[#This Row],[Fecha_venta]],"m")</f>
        <v>2</v>
      </c>
      <c r="J3287" t="str">
        <f>TEXT(Ventas[[#This Row],[Fecha_venta]],"yyyy")</f>
        <v>2010</v>
      </c>
    </row>
    <row r="3288" spans="1:10" x14ac:dyDescent="0.25">
      <c r="A3288">
        <v>24</v>
      </c>
      <c r="B3288" s="1">
        <v>40221</v>
      </c>
      <c r="C3288">
        <v>1</v>
      </c>
      <c r="D3288">
        <v>25.94</v>
      </c>
      <c r="E3288">
        <v>2.94</v>
      </c>
      <c r="F3288">
        <v>131.58661290000001</v>
      </c>
      <c r="G3288">
        <v>1414107.1</v>
      </c>
      <c r="H3288" t="str">
        <f>TEXT(Ventas[[#This Row],[Fecha_venta]],"dd")</f>
        <v>12</v>
      </c>
      <c r="I3288" t="str">
        <f>TEXT(Ventas[[#This Row],[Fecha_venta]],"m")</f>
        <v>2</v>
      </c>
      <c r="J3288" t="str">
        <f>TEXT(Ventas[[#This Row],[Fecha_venta]],"yyyy")</f>
        <v>2010</v>
      </c>
    </row>
    <row r="3289" spans="1:10" x14ac:dyDescent="0.25">
      <c r="A3289">
        <v>24</v>
      </c>
      <c r="B3289" s="1">
        <v>40228</v>
      </c>
      <c r="C3289">
        <v>0</v>
      </c>
      <c r="D3289">
        <v>31.05</v>
      </c>
      <c r="E3289">
        <v>2.9089999999999998</v>
      </c>
      <c r="F3289">
        <v>131.637</v>
      </c>
      <c r="G3289">
        <v>1385362.49</v>
      </c>
      <c r="H3289" t="str">
        <f>TEXT(Ventas[[#This Row],[Fecha_venta]],"dd")</f>
        <v>19</v>
      </c>
      <c r="I3289" t="str">
        <f>TEXT(Ventas[[#This Row],[Fecha_venta]],"m")</f>
        <v>2</v>
      </c>
      <c r="J3289" t="str">
        <f>TEXT(Ventas[[#This Row],[Fecha_venta]],"yyyy")</f>
        <v>2010</v>
      </c>
    </row>
    <row r="3290" spans="1:10" x14ac:dyDescent="0.25">
      <c r="A3290">
        <v>24</v>
      </c>
      <c r="B3290" s="1">
        <v>40235</v>
      </c>
      <c r="C3290">
        <v>0</v>
      </c>
      <c r="D3290">
        <v>33.979999999999997</v>
      </c>
      <c r="E3290">
        <v>2.91</v>
      </c>
      <c r="F3290">
        <v>131.68600000000001</v>
      </c>
      <c r="G3290">
        <v>1158722.74</v>
      </c>
      <c r="H3290" t="str">
        <f>TEXT(Ventas[[#This Row],[Fecha_venta]],"dd")</f>
        <v>26</v>
      </c>
      <c r="I3290" t="str">
        <f>TEXT(Ventas[[#This Row],[Fecha_venta]],"m")</f>
        <v>2</v>
      </c>
      <c r="J3290" t="str">
        <f>TEXT(Ventas[[#This Row],[Fecha_venta]],"yyyy")</f>
        <v>2010</v>
      </c>
    </row>
    <row r="3291" spans="1:10" x14ac:dyDescent="0.25">
      <c r="A3291">
        <v>24</v>
      </c>
      <c r="B3291" s="1">
        <v>40242</v>
      </c>
      <c r="C3291">
        <v>0</v>
      </c>
      <c r="D3291">
        <v>36.729999999999997</v>
      </c>
      <c r="E3291">
        <v>2.919</v>
      </c>
      <c r="F3291">
        <v>131.73500000000001</v>
      </c>
      <c r="G3291">
        <v>1412387.37</v>
      </c>
      <c r="H3291" t="str">
        <f>TEXT(Ventas[[#This Row],[Fecha_venta]],"dd")</f>
        <v>05</v>
      </c>
      <c r="I3291" t="str">
        <f>TEXT(Ventas[[#This Row],[Fecha_venta]],"m")</f>
        <v>3</v>
      </c>
      <c r="J3291" t="str">
        <f>TEXT(Ventas[[#This Row],[Fecha_venta]],"yyyy")</f>
        <v>2010</v>
      </c>
    </row>
    <row r="3292" spans="1:10" x14ac:dyDescent="0.25">
      <c r="A3292">
        <v>24</v>
      </c>
      <c r="B3292" s="1">
        <v>40249</v>
      </c>
      <c r="C3292">
        <v>0</v>
      </c>
      <c r="D3292">
        <v>42.31</v>
      </c>
      <c r="E3292">
        <v>2.9380000000000002</v>
      </c>
      <c r="F3292">
        <v>131.78399999999999</v>
      </c>
      <c r="G3292">
        <v>1309340.1599999999</v>
      </c>
      <c r="H3292" t="str">
        <f>TEXT(Ventas[[#This Row],[Fecha_venta]],"dd")</f>
        <v>12</v>
      </c>
      <c r="I3292" t="str">
        <f>TEXT(Ventas[[#This Row],[Fecha_venta]],"m")</f>
        <v>3</v>
      </c>
      <c r="J3292" t="str">
        <f>TEXT(Ventas[[#This Row],[Fecha_venta]],"yyyy")</f>
        <v>2010</v>
      </c>
    </row>
    <row r="3293" spans="1:10" x14ac:dyDescent="0.25">
      <c r="A3293">
        <v>24</v>
      </c>
      <c r="B3293" s="1">
        <v>40256</v>
      </c>
      <c r="C3293">
        <v>0</v>
      </c>
      <c r="D3293">
        <v>46.09</v>
      </c>
      <c r="E3293">
        <v>2.96</v>
      </c>
      <c r="F3293">
        <v>131.8242903</v>
      </c>
      <c r="G3293">
        <v>1222511.29</v>
      </c>
      <c r="H3293" t="str">
        <f>TEXT(Ventas[[#This Row],[Fecha_venta]],"dd")</f>
        <v>19</v>
      </c>
      <c r="I3293" t="str">
        <f>TEXT(Ventas[[#This Row],[Fecha_venta]],"m")</f>
        <v>3</v>
      </c>
      <c r="J3293" t="str">
        <f>TEXT(Ventas[[#This Row],[Fecha_venta]],"yyyy")</f>
        <v>2010</v>
      </c>
    </row>
    <row r="3294" spans="1:10" x14ac:dyDescent="0.25">
      <c r="A3294">
        <v>24</v>
      </c>
      <c r="B3294" s="1">
        <v>40263</v>
      </c>
      <c r="C3294">
        <v>0</v>
      </c>
      <c r="D3294">
        <v>48.87</v>
      </c>
      <c r="E3294">
        <v>2.9630000000000001</v>
      </c>
      <c r="F3294">
        <v>131.86312899999999</v>
      </c>
      <c r="G3294">
        <v>1258311.56</v>
      </c>
      <c r="H3294" t="str">
        <f>TEXT(Ventas[[#This Row],[Fecha_venta]],"dd")</f>
        <v>26</v>
      </c>
      <c r="I3294" t="str">
        <f>TEXT(Ventas[[#This Row],[Fecha_venta]],"m")</f>
        <v>3</v>
      </c>
      <c r="J3294" t="str">
        <f>TEXT(Ventas[[#This Row],[Fecha_venta]],"yyyy")</f>
        <v>2010</v>
      </c>
    </row>
    <row r="3295" spans="1:10" x14ac:dyDescent="0.25">
      <c r="A3295">
        <v>24</v>
      </c>
      <c r="B3295" s="1">
        <v>40270</v>
      </c>
      <c r="C3295">
        <v>0</v>
      </c>
      <c r="D3295">
        <v>45.22</v>
      </c>
      <c r="E3295">
        <v>2.9569999999999999</v>
      </c>
      <c r="F3295">
        <v>131.9019677</v>
      </c>
      <c r="G3295">
        <v>1478321.26</v>
      </c>
      <c r="H3295" t="str">
        <f>TEXT(Ventas[[#This Row],[Fecha_venta]],"dd")</f>
        <v>02</v>
      </c>
      <c r="I3295" t="str">
        <f>TEXT(Ventas[[#This Row],[Fecha_venta]],"m")</f>
        <v>4</v>
      </c>
      <c r="J3295" t="str">
        <f>TEXT(Ventas[[#This Row],[Fecha_venta]],"yyyy")</f>
        <v>2010</v>
      </c>
    </row>
    <row r="3296" spans="1:10" x14ac:dyDescent="0.25">
      <c r="A3296">
        <v>24</v>
      </c>
      <c r="B3296" s="1">
        <v>40277</v>
      </c>
      <c r="C3296">
        <v>0</v>
      </c>
      <c r="D3296">
        <v>62.06</v>
      </c>
      <c r="E3296">
        <v>2.992</v>
      </c>
      <c r="F3296">
        <v>131.94080650000001</v>
      </c>
      <c r="G3296">
        <v>1379579.63</v>
      </c>
      <c r="H3296" t="str">
        <f>TEXT(Ventas[[#This Row],[Fecha_venta]],"dd")</f>
        <v>09</v>
      </c>
      <c r="I3296" t="str">
        <f>TEXT(Ventas[[#This Row],[Fecha_venta]],"m")</f>
        <v>4</v>
      </c>
      <c r="J3296" t="str">
        <f>TEXT(Ventas[[#This Row],[Fecha_venta]],"yyyy")</f>
        <v>2010</v>
      </c>
    </row>
    <row r="3297" spans="1:10" x14ac:dyDescent="0.25">
      <c r="A3297">
        <v>24</v>
      </c>
      <c r="B3297" s="1">
        <v>40284</v>
      </c>
      <c r="C3297">
        <v>0</v>
      </c>
      <c r="D3297">
        <v>51.08</v>
      </c>
      <c r="E3297">
        <v>3.01</v>
      </c>
      <c r="F3297">
        <v>131.98089999999999</v>
      </c>
      <c r="G3297">
        <v>1268266.72</v>
      </c>
      <c r="H3297" t="str">
        <f>TEXT(Ventas[[#This Row],[Fecha_venta]],"dd")</f>
        <v>16</v>
      </c>
      <c r="I3297" t="str">
        <f>TEXT(Ventas[[#This Row],[Fecha_venta]],"m")</f>
        <v>4</v>
      </c>
      <c r="J3297" t="str">
        <f>TEXT(Ventas[[#This Row],[Fecha_venta]],"yyyy")</f>
        <v>2010</v>
      </c>
    </row>
    <row r="3298" spans="1:10" x14ac:dyDescent="0.25">
      <c r="A3298">
        <v>24</v>
      </c>
      <c r="B3298" s="1">
        <v>40291</v>
      </c>
      <c r="C3298">
        <v>0</v>
      </c>
      <c r="D3298">
        <v>51.07</v>
      </c>
      <c r="E3298">
        <v>3.0209999999999999</v>
      </c>
      <c r="F3298">
        <v>132.0226667</v>
      </c>
      <c r="G3298">
        <v>1264117.01</v>
      </c>
      <c r="H3298" t="str">
        <f>TEXT(Ventas[[#This Row],[Fecha_venta]],"dd")</f>
        <v>23</v>
      </c>
      <c r="I3298" t="str">
        <f>TEXT(Ventas[[#This Row],[Fecha_venta]],"m")</f>
        <v>4</v>
      </c>
      <c r="J3298" t="str">
        <f>TEXT(Ventas[[#This Row],[Fecha_venta]],"yyyy")</f>
        <v>2010</v>
      </c>
    </row>
    <row r="3299" spans="1:10" x14ac:dyDescent="0.25">
      <c r="A3299">
        <v>24</v>
      </c>
      <c r="B3299" s="1">
        <v>40298</v>
      </c>
      <c r="C3299">
        <v>0</v>
      </c>
      <c r="D3299">
        <v>51.48</v>
      </c>
      <c r="E3299">
        <v>3.0419999999999998</v>
      </c>
      <c r="F3299">
        <v>132.06443329999999</v>
      </c>
      <c r="G3299">
        <v>1259877.19</v>
      </c>
      <c r="H3299" t="str">
        <f>TEXT(Ventas[[#This Row],[Fecha_venta]],"dd")</f>
        <v>30</v>
      </c>
      <c r="I3299" t="str">
        <f>TEXT(Ventas[[#This Row],[Fecha_venta]],"m")</f>
        <v>4</v>
      </c>
      <c r="J3299" t="str">
        <f>TEXT(Ventas[[#This Row],[Fecha_venta]],"yyyy")</f>
        <v>2010</v>
      </c>
    </row>
    <row r="3300" spans="1:10" x14ac:dyDescent="0.25">
      <c r="A3300">
        <v>24</v>
      </c>
      <c r="B3300" s="1">
        <v>40305</v>
      </c>
      <c r="C3300">
        <v>0</v>
      </c>
      <c r="D3300">
        <v>66.650000000000006</v>
      </c>
      <c r="E3300">
        <v>3.0950000000000002</v>
      </c>
      <c r="F3300">
        <v>132.1062</v>
      </c>
      <c r="G3300">
        <v>1409705.03</v>
      </c>
      <c r="H3300" t="str">
        <f>TEXT(Ventas[[#This Row],[Fecha_venta]],"dd")</f>
        <v>07</v>
      </c>
      <c r="I3300" t="str">
        <f>TEXT(Ventas[[#This Row],[Fecha_venta]],"m")</f>
        <v>5</v>
      </c>
      <c r="J3300" t="str">
        <f>TEXT(Ventas[[#This Row],[Fecha_venta]],"yyyy")</f>
        <v>2010</v>
      </c>
    </row>
    <row r="3301" spans="1:10" x14ac:dyDescent="0.25">
      <c r="A3301">
        <v>24</v>
      </c>
      <c r="B3301" s="1">
        <v>40312</v>
      </c>
      <c r="C3301">
        <v>0</v>
      </c>
      <c r="D3301">
        <v>51.31</v>
      </c>
      <c r="E3301">
        <v>3.1120000000000001</v>
      </c>
      <c r="F3301">
        <v>132.152129</v>
      </c>
      <c r="G3301">
        <v>1346783.35</v>
      </c>
      <c r="H3301" t="str">
        <f>TEXT(Ventas[[#This Row],[Fecha_venta]],"dd")</f>
        <v>14</v>
      </c>
      <c r="I3301" t="str">
        <f>TEXT(Ventas[[#This Row],[Fecha_venta]],"m")</f>
        <v>5</v>
      </c>
      <c r="J3301" t="str">
        <f>TEXT(Ventas[[#This Row],[Fecha_venta]],"yyyy")</f>
        <v>2010</v>
      </c>
    </row>
    <row r="3302" spans="1:10" x14ac:dyDescent="0.25">
      <c r="A3302">
        <v>24</v>
      </c>
      <c r="B3302" s="1">
        <v>40319</v>
      </c>
      <c r="C3302">
        <v>0</v>
      </c>
      <c r="D3302">
        <v>60.44</v>
      </c>
      <c r="E3302">
        <v>3.0960000000000001</v>
      </c>
      <c r="F3302">
        <v>132.2230323</v>
      </c>
      <c r="G3302">
        <v>1283482.8500000001</v>
      </c>
      <c r="H3302" t="str">
        <f>TEXT(Ventas[[#This Row],[Fecha_venta]],"dd")</f>
        <v>21</v>
      </c>
      <c r="I3302" t="str">
        <f>TEXT(Ventas[[#This Row],[Fecha_venta]],"m")</f>
        <v>5</v>
      </c>
      <c r="J3302" t="str">
        <f>TEXT(Ventas[[#This Row],[Fecha_venta]],"yyyy")</f>
        <v>2010</v>
      </c>
    </row>
    <row r="3303" spans="1:10" x14ac:dyDescent="0.25">
      <c r="A3303">
        <v>24</v>
      </c>
      <c r="B3303" s="1">
        <v>40326</v>
      </c>
      <c r="C3303">
        <v>0</v>
      </c>
      <c r="D3303">
        <v>69.59</v>
      </c>
      <c r="E3303">
        <v>3.0459999999999998</v>
      </c>
      <c r="F3303">
        <v>132.2939355</v>
      </c>
      <c r="G3303">
        <v>1473868.15</v>
      </c>
      <c r="H3303" t="str">
        <f>TEXT(Ventas[[#This Row],[Fecha_venta]],"dd")</f>
        <v>28</v>
      </c>
      <c r="I3303" t="str">
        <f>TEXT(Ventas[[#This Row],[Fecha_venta]],"m")</f>
        <v>5</v>
      </c>
      <c r="J3303" t="str">
        <f>TEXT(Ventas[[#This Row],[Fecha_venta]],"yyyy")</f>
        <v>2010</v>
      </c>
    </row>
    <row r="3304" spans="1:10" x14ac:dyDescent="0.25">
      <c r="A3304">
        <v>24</v>
      </c>
      <c r="B3304" s="1">
        <v>40333</v>
      </c>
      <c r="C3304">
        <v>0</v>
      </c>
      <c r="D3304">
        <v>71.989999999999995</v>
      </c>
      <c r="E3304">
        <v>3.0059999999999998</v>
      </c>
      <c r="F3304">
        <v>132.36483870000001</v>
      </c>
      <c r="G3304">
        <v>1566668.91</v>
      </c>
      <c r="H3304" t="str">
        <f>TEXT(Ventas[[#This Row],[Fecha_venta]],"dd")</f>
        <v>04</v>
      </c>
      <c r="I3304" t="str">
        <f>TEXT(Ventas[[#This Row],[Fecha_venta]],"m")</f>
        <v>6</v>
      </c>
      <c r="J3304" t="str">
        <f>TEXT(Ventas[[#This Row],[Fecha_venta]],"yyyy")</f>
        <v>2010</v>
      </c>
    </row>
    <row r="3305" spans="1:10" x14ac:dyDescent="0.25">
      <c r="A3305">
        <v>24</v>
      </c>
      <c r="B3305" s="1">
        <v>40340</v>
      </c>
      <c r="C3305">
        <v>0</v>
      </c>
      <c r="D3305">
        <v>64.84</v>
      </c>
      <c r="E3305">
        <v>2.972</v>
      </c>
      <c r="F3305">
        <v>132.43574190000001</v>
      </c>
      <c r="G3305">
        <v>1375458.21</v>
      </c>
      <c r="H3305" t="str">
        <f>TEXT(Ventas[[#This Row],[Fecha_venta]],"dd")</f>
        <v>11</v>
      </c>
      <c r="I3305" t="str">
        <f>TEXT(Ventas[[#This Row],[Fecha_venta]],"m")</f>
        <v>6</v>
      </c>
      <c r="J3305" t="str">
        <f>TEXT(Ventas[[#This Row],[Fecha_venta]],"yyyy")</f>
        <v>2010</v>
      </c>
    </row>
    <row r="3306" spans="1:10" x14ac:dyDescent="0.25">
      <c r="A3306">
        <v>24</v>
      </c>
      <c r="B3306" s="1">
        <v>40347</v>
      </c>
      <c r="C3306">
        <v>0</v>
      </c>
      <c r="D3306">
        <v>67.17</v>
      </c>
      <c r="E3306">
        <v>2.9420000000000002</v>
      </c>
      <c r="F3306">
        <v>132.47333330000001</v>
      </c>
      <c r="G3306">
        <v>1354168.18</v>
      </c>
      <c r="H3306" t="str">
        <f>TEXT(Ventas[[#This Row],[Fecha_venta]],"dd")</f>
        <v>18</v>
      </c>
      <c r="I3306" t="str">
        <f>TEXT(Ventas[[#This Row],[Fecha_venta]],"m")</f>
        <v>6</v>
      </c>
      <c r="J3306" t="str">
        <f>TEXT(Ventas[[#This Row],[Fecha_venta]],"yyyy")</f>
        <v>2010</v>
      </c>
    </row>
    <row r="3307" spans="1:10" x14ac:dyDescent="0.25">
      <c r="A3307">
        <v>24</v>
      </c>
      <c r="B3307" s="1">
        <v>40354</v>
      </c>
      <c r="C3307">
        <v>0</v>
      </c>
      <c r="D3307">
        <v>74.900000000000006</v>
      </c>
      <c r="E3307">
        <v>2.9580000000000002</v>
      </c>
      <c r="F3307">
        <v>132.49760000000001</v>
      </c>
      <c r="G3307">
        <v>1399073.75</v>
      </c>
      <c r="H3307" t="str">
        <f>TEXT(Ventas[[#This Row],[Fecha_venta]],"dd")</f>
        <v>25</v>
      </c>
      <c r="I3307" t="str">
        <f>TEXT(Ventas[[#This Row],[Fecha_venta]],"m")</f>
        <v>6</v>
      </c>
      <c r="J3307" t="str">
        <f>TEXT(Ventas[[#This Row],[Fecha_venta]],"yyyy")</f>
        <v>2010</v>
      </c>
    </row>
    <row r="3308" spans="1:10" x14ac:dyDescent="0.25">
      <c r="A3308">
        <v>24</v>
      </c>
      <c r="B3308" s="1">
        <v>40361</v>
      </c>
      <c r="C3308">
        <v>0</v>
      </c>
      <c r="D3308">
        <v>71.12</v>
      </c>
      <c r="E3308">
        <v>2.9580000000000002</v>
      </c>
      <c r="F3308">
        <v>132.5218667</v>
      </c>
      <c r="G3308">
        <v>1563387.94</v>
      </c>
      <c r="H3308" t="str">
        <f>TEXT(Ventas[[#This Row],[Fecha_venta]],"dd")</f>
        <v>02</v>
      </c>
      <c r="I3308" t="str">
        <f>TEXT(Ventas[[#This Row],[Fecha_venta]],"m")</f>
        <v>7</v>
      </c>
      <c r="J3308" t="str">
        <f>TEXT(Ventas[[#This Row],[Fecha_venta]],"yyyy")</f>
        <v>2010</v>
      </c>
    </row>
    <row r="3309" spans="1:10" x14ac:dyDescent="0.25">
      <c r="A3309">
        <v>24</v>
      </c>
      <c r="B3309" s="1">
        <v>40368</v>
      </c>
      <c r="C3309">
        <v>0</v>
      </c>
      <c r="D3309">
        <v>79.05</v>
      </c>
      <c r="E3309">
        <v>2.94</v>
      </c>
      <c r="F3309">
        <v>132.54613330000001</v>
      </c>
      <c r="G3309">
        <v>1665502.55</v>
      </c>
      <c r="H3309" t="str">
        <f>TEXT(Ventas[[#This Row],[Fecha_venta]],"dd")</f>
        <v>09</v>
      </c>
      <c r="I3309" t="str">
        <f>TEXT(Ventas[[#This Row],[Fecha_venta]],"m")</f>
        <v>7</v>
      </c>
      <c r="J3309" t="str">
        <f>TEXT(Ventas[[#This Row],[Fecha_venta]],"yyyy")</f>
        <v>2010</v>
      </c>
    </row>
    <row r="3310" spans="1:10" x14ac:dyDescent="0.25">
      <c r="A3310">
        <v>24</v>
      </c>
      <c r="B3310" s="1">
        <v>40375</v>
      </c>
      <c r="C3310">
        <v>0</v>
      </c>
      <c r="D3310">
        <v>76.56</v>
      </c>
      <c r="E3310">
        <v>2.9329999999999998</v>
      </c>
      <c r="F3310">
        <v>132.5667742</v>
      </c>
      <c r="G3310">
        <v>1418697.05</v>
      </c>
      <c r="H3310" t="str">
        <f>TEXT(Ventas[[#This Row],[Fecha_venta]],"dd")</f>
        <v>16</v>
      </c>
      <c r="I3310" t="str">
        <f>TEXT(Ventas[[#This Row],[Fecha_venta]],"m")</f>
        <v>7</v>
      </c>
      <c r="J3310" t="str">
        <f>TEXT(Ventas[[#This Row],[Fecha_venta]],"yyyy")</f>
        <v>2010</v>
      </c>
    </row>
    <row r="3311" spans="1:10" x14ac:dyDescent="0.25">
      <c r="A3311">
        <v>24</v>
      </c>
      <c r="B3311" s="1">
        <v>40382</v>
      </c>
      <c r="C3311">
        <v>0</v>
      </c>
      <c r="D3311">
        <v>75.27</v>
      </c>
      <c r="E3311">
        <v>2.9239999999999999</v>
      </c>
      <c r="F3311">
        <v>132.5825806</v>
      </c>
      <c r="G3311">
        <v>1333740.3500000001</v>
      </c>
      <c r="H3311" t="str">
        <f>TEXT(Ventas[[#This Row],[Fecha_venta]],"dd")</f>
        <v>23</v>
      </c>
      <c r="I3311" t="str">
        <f>TEXT(Ventas[[#This Row],[Fecha_venta]],"m")</f>
        <v>7</v>
      </c>
      <c r="J3311" t="str">
        <f>TEXT(Ventas[[#This Row],[Fecha_venta]],"yyyy")</f>
        <v>2010</v>
      </c>
    </row>
    <row r="3312" spans="1:10" x14ac:dyDescent="0.25">
      <c r="A3312">
        <v>24</v>
      </c>
      <c r="B3312" s="1">
        <v>40389</v>
      </c>
      <c r="C3312">
        <v>0</v>
      </c>
      <c r="D3312">
        <v>75.91</v>
      </c>
      <c r="E3312">
        <v>2.9319999999999999</v>
      </c>
      <c r="F3312">
        <v>132.5983871</v>
      </c>
      <c r="G3312">
        <v>1387517.63</v>
      </c>
      <c r="H3312" t="str">
        <f>TEXT(Ventas[[#This Row],[Fecha_venta]],"dd")</f>
        <v>30</v>
      </c>
      <c r="I3312" t="str">
        <f>TEXT(Ventas[[#This Row],[Fecha_venta]],"m")</f>
        <v>7</v>
      </c>
      <c r="J3312" t="str">
        <f>TEXT(Ventas[[#This Row],[Fecha_venta]],"yyyy")</f>
        <v>2010</v>
      </c>
    </row>
    <row r="3313" spans="1:10" x14ac:dyDescent="0.25">
      <c r="A3313">
        <v>24</v>
      </c>
      <c r="B3313" s="1">
        <v>40396</v>
      </c>
      <c r="C3313">
        <v>0</v>
      </c>
      <c r="D3313">
        <v>74.540000000000006</v>
      </c>
      <c r="E3313">
        <v>2.9420000000000002</v>
      </c>
      <c r="F3313">
        <v>132.6141935</v>
      </c>
      <c r="G3313">
        <v>1442819.28</v>
      </c>
      <c r="H3313" t="str">
        <f>TEXT(Ventas[[#This Row],[Fecha_venta]],"dd")</f>
        <v>06</v>
      </c>
      <c r="I3313" t="str">
        <f>TEXT(Ventas[[#This Row],[Fecha_venta]],"m")</f>
        <v>8</v>
      </c>
      <c r="J3313" t="str">
        <f>TEXT(Ventas[[#This Row],[Fecha_venta]],"yyyy")</f>
        <v>2010</v>
      </c>
    </row>
    <row r="3314" spans="1:10" x14ac:dyDescent="0.25">
      <c r="A3314">
        <v>24</v>
      </c>
      <c r="B3314" s="1">
        <v>40403</v>
      </c>
      <c r="C3314">
        <v>0</v>
      </c>
      <c r="D3314">
        <v>74.17</v>
      </c>
      <c r="E3314">
        <v>2.923</v>
      </c>
      <c r="F3314">
        <v>132.63</v>
      </c>
      <c r="G3314">
        <v>1384243.75</v>
      </c>
      <c r="H3314" t="str">
        <f>TEXT(Ventas[[#This Row],[Fecha_venta]],"dd")</f>
        <v>13</v>
      </c>
      <c r="I3314" t="str">
        <f>TEXT(Ventas[[#This Row],[Fecha_venta]],"m")</f>
        <v>8</v>
      </c>
      <c r="J3314" t="str">
        <f>TEXT(Ventas[[#This Row],[Fecha_venta]],"yyyy")</f>
        <v>2010</v>
      </c>
    </row>
    <row r="3315" spans="1:10" x14ac:dyDescent="0.25">
      <c r="A3315">
        <v>24</v>
      </c>
      <c r="B3315" s="1">
        <v>40410</v>
      </c>
      <c r="C3315">
        <v>0</v>
      </c>
      <c r="D3315">
        <v>72.17</v>
      </c>
      <c r="E3315">
        <v>2.9129999999999998</v>
      </c>
      <c r="F3315">
        <v>132.66161289999999</v>
      </c>
      <c r="G3315">
        <v>1375307.54</v>
      </c>
      <c r="H3315" t="str">
        <f>TEXT(Ventas[[#This Row],[Fecha_venta]],"dd")</f>
        <v>20</v>
      </c>
      <c r="I3315" t="str">
        <f>TEXT(Ventas[[#This Row],[Fecha_venta]],"m")</f>
        <v>8</v>
      </c>
      <c r="J3315" t="str">
        <f>TEXT(Ventas[[#This Row],[Fecha_venta]],"yyyy")</f>
        <v>2010</v>
      </c>
    </row>
    <row r="3316" spans="1:10" x14ac:dyDescent="0.25">
      <c r="A3316">
        <v>24</v>
      </c>
      <c r="B3316" s="1">
        <v>40417</v>
      </c>
      <c r="C3316">
        <v>0</v>
      </c>
      <c r="D3316">
        <v>67</v>
      </c>
      <c r="E3316">
        <v>2.8849999999999998</v>
      </c>
      <c r="F3316">
        <v>132.69322579999999</v>
      </c>
      <c r="G3316">
        <v>1350059.35</v>
      </c>
      <c r="H3316" t="str">
        <f>TEXT(Ventas[[#This Row],[Fecha_venta]],"dd")</f>
        <v>27</v>
      </c>
      <c r="I3316" t="str">
        <f>TEXT(Ventas[[#This Row],[Fecha_venta]],"m")</f>
        <v>8</v>
      </c>
      <c r="J3316" t="str">
        <f>TEXT(Ventas[[#This Row],[Fecha_venta]],"yyyy")</f>
        <v>2010</v>
      </c>
    </row>
    <row r="3317" spans="1:10" x14ac:dyDescent="0.25">
      <c r="A3317">
        <v>24</v>
      </c>
      <c r="B3317" s="1">
        <v>40424</v>
      </c>
      <c r="C3317">
        <v>0</v>
      </c>
      <c r="D3317">
        <v>73.52</v>
      </c>
      <c r="E3317">
        <v>2.86</v>
      </c>
      <c r="F3317">
        <v>132.72483869999999</v>
      </c>
      <c r="G3317">
        <v>1366381.6</v>
      </c>
      <c r="H3317" t="str">
        <f>TEXT(Ventas[[#This Row],[Fecha_venta]],"dd")</f>
        <v>03</v>
      </c>
      <c r="I3317" t="str">
        <f>TEXT(Ventas[[#This Row],[Fecha_venta]],"m")</f>
        <v>9</v>
      </c>
      <c r="J3317" t="str">
        <f>TEXT(Ventas[[#This Row],[Fecha_venta]],"yyyy")</f>
        <v>2010</v>
      </c>
    </row>
    <row r="3318" spans="1:10" x14ac:dyDescent="0.25">
      <c r="A3318">
        <v>24</v>
      </c>
      <c r="B3318" s="1">
        <v>40431</v>
      </c>
      <c r="C3318">
        <v>1</v>
      </c>
      <c r="D3318">
        <v>67.11</v>
      </c>
      <c r="E3318">
        <v>2.8370000000000002</v>
      </c>
      <c r="F3318">
        <v>132.75645159999999</v>
      </c>
      <c r="G3318">
        <v>1474498.59</v>
      </c>
      <c r="H3318" t="str">
        <f>TEXT(Ventas[[#This Row],[Fecha_venta]],"dd")</f>
        <v>10</v>
      </c>
      <c r="I3318" t="str">
        <f>TEXT(Ventas[[#This Row],[Fecha_venta]],"m")</f>
        <v>9</v>
      </c>
      <c r="J3318" t="str">
        <f>TEXT(Ventas[[#This Row],[Fecha_venta]],"yyyy")</f>
        <v>2010</v>
      </c>
    </row>
    <row r="3319" spans="1:10" x14ac:dyDescent="0.25">
      <c r="A3319">
        <v>24</v>
      </c>
      <c r="B3319" s="1">
        <v>40438</v>
      </c>
      <c r="C3319">
        <v>0</v>
      </c>
      <c r="D3319">
        <v>60.31</v>
      </c>
      <c r="E3319">
        <v>2.8460000000000001</v>
      </c>
      <c r="F3319">
        <v>132.76706669999999</v>
      </c>
      <c r="G3319">
        <v>1273295.46</v>
      </c>
      <c r="H3319" t="str">
        <f>TEXT(Ventas[[#This Row],[Fecha_venta]],"dd")</f>
        <v>17</v>
      </c>
      <c r="I3319" t="str">
        <f>TEXT(Ventas[[#This Row],[Fecha_venta]],"m")</f>
        <v>9</v>
      </c>
      <c r="J3319" t="str">
        <f>TEXT(Ventas[[#This Row],[Fecha_venta]],"yyyy")</f>
        <v>2010</v>
      </c>
    </row>
    <row r="3320" spans="1:10" x14ac:dyDescent="0.25">
      <c r="A3320">
        <v>24</v>
      </c>
      <c r="B3320" s="1">
        <v>40445</v>
      </c>
      <c r="C3320">
        <v>0</v>
      </c>
      <c r="D3320">
        <v>64.3</v>
      </c>
      <c r="E3320">
        <v>2.8370000000000002</v>
      </c>
      <c r="F3320">
        <v>132.76193330000001</v>
      </c>
      <c r="G3320">
        <v>1169413.27</v>
      </c>
      <c r="H3320" t="str">
        <f>TEXT(Ventas[[#This Row],[Fecha_venta]],"dd")</f>
        <v>24</v>
      </c>
      <c r="I3320" t="str">
        <f>TEXT(Ventas[[#This Row],[Fecha_venta]],"m")</f>
        <v>9</v>
      </c>
      <c r="J3320" t="str">
        <f>TEXT(Ventas[[#This Row],[Fecha_venta]],"yyyy")</f>
        <v>2010</v>
      </c>
    </row>
    <row r="3321" spans="1:10" x14ac:dyDescent="0.25">
      <c r="A3321">
        <v>24</v>
      </c>
      <c r="B3321" s="1">
        <v>40452</v>
      </c>
      <c r="C3321">
        <v>0</v>
      </c>
      <c r="D3321">
        <v>66.88</v>
      </c>
      <c r="E3321">
        <v>2.84</v>
      </c>
      <c r="F3321">
        <v>132.7568</v>
      </c>
      <c r="G3321">
        <v>1215273.2</v>
      </c>
      <c r="H3321" t="str">
        <f>TEXT(Ventas[[#This Row],[Fecha_venta]],"dd")</f>
        <v>01</v>
      </c>
      <c r="I3321" t="str">
        <f>TEXT(Ventas[[#This Row],[Fecha_venta]],"m")</f>
        <v>10</v>
      </c>
      <c r="J3321" t="str">
        <f>TEXT(Ventas[[#This Row],[Fecha_venta]],"yyyy")</f>
        <v>2010</v>
      </c>
    </row>
    <row r="3322" spans="1:10" x14ac:dyDescent="0.25">
      <c r="A3322">
        <v>24</v>
      </c>
      <c r="B3322" s="1">
        <v>40459</v>
      </c>
      <c r="C3322">
        <v>0</v>
      </c>
      <c r="D3322">
        <v>54.82</v>
      </c>
      <c r="E3322">
        <v>2.903</v>
      </c>
      <c r="F3322">
        <v>132.75166669999999</v>
      </c>
      <c r="G3322">
        <v>1361944.94</v>
      </c>
      <c r="H3322" t="str">
        <f>TEXT(Ventas[[#This Row],[Fecha_venta]],"dd")</f>
        <v>08</v>
      </c>
      <c r="I3322" t="str">
        <f>TEXT(Ventas[[#This Row],[Fecha_venta]],"m")</f>
        <v>10</v>
      </c>
      <c r="J3322" t="str">
        <f>TEXT(Ventas[[#This Row],[Fecha_venta]],"yyyy")</f>
        <v>2010</v>
      </c>
    </row>
    <row r="3323" spans="1:10" x14ac:dyDescent="0.25">
      <c r="A3323">
        <v>24</v>
      </c>
      <c r="B3323" s="1">
        <v>40466</v>
      </c>
      <c r="C3323">
        <v>0</v>
      </c>
      <c r="D3323">
        <v>52.83</v>
      </c>
      <c r="E3323">
        <v>2.9990000000000001</v>
      </c>
      <c r="F3323">
        <v>132.7633548</v>
      </c>
      <c r="G3323">
        <v>1300806.74</v>
      </c>
      <c r="H3323" t="str">
        <f>TEXT(Ventas[[#This Row],[Fecha_venta]],"dd")</f>
        <v>15</v>
      </c>
      <c r="I3323" t="str">
        <f>TEXT(Ventas[[#This Row],[Fecha_venta]],"m")</f>
        <v>10</v>
      </c>
      <c r="J3323" t="str">
        <f>TEXT(Ventas[[#This Row],[Fecha_venta]],"yyyy")</f>
        <v>2010</v>
      </c>
    </row>
    <row r="3324" spans="1:10" x14ac:dyDescent="0.25">
      <c r="A3324">
        <v>24</v>
      </c>
      <c r="B3324" s="1">
        <v>40473</v>
      </c>
      <c r="C3324">
        <v>0</v>
      </c>
      <c r="D3324">
        <v>48.69</v>
      </c>
      <c r="E3324">
        <v>3.0489999999999999</v>
      </c>
      <c r="F3324">
        <v>132.8170968</v>
      </c>
      <c r="G3324">
        <v>1234875.33</v>
      </c>
      <c r="H3324" t="str">
        <f>TEXT(Ventas[[#This Row],[Fecha_venta]],"dd")</f>
        <v>22</v>
      </c>
      <c r="I3324" t="str">
        <f>TEXT(Ventas[[#This Row],[Fecha_venta]],"m")</f>
        <v>10</v>
      </c>
      <c r="J3324" t="str">
        <f>TEXT(Ventas[[#This Row],[Fecha_venta]],"yyyy")</f>
        <v>2010</v>
      </c>
    </row>
    <row r="3325" spans="1:10" x14ac:dyDescent="0.25">
      <c r="A3325">
        <v>24</v>
      </c>
      <c r="B3325" s="1">
        <v>40480</v>
      </c>
      <c r="C3325">
        <v>0</v>
      </c>
      <c r="D3325">
        <v>57.29</v>
      </c>
      <c r="E3325">
        <v>3.0550000000000002</v>
      </c>
      <c r="F3325">
        <v>132.87083870000001</v>
      </c>
      <c r="G3325">
        <v>1244925.94</v>
      </c>
      <c r="H3325" t="str">
        <f>TEXT(Ventas[[#This Row],[Fecha_venta]],"dd")</f>
        <v>29</v>
      </c>
      <c r="I3325" t="str">
        <f>TEXT(Ventas[[#This Row],[Fecha_venta]],"m")</f>
        <v>10</v>
      </c>
      <c r="J3325" t="str">
        <f>TEXT(Ventas[[#This Row],[Fecha_venta]],"yyyy")</f>
        <v>2010</v>
      </c>
    </row>
    <row r="3326" spans="1:10" x14ac:dyDescent="0.25">
      <c r="A3326">
        <v>24</v>
      </c>
      <c r="B3326" s="1">
        <v>40487</v>
      </c>
      <c r="C3326">
        <v>0</v>
      </c>
      <c r="D3326">
        <v>42.2</v>
      </c>
      <c r="E3326">
        <v>3.0489999999999999</v>
      </c>
      <c r="F3326">
        <v>132.92458060000001</v>
      </c>
      <c r="G3326">
        <v>1285358.01</v>
      </c>
      <c r="H3326" t="str">
        <f>TEXT(Ventas[[#This Row],[Fecha_venta]],"dd")</f>
        <v>05</v>
      </c>
      <c r="I3326" t="str">
        <f>TEXT(Ventas[[#This Row],[Fecha_venta]],"m")</f>
        <v>11</v>
      </c>
      <c r="J3326" t="str">
        <f>TEXT(Ventas[[#This Row],[Fecha_venta]],"yyyy")</f>
        <v>2010</v>
      </c>
    </row>
    <row r="3327" spans="1:10" x14ac:dyDescent="0.25">
      <c r="A3327">
        <v>24</v>
      </c>
      <c r="B3327" s="1">
        <v>40494</v>
      </c>
      <c r="C3327">
        <v>0</v>
      </c>
      <c r="D3327">
        <v>41.76</v>
      </c>
      <c r="E3327">
        <v>3.0649999999999999</v>
      </c>
      <c r="F3327">
        <v>132.97832260000001</v>
      </c>
      <c r="G3327">
        <v>1312877.01</v>
      </c>
      <c r="H3327" t="str">
        <f>TEXT(Ventas[[#This Row],[Fecha_venta]],"dd")</f>
        <v>12</v>
      </c>
      <c r="I3327" t="str">
        <f>TEXT(Ventas[[#This Row],[Fecha_venta]],"m")</f>
        <v>11</v>
      </c>
      <c r="J3327" t="str">
        <f>TEXT(Ventas[[#This Row],[Fecha_venta]],"yyyy")</f>
        <v>2010</v>
      </c>
    </row>
    <row r="3328" spans="1:10" x14ac:dyDescent="0.25">
      <c r="A3328">
        <v>24</v>
      </c>
      <c r="B3328" s="1">
        <v>40501</v>
      </c>
      <c r="C3328">
        <v>0</v>
      </c>
      <c r="D3328">
        <v>45.63</v>
      </c>
      <c r="E3328">
        <v>3.1379999999999999</v>
      </c>
      <c r="F3328">
        <v>132.91720000000001</v>
      </c>
      <c r="G3328">
        <v>1277150.6000000001</v>
      </c>
      <c r="H3328" t="str">
        <f>TEXT(Ventas[[#This Row],[Fecha_venta]],"dd")</f>
        <v>19</v>
      </c>
      <c r="I3328" t="str">
        <f>TEXT(Ventas[[#This Row],[Fecha_venta]],"m")</f>
        <v>11</v>
      </c>
      <c r="J3328" t="str">
        <f>TEXT(Ventas[[#This Row],[Fecha_venta]],"yyyy")</f>
        <v>2010</v>
      </c>
    </row>
    <row r="3329" spans="1:10" x14ac:dyDescent="0.25">
      <c r="A3329">
        <v>24</v>
      </c>
      <c r="B3329" s="1">
        <v>40508</v>
      </c>
      <c r="C3329">
        <v>1</v>
      </c>
      <c r="D3329">
        <v>41.92</v>
      </c>
      <c r="E3329">
        <v>3.1859999999999999</v>
      </c>
      <c r="F3329">
        <v>132.8369333</v>
      </c>
      <c r="G3329">
        <v>1779276.51</v>
      </c>
      <c r="H3329" t="str">
        <f>TEXT(Ventas[[#This Row],[Fecha_venta]],"dd")</f>
        <v>26</v>
      </c>
      <c r="I3329" t="str">
        <f>TEXT(Ventas[[#This Row],[Fecha_venta]],"m")</f>
        <v>11</v>
      </c>
      <c r="J3329" t="str">
        <f>TEXT(Ventas[[#This Row],[Fecha_venta]],"yyyy")</f>
        <v>2010</v>
      </c>
    </row>
    <row r="3330" spans="1:10" x14ac:dyDescent="0.25">
      <c r="A3330">
        <v>24</v>
      </c>
      <c r="B3330" s="1">
        <v>40515</v>
      </c>
      <c r="C3330">
        <v>0</v>
      </c>
      <c r="D3330">
        <v>37.08</v>
      </c>
      <c r="E3330">
        <v>3.2</v>
      </c>
      <c r="F3330">
        <v>132.75666670000001</v>
      </c>
      <c r="G3330">
        <v>1413302.7</v>
      </c>
      <c r="H3330" t="str">
        <f>TEXT(Ventas[[#This Row],[Fecha_venta]],"dd")</f>
        <v>03</v>
      </c>
      <c r="I3330" t="str">
        <f>TEXT(Ventas[[#This Row],[Fecha_venta]],"m")</f>
        <v>12</v>
      </c>
      <c r="J3330" t="str">
        <f>TEXT(Ventas[[#This Row],[Fecha_venta]],"yyyy")</f>
        <v>2010</v>
      </c>
    </row>
    <row r="3331" spans="1:10" x14ac:dyDescent="0.25">
      <c r="A3331">
        <v>24</v>
      </c>
      <c r="B3331" s="1">
        <v>40522</v>
      </c>
      <c r="C3331">
        <v>0</v>
      </c>
      <c r="D3331">
        <v>27.11</v>
      </c>
      <c r="E3331">
        <v>3.2549999999999999</v>
      </c>
      <c r="F3331">
        <v>132.6764</v>
      </c>
      <c r="G3331">
        <v>1593012.75</v>
      </c>
      <c r="H3331" t="str">
        <f>TEXT(Ventas[[#This Row],[Fecha_venta]],"dd")</f>
        <v>10</v>
      </c>
      <c r="I3331" t="str">
        <f>TEXT(Ventas[[#This Row],[Fecha_venta]],"m")</f>
        <v>12</v>
      </c>
      <c r="J3331" t="str">
        <f>TEXT(Ventas[[#This Row],[Fecha_venta]],"yyyy")</f>
        <v>2010</v>
      </c>
    </row>
    <row r="3332" spans="1:10" x14ac:dyDescent="0.25">
      <c r="A3332">
        <v>24</v>
      </c>
      <c r="B3332" s="1">
        <v>40529</v>
      </c>
      <c r="C3332">
        <v>0</v>
      </c>
      <c r="D3332">
        <v>27.99</v>
      </c>
      <c r="E3332">
        <v>3.3010000000000002</v>
      </c>
      <c r="F3332">
        <v>132.6804516</v>
      </c>
      <c r="G3332">
        <v>1663525.77</v>
      </c>
      <c r="H3332" t="str">
        <f>TEXT(Ventas[[#This Row],[Fecha_venta]],"dd")</f>
        <v>17</v>
      </c>
      <c r="I3332" t="str">
        <f>TEXT(Ventas[[#This Row],[Fecha_venta]],"m")</f>
        <v>12</v>
      </c>
      <c r="J3332" t="str">
        <f>TEXT(Ventas[[#This Row],[Fecha_venta]],"yyyy")</f>
        <v>2010</v>
      </c>
    </row>
    <row r="3333" spans="1:10" x14ac:dyDescent="0.25">
      <c r="A3333">
        <v>24</v>
      </c>
      <c r="B3333" s="1">
        <v>40536</v>
      </c>
      <c r="C3333">
        <v>0</v>
      </c>
      <c r="D3333">
        <v>27.74</v>
      </c>
      <c r="E3333">
        <v>3.3090000000000002</v>
      </c>
      <c r="F3333">
        <v>132.74774189999999</v>
      </c>
      <c r="G3333">
        <v>2386015.75</v>
      </c>
      <c r="H3333" t="str">
        <f>TEXT(Ventas[[#This Row],[Fecha_venta]],"dd")</f>
        <v>24</v>
      </c>
      <c r="I3333" t="str">
        <f>TEXT(Ventas[[#This Row],[Fecha_venta]],"m")</f>
        <v>12</v>
      </c>
      <c r="J3333" t="str">
        <f>TEXT(Ventas[[#This Row],[Fecha_venta]],"yyyy")</f>
        <v>2010</v>
      </c>
    </row>
    <row r="3334" spans="1:10" x14ac:dyDescent="0.25">
      <c r="A3334">
        <v>24</v>
      </c>
      <c r="B3334" s="1">
        <v>40543</v>
      </c>
      <c r="C3334">
        <v>1</v>
      </c>
      <c r="D3334">
        <v>25.9</v>
      </c>
      <c r="E3334">
        <v>3.3359999999999999</v>
      </c>
      <c r="F3334">
        <v>132.81503230000001</v>
      </c>
      <c r="G3334">
        <v>1208600.05</v>
      </c>
      <c r="H3334" t="str">
        <f>TEXT(Ventas[[#This Row],[Fecha_venta]],"dd")</f>
        <v>31</v>
      </c>
      <c r="I3334" t="str">
        <f>TEXT(Ventas[[#This Row],[Fecha_venta]],"m")</f>
        <v>12</v>
      </c>
      <c r="J3334" t="str">
        <f>TEXT(Ventas[[#This Row],[Fecha_venta]],"yyyy")</f>
        <v>2010</v>
      </c>
    </row>
    <row r="3335" spans="1:10" x14ac:dyDescent="0.25">
      <c r="A3335">
        <v>24</v>
      </c>
      <c r="B3335" s="1">
        <v>40550</v>
      </c>
      <c r="C3335">
        <v>0</v>
      </c>
      <c r="D3335">
        <v>30.72</v>
      </c>
      <c r="E3335">
        <v>3.351</v>
      </c>
      <c r="F3335">
        <v>132.88232260000001</v>
      </c>
      <c r="G3335">
        <v>1178641.71</v>
      </c>
      <c r="H3335" t="str">
        <f>TEXT(Ventas[[#This Row],[Fecha_venta]],"dd")</f>
        <v>07</v>
      </c>
      <c r="I3335" t="str">
        <f>TEXT(Ventas[[#This Row],[Fecha_venta]],"m")</f>
        <v>1</v>
      </c>
      <c r="J3335" t="str">
        <f>TEXT(Ventas[[#This Row],[Fecha_venta]],"yyyy")</f>
        <v>2011</v>
      </c>
    </row>
    <row r="3336" spans="1:10" x14ac:dyDescent="0.25">
      <c r="A3336">
        <v>24</v>
      </c>
      <c r="B3336" s="1">
        <v>40557</v>
      </c>
      <c r="C3336">
        <v>0</v>
      </c>
      <c r="D3336">
        <v>22.41</v>
      </c>
      <c r="E3336">
        <v>3.367</v>
      </c>
      <c r="F3336">
        <v>132.9510645</v>
      </c>
      <c r="G3336">
        <v>1167740.2</v>
      </c>
      <c r="H3336" t="str">
        <f>TEXT(Ventas[[#This Row],[Fecha_venta]],"dd")</f>
        <v>14</v>
      </c>
      <c r="I3336" t="str">
        <f>TEXT(Ventas[[#This Row],[Fecha_venta]],"m")</f>
        <v>1</v>
      </c>
      <c r="J3336" t="str">
        <f>TEXT(Ventas[[#This Row],[Fecha_venta]],"yyyy")</f>
        <v>2011</v>
      </c>
    </row>
    <row r="3337" spans="1:10" x14ac:dyDescent="0.25">
      <c r="A3337">
        <v>24</v>
      </c>
      <c r="B3337" s="1">
        <v>40564</v>
      </c>
      <c r="C3337">
        <v>0</v>
      </c>
      <c r="D3337">
        <v>23.69</v>
      </c>
      <c r="E3337">
        <v>3.391</v>
      </c>
      <c r="F3337">
        <v>133.02851609999999</v>
      </c>
      <c r="G3337">
        <v>1107170.3899999999</v>
      </c>
      <c r="H3337" t="str">
        <f>TEXT(Ventas[[#This Row],[Fecha_venta]],"dd")</f>
        <v>21</v>
      </c>
      <c r="I3337" t="str">
        <f>TEXT(Ventas[[#This Row],[Fecha_venta]],"m")</f>
        <v>1</v>
      </c>
      <c r="J3337" t="str">
        <f>TEXT(Ventas[[#This Row],[Fecha_venta]],"yyyy")</f>
        <v>2011</v>
      </c>
    </row>
    <row r="3338" spans="1:10" x14ac:dyDescent="0.25">
      <c r="A3338">
        <v>24</v>
      </c>
      <c r="B3338" s="1">
        <v>40571</v>
      </c>
      <c r="C3338">
        <v>0</v>
      </c>
      <c r="D3338">
        <v>17.91</v>
      </c>
      <c r="E3338">
        <v>3.4020000000000001</v>
      </c>
      <c r="F3338">
        <v>133.10596770000001</v>
      </c>
      <c r="G3338">
        <v>1126921.3400000001</v>
      </c>
      <c r="H3338" t="str">
        <f>TEXT(Ventas[[#This Row],[Fecha_venta]],"dd")</f>
        <v>28</v>
      </c>
      <c r="I3338" t="str">
        <f>TEXT(Ventas[[#This Row],[Fecha_venta]],"m")</f>
        <v>1</v>
      </c>
      <c r="J3338" t="str">
        <f>TEXT(Ventas[[#This Row],[Fecha_venta]],"yyyy")</f>
        <v>2011</v>
      </c>
    </row>
    <row r="3339" spans="1:10" x14ac:dyDescent="0.25">
      <c r="A3339">
        <v>24</v>
      </c>
      <c r="B3339" s="1">
        <v>40578</v>
      </c>
      <c r="C3339">
        <v>0</v>
      </c>
      <c r="D3339">
        <v>23.83</v>
      </c>
      <c r="E3339">
        <v>3.4</v>
      </c>
      <c r="F3339">
        <v>133.18341939999999</v>
      </c>
      <c r="G3339">
        <v>1225182.04</v>
      </c>
      <c r="H3339" t="str">
        <f>TEXT(Ventas[[#This Row],[Fecha_venta]],"dd")</f>
        <v>04</v>
      </c>
      <c r="I3339" t="str">
        <f>TEXT(Ventas[[#This Row],[Fecha_venta]],"m")</f>
        <v>2</v>
      </c>
      <c r="J3339" t="str">
        <f>TEXT(Ventas[[#This Row],[Fecha_venta]],"yyyy")</f>
        <v>2011</v>
      </c>
    </row>
    <row r="3340" spans="1:10" x14ac:dyDescent="0.25">
      <c r="A3340">
        <v>24</v>
      </c>
      <c r="B3340" s="1">
        <v>40585</v>
      </c>
      <c r="C3340">
        <v>1</v>
      </c>
      <c r="D3340">
        <v>26.51</v>
      </c>
      <c r="E3340">
        <v>3.4159999999999999</v>
      </c>
      <c r="F3340">
        <v>133.26087100000001</v>
      </c>
      <c r="G3340">
        <v>1341240.6200000001</v>
      </c>
      <c r="H3340" t="str">
        <f>TEXT(Ventas[[#This Row],[Fecha_venta]],"dd")</f>
        <v>11</v>
      </c>
      <c r="I3340" t="str">
        <f>TEXT(Ventas[[#This Row],[Fecha_venta]],"m")</f>
        <v>2</v>
      </c>
      <c r="J3340" t="str">
        <f>TEXT(Ventas[[#This Row],[Fecha_venta]],"yyyy")</f>
        <v>2011</v>
      </c>
    </row>
    <row r="3341" spans="1:10" x14ac:dyDescent="0.25">
      <c r="A3341">
        <v>24</v>
      </c>
      <c r="B3341" s="1">
        <v>40592</v>
      </c>
      <c r="C3341">
        <v>0</v>
      </c>
      <c r="D3341">
        <v>34.04</v>
      </c>
      <c r="E3341">
        <v>3.42</v>
      </c>
      <c r="F3341">
        <v>133.37014289999999</v>
      </c>
      <c r="G3341">
        <v>1360150.12</v>
      </c>
      <c r="H3341" t="str">
        <f>TEXT(Ventas[[#This Row],[Fecha_venta]],"dd")</f>
        <v>18</v>
      </c>
      <c r="I3341" t="str">
        <f>TEXT(Ventas[[#This Row],[Fecha_venta]],"m")</f>
        <v>2</v>
      </c>
      <c r="J3341" t="str">
        <f>TEXT(Ventas[[#This Row],[Fecha_venta]],"yyyy")</f>
        <v>2011</v>
      </c>
    </row>
    <row r="3342" spans="1:10" x14ac:dyDescent="0.25">
      <c r="A3342">
        <v>24</v>
      </c>
      <c r="B3342" s="1">
        <v>40599</v>
      </c>
      <c r="C3342">
        <v>0</v>
      </c>
      <c r="D3342">
        <v>26.09</v>
      </c>
      <c r="E3342">
        <v>3.452</v>
      </c>
      <c r="F3342">
        <v>133.4921429</v>
      </c>
      <c r="G3342">
        <v>1235121.33</v>
      </c>
      <c r="H3342" t="str">
        <f>TEXT(Ventas[[#This Row],[Fecha_venta]],"dd")</f>
        <v>25</v>
      </c>
      <c r="I3342" t="str">
        <f>TEXT(Ventas[[#This Row],[Fecha_venta]],"m")</f>
        <v>2</v>
      </c>
      <c r="J3342" t="str">
        <f>TEXT(Ventas[[#This Row],[Fecha_venta]],"yyyy")</f>
        <v>2011</v>
      </c>
    </row>
    <row r="3343" spans="1:10" x14ac:dyDescent="0.25">
      <c r="A3343">
        <v>24</v>
      </c>
      <c r="B3343" s="1">
        <v>40606</v>
      </c>
      <c r="C3343">
        <v>0</v>
      </c>
      <c r="D3343">
        <v>31.36</v>
      </c>
      <c r="E3343">
        <v>3.605</v>
      </c>
      <c r="F3343">
        <v>133.61414289999999</v>
      </c>
      <c r="G3343">
        <v>1346994.53</v>
      </c>
      <c r="H3343" t="str">
        <f>TEXT(Ventas[[#This Row],[Fecha_venta]],"dd")</f>
        <v>04</v>
      </c>
      <c r="I3343" t="str">
        <f>TEXT(Ventas[[#This Row],[Fecha_venta]],"m")</f>
        <v>3</v>
      </c>
      <c r="J3343" t="str">
        <f>TEXT(Ventas[[#This Row],[Fecha_venta]],"yyyy")</f>
        <v>2011</v>
      </c>
    </row>
    <row r="3344" spans="1:10" x14ac:dyDescent="0.25">
      <c r="A3344">
        <v>24</v>
      </c>
      <c r="B3344" s="1">
        <v>40613</v>
      </c>
      <c r="C3344">
        <v>0</v>
      </c>
      <c r="D3344">
        <v>39.51</v>
      </c>
      <c r="E3344">
        <v>3.7519999999999998</v>
      </c>
      <c r="F3344">
        <v>133.7361429</v>
      </c>
      <c r="G3344">
        <v>1253218.7</v>
      </c>
      <c r="H3344" t="str">
        <f>TEXT(Ventas[[#This Row],[Fecha_venta]],"dd")</f>
        <v>11</v>
      </c>
      <c r="I3344" t="str">
        <f>TEXT(Ventas[[#This Row],[Fecha_venta]],"m")</f>
        <v>3</v>
      </c>
      <c r="J3344" t="str">
        <f>TEXT(Ventas[[#This Row],[Fecha_venta]],"yyyy")</f>
        <v>2011</v>
      </c>
    </row>
    <row r="3345" spans="1:10" x14ac:dyDescent="0.25">
      <c r="A3345">
        <v>24</v>
      </c>
      <c r="B3345" s="1">
        <v>40620</v>
      </c>
      <c r="C3345">
        <v>0</v>
      </c>
      <c r="D3345">
        <v>43.39</v>
      </c>
      <c r="E3345">
        <v>3.7959999999999998</v>
      </c>
      <c r="F3345">
        <v>133.8492258</v>
      </c>
      <c r="G3345">
        <v>1168397.26</v>
      </c>
      <c r="H3345" t="str">
        <f>TEXT(Ventas[[#This Row],[Fecha_venta]],"dd")</f>
        <v>18</v>
      </c>
      <c r="I3345" t="str">
        <f>TEXT(Ventas[[#This Row],[Fecha_venta]],"m")</f>
        <v>3</v>
      </c>
      <c r="J3345" t="str">
        <f>TEXT(Ventas[[#This Row],[Fecha_venta]],"yyyy")</f>
        <v>2011</v>
      </c>
    </row>
    <row r="3346" spans="1:10" x14ac:dyDescent="0.25">
      <c r="A3346">
        <v>24</v>
      </c>
      <c r="B3346" s="1">
        <v>40627</v>
      </c>
      <c r="C3346">
        <v>0</v>
      </c>
      <c r="D3346">
        <v>36.880000000000003</v>
      </c>
      <c r="E3346">
        <v>3.7890000000000001</v>
      </c>
      <c r="F3346">
        <v>133.95874190000001</v>
      </c>
      <c r="G3346">
        <v>1158693.1200000001</v>
      </c>
      <c r="H3346" t="str">
        <f>TEXT(Ventas[[#This Row],[Fecha_venta]],"dd")</f>
        <v>25</v>
      </c>
      <c r="I3346" t="str">
        <f>TEXT(Ventas[[#This Row],[Fecha_venta]],"m")</f>
        <v>3</v>
      </c>
      <c r="J3346" t="str">
        <f>TEXT(Ventas[[#This Row],[Fecha_venta]],"yyyy")</f>
        <v>2011</v>
      </c>
    </row>
    <row r="3347" spans="1:10" x14ac:dyDescent="0.25">
      <c r="A3347">
        <v>24</v>
      </c>
      <c r="B3347" s="1">
        <v>40634</v>
      </c>
      <c r="C3347">
        <v>0</v>
      </c>
      <c r="D3347">
        <v>35.729999999999997</v>
      </c>
      <c r="E3347">
        <v>3.8109999999999999</v>
      </c>
      <c r="F3347">
        <v>134.06825810000001</v>
      </c>
      <c r="G3347">
        <v>1163803.3</v>
      </c>
      <c r="H3347" t="str">
        <f>TEXT(Ventas[[#This Row],[Fecha_venta]],"dd")</f>
        <v>01</v>
      </c>
      <c r="I3347" t="str">
        <f>TEXT(Ventas[[#This Row],[Fecha_venta]],"m")</f>
        <v>4</v>
      </c>
      <c r="J3347" t="str">
        <f>TEXT(Ventas[[#This Row],[Fecha_venta]],"yyyy")</f>
        <v>2011</v>
      </c>
    </row>
    <row r="3348" spans="1:10" x14ac:dyDescent="0.25">
      <c r="A3348">
        <v>24</v>
      </c>
      <c r="B3348" s="1">
        <v>40641</v>
      </c>
      <c r="C3348">
        <v>0</v>
      </c>
      <c r="D3348">
        <v>44.7</v>
      </c>
      <c r="E3348">
        <v>3.895</v>
      </c>
      <c r="F3348">
        <v>134.17777419999999</v>
      </c>
      <c r="G3348">
        <v>1273670.32</v>
      </c>
      <c r="H3348" t="str">
        <f>TEXT(Ventas[[#This Row],[Fecha_venta]],"dd")</f>
        <v>08</v>
      </c>
      <c r="I3348" t="str">
        <f>TEXT(Ventas[[#This Row],[Fecha_venta]],"m")</f>
        <v>4</v>
      </c>
      <c r="J3348" t="str">
        <f>TEXT(Ventas[[#This Row],[Fecha_venta]],"yyyy")</f>
        <v>2011</v>
      </c>
    </row>
    <row r="3349" spans="1:10" x14ac:dyDescent="0.25">
      <c r="A3349">
        <v>24</v>
      </c>
      <c r="B3349" s="1">
        <v>40648</v>
      </c>
      <c r="C3349">
        <v>0</v>
      </c>
      <c r="D3349">
        <v>52.36</v>
      </c>
      <c r="E3349">
        <v>3.9809999999999999</v>
      </c>
      <c r="F3349">
        <v>134.2784667</v>
      </c>
      <c r="G3349">
        <v>1245576.6499999999</v>
      </c>
      <c r="H3349" t="str">
        <f>TEXT(Ventas[[#This Row],[Fecha_venta]],"dd")</f>
        <v>15</v>
      </c>
      <c r="I3349" t="str">
        <f>TEXT(Ventas[[#This Row],[Fecha_venta]],"m")</f>
        <v>4</v>
      </c>
      <c r="J3349" t="str">
        <f>TEXT(Ventas[[#This Row],[Fecha_venta]],"yyyy")</f>
        <v>2011</v>
      </c>
    </row>
    <row r="3350" spans="1:10" x14ac:dyDescent="0.25">
      <c r="A3350">
        <v>24</v>
      </c>
      <c r="B3350" s="1">
        <v>40655</v>
      </c>
      <c r="C3350">
        <v>0</v>
      </c>
      <c r="D3350">
        <v>46</v>
      </c>
      <c r="E3350">
        <v>4.0609999999999999</v>
      </c>
      <c r="F3350">
        <v>134.3571</v>
      </c>
      <c r="G3350">
        <v>1372484.9</v>
      </c>
      <c r="H3350" t="str">
        <f>TEXT(Ventas[[#This Row],[Fecha_venta]],"dd")</f>
        <v>22</v>
      </c>
      <c r="I3350" t="str">
        <f>TEXT(Ventas[[#This Row],[Fecha_venta]],"m")</f>
        <v>4</v>
      </c>
      <c r="J3350" t="str">
        <f>TEXT(Ventas[[#This Row],[Fecha_venta]],"yyyy")</f>
        <v>2011</v>
      </c>
    </row>
    <row r="3351" spans="1:10" x14ac:dyDescent="0.25">
      <c r="A3351">
        <v>24</v>
      </c>
      <c r="B3351" s="1">
        <v>40662</v>
      </c>
      <c r="C3351">
        <v>0</v>
      </c>
      <c r="D3351">
        <v>60.48</v>
      </c>
      <c r="E3351">
        <v>4.117</v>
      </c>
      <c r="F3351">
        <v>134.43573330000001</v>
      </c>
      <c r="G3351">
        <v>1197761.17</v>
      </c>
      <c r="H3351" t="str">
        <f>TEXT(Ventas[[#This Row],[Fecha_venta]],"dd")</f>
        <v>29</v>
      </c>
      <c r="I3351" t="str">
        <f>TEXT(Ventas[[#This Row],[Fecha_venta]],"m")</f>
        <v>4</v>
      </c>
      <c r="J3351" t="str">
        <f>TEXT(Ventas[[#This Row],[Fecha_venta]],"yyyy")</f>
        <v>2011</v>
      </c>
    </row>
    <row r="3352" spans="1:10" x14ac:dyDescent="0.25">
      <c r="A3352">
        <v>24</v>
      </c>
      <c r="B3352" s="1">
        <v>40669</v>
      </c>
      <c r="C3352">
        <v>0</v>
      </c>
      <c r="D3352">
        <v>55.75</v>
      </c>
      <c r="E3352">
        <v>4.1920000000000002</v>
      </c>
      <c r="F3352">
        <v>134.51436670000001</v>
      </c>
      <c r="G3352">
        <v>1339630.3500000001</v>
      </c>
      <c r="H3352" t="str">
        <f>TEXT(Ventas[[#This Row],[Fecha_venta]],"dd")</f>
        <v>06</v>
      </c>
      <c r="I3352" t="str">
        <f>TEXT(Ventas[[#This Row],[Fecha_venta]],"m")</f>
        <v>5</v>
      </c>
      <c r="J3352" t="str">
        <f>TEXT(Ventas[[#This Row],[Fecha_venta]],"yyyy")</f>
        <v>2011</v>
      </c>
    </row>
    <row r="3353" spans="1:10" x14ac:dyDescent="0.25">
      <c r="A3353">
        <v>24</v>
      </c>
      <c r="B3353" s="1">
        <v>40676</v>
      </c>
      <c r="C3353">
        <v>0</v>
      </c>
      <c r="D3353">
        <v>58.49</v>
      </c>
      <c r="E3353">
        <v>4.2110000000000003</v>
      </c>
      <c r="F3353">
        <v>134.59299999999999</v>
      </c>
      <c r="G3353">
        <v>1311950.1599999999</v>
      </c>
      <c r="H3353" t="str">
        <f>TEXT(Ventas[[#This Row],[Fecha_venta]],"dd")</f>
        <v>13</v>
      </c>
      <c r="I3353" t="str">
        <f>TEXT(Ventas[[#This Row],[Fecha_venta]],"m")</f>
        <v>5</v>
      </c>
      <c r="J3353" t="str">
        <f>TEXT(Ventas[[#This Row],[Fecha_venta]],"yyyy")</f>
        <v>2011</v>
      </c>
    </row>
    <row r="3354" spans="1:10" x14ac:dyDescent="0.25">
      <c r="A3354">
        <v>24</v>
      </c>
      <c r="B3354" s="1">
        <v>40683</v>
      </c>
      <c r="C3354">
        <v>0</v>
      </c>
      <c r="D3354">
        <v>59.84</v>
      </c>
      <c r="E3354">
        <v>4.202</v>
      </c>
      <c r="F3354">
        <v>134.68038709999999</v>
      </c>
      <c r="G3354">
        <v>1234281.7</v>
      </c>
      <c r="H3354" t="str">
        <f>TEXT(Ventas[[#This Row],[Fecha_venta]],"dd")</f>
        <v>20</v>
      </c>
      <c r="I3354" t="str">
        <f>TEXT(Ventas[[#This Row],[Fecha_venta]],"m")</f>
        <v>5</v>
      </c>
      <c r="J3354" t="str">
        <f>TEXT(Ventas[[#This Row],[Fecha_venta]],"yyyy")</f>
        <v>2011</v>
      </c>
    </row>
    <row r="3355" spans="1:10" x14ac:dyDescent="0.25">
      <c r="A3355">
        <v>24</v>
      </c>
      <c r="B3355" s="1">
        <v>40690</v>
      </c>
      <c r="C3355">
        <v>0</v>
      </c>
      <c r="D3355">
        <v>65.739999999999995</v>
      </c>
      <c r="E3355">
        <v>4.1340000000000003</v>
      </c>
      <c r="F3355">
        <v>134.76777419999999</v>
      </c>
      <c r="G3355">
        <v>1311153.72</v>
      </c>
      <c r="H3355" t="str">
        <f>TEXT(Ventas[[#This Row],[Fecha_venta]],"dd")</f>
        <v>27</v>
      </c>
      <c r="I3355" t="str">
        <f>TEXT(Ventas[[#This Row],[Fecha_venta]],"m")</f>
        <v>5</v>
      </c>
      <c r="J3355" t="str">
        <f>TEXT(Ventas[[#This Row],[Fecha_venta]],"yyyy")</f>
        <v>2011</v>
      </c>
    </row>
    <row r="3356" spans="1:10" x14ac:dyDescent="0.25">
      <c r="A3356">
        <v>24</v>
      </c>
      <c r="B3356" s="1">
        <v>40697</v>
      </c>
      <c r="C3356">
        <v>0</v>
      </c>
      <c r="D3356">
        <v>73.12</v>
      </c>
      <c r="E3356">
        <v>4.069</v>
      </c>
      <c r="F3356">
        <v>134.85516129999999</v>
      </c>
      <c r="G3356">
        <v>1554837.62</v>
      </c>
      <c r="H3356" t="str">
        <f>TEXT(Ventas[[#This Row],[Fecha_venta]],"dd")</f>
        <v>03</v>
      </c>
      <c r="I3356" t="str">
        <f>TEXT(Ventas[[#This Row],[Fecha_venta]],"m")</f>
        <v>6</v>
      </c>
      <c r="J3356" t="str">
        <f>TEXT(Ventas[[#This Row],[Fecha_venta]],"yyyy")</f>
        <v>2011</v>
      </c>
    </row>
    <row r="3357" spans="1:10" x14ac:dyDescent="0.25">
      <c r="A3357">
        <v>24</v>
      </c>
      <c r="B3357" s="1">
        <v>40704</v>
      </c>
      <c r="C3357">
        <v>0</v>
      </c>
      <c r="D3357">
        <v>70.02</v>
      </c>
      <c r="E3357">
        <v>4.0250000000000004</v>
      </c>
      <c r="F3357">
        <v>134.94254839999999</v>
      </c>
      <c r="G3357">
        <v>1373841.91</v>
      </c>
      <c r="H3357" t="str">
        <f>TEXT(Ventas[[#This Row],[Fecha_venta]],"dd")</f>
        <v>10</v>
      </c>
      <c r="I3357" t="str">
        <f>TEXT(Ventas[[#This Row],[Fecha_venta]],"m")</f>
        <v>6</v>
      </c>
      <c r="J3357" t="str">
        <f>TEXT(Ventas[[#This Row],[Fecha_venta]],"yyyy")</f>
        <v>2011</v>
      </c>
    </row>
    <row r="3358" spans="1:10" x14ac:dyDescent="0.25">
      <c r="A3358">
        <v>24</v>
      </c>
      <c r="B3358" s="1">
        <v>40711</v>
      </c>
      <c r="C3358">
        <v>0</v>
      </c>
      <c r="D3358">
        <v>64.34</v>
      </c>
      <c r="E3358">
        <v>3.9889999999999999</v>
      </c>
      <c r="F3358">
        <v>135.08373330000001</v>
      </c>
      <c r="G3358">
        <v>1320359.23</v>
      </c>
      <c r="H3358" t="str">
        <f>TEXT(Ventas[[#This Row],[Fecha_venta]],"dd")</f>
        <v>17</v>
      </c>
      <c r="I3358" t="str">
        <f>TEXT(Ventas[[#This Row],[Fecha_venta]],"m")</f>
        <v>6</v>
      </c>
      <c r="J3358" t="str">
        <f>TEXT(Ventas[[#This Row],[Fecha_venta]],"yyyy")</f>
        <v>2011</v>
      </c>
    </row>
    <row r="3359" spans="1:10" x14ac:dyDescent="0.25">
      <c r="A3359">
        <v>24</v>
      </c>
      <c r="B3359" s="1">
        <v>40718</v>
      </c>
      <c r="C3359">
        <v>0</v>
      </c>
      <c r="D3359">
        <v>68.88</v>
      </c>
      <c r="E3359">
        <v>3.964</v>
      </c>
      <c r="F3359">
        <v>135.26526670000001</v>
      </c>
      <c r="G3359">
        <v>1304850.67</v>
      </c>
      <c r="H3359" t="str">
        <f>TEXT(Ventas[[#This Row],[Fecha_venta]],"dd")</f>
        <v>24</v>
      </c>
      <c r="I3359" t="str">
        <f>TEXT(Ventas[[#This Row],[Fecha_venta]],"m")</f>
        <v>6</v>
      </c>
      <c r="J3359" t="str">
        <f>TEXT(Ventas[[#This Row],[Fecha_venta]],"yyyy")</f>
        <v>2011</v>
      </c>
    </row>
    <row r="3360" spans="1:10" x14ac:dyDescent="0.25">
      <c r="A3360">
        <v>24</v>
      </c>
      <c r="B3360" s="1">
        <v>40725</v>
      </c>
      <c r="C3360">
        <v>0</v>
      </c>
      <c r="D3360">
        <v>70.27</v>
      </c>
      <c r="E3360">
        <v>3.9159999999999999</v>
      </c>
      <c r="F3360">
        <v>135.4468</v>
      </c>
      <c r="G3360">
        <v>1445596.61</v>
      </c>
      <c r="H3360" t="str">
        <f>TEXT(Ventas[[#This Row],[Fecha_venta]],"dd")</f>
        <v>01</v>
      </c>
      <c r="I3360" t="str">
        <f>TEXT(Ventas[[#This Row],[Fecha_venta]],"m")</f>
        <v>7</v>
      </c>
      <c r="J3360" t="str">
        <f>TEXT(Ventas[[#This Row],[Fecha_venta]],"yyyy")</f>
        <v>2011</v>
      </c>
    </row>
    <row r="3361" spans="1:10" x14ac:dyDescent="0.25">
      <c r="A3361">
        <v>24</v>
      </c>
      <c r="B3361" s="1">
        <v>40732</v>
      </c>
      <c r="C3361">
        <v>0</v>
      </c>
      <c r="D3361">
        <v>72.56</v>
      </c>
      <c r="E3361">
        <v>3.8860000000000001</v>
      </c>
      <c r="F3361">
        <v>135.62833330000001</v>
      </c>
      <c r="G3361">
        <v>1567340.07</v>
      </c>
      <c r="H3361" t="str">
        <f>TEXT(Ventas[[#This Row],[Fecha_venta]],"dd")</f>
        <v>08</v>
      </c>
      <c r="I3361" t="str">
        <f>TEXT(Ventas[[#This Row],[Fecha_venta]],"m")</f>
        <v>7</v>
      </c>
      <c r="J3361" t="str">
        <f>TEXT(Ventas[[#This Row],[Fecha_venta]],"yyyy")</f>
        <v>2011</v>
      </c>
    </row>
    <row r="3362" spans="1:10" x14ac:dyDescent="0.25">
      <c r="A3362">
        <v>24</v>
      </c>
      <c r="B3362" s="1">
        <v>40739</v>
      </c>
      <c r="C3362">
        <v>0</v>
      </c>
      <c r="D3362">
        <v>74.430000000000007</v>
      </c>
      <c r="E3362">
        <v>3.915</v>
      </c>
      <c r="F3362">
        <v>135.7837419</v>
      </c>
      <c r="G3362">
        <v>1356938.95</v>
      </c>
      <c r="H3362" t="str">
        <f>TEXT(Ventas[[#This Row],[Fecha_venta]],"dd")</f>
        <v>15</v>
      </c>
      <c r="I3362" t="str">
        <f>TEXT(Ventas[[#This Row],[Fecha_venta]],"m")</f>
        <v>7</v>
      </c>
      <c r="J3362" t="str">
        <f>TEXT(Ventas[[#This Row],[Fecha_venta]],"yyyy")</f>
        <v>2011</v>
      </c>
    </row>
    <row r="3363" spans="1:10" x14ac:dyDescent="0.25">
      <c r="A3363">
        <v>24</v>
      </c>
      <c r="B3363" s="1">
        <v>40746</v>
      </c>
      <c r="C3363">
        <v>0</v>
      </c>
      <c r="D3363">
        <v>79.290000000000006</v>
      </c>
      <c r="E3363">
        <v>3.972</v>
      </c>
      <c r="F3363">
        <v>135.87383869999999</v>
      </c>
      <c r="G3363">
        <v>1357672.24</v>
      </c>
      <c r="H3363" t="str">
        <f>TEXT(Ventas[[#This Row],[Fecha_venta]],"dd")</f>
        <v>22</v>
      </c>
      <c r="I3363" t="str">
        <f>TEXT(Ventas[[#This Row],[Fecha_venta]],"m")</f>
        <v>7</v>
      </c>
      <c r="J3363" t="str">
        <f>TEXT(Ventas[[#This Row],[Fecha_venta]],"yyyy")</f>
        <v>2011</v>
      </c>
    </row>
    <row r="3364" spans="1:10" x14ac:dyDescent="0.25">
      <c r="A3364">
        <v>24</v>
      </c>
      <c r="B3364" s="1">
        <v>40753</v>
      </c>
      <c r="C3364">
        <v>0</v>
      </c>
      <c r="D3364">
        <v>74.84</v>
      </c>
      <c r="E3364">
        <v>4.0039999999999996</v>
      </c>
      <c r="F3364">
        <v>135.96393549999999</v>
      </c>
      <c r="G3364">
        <v>1310973.06</v>
      </c>
      <c r="H3364" t="str">
        <f>TEXT(Ventas[[#This Row],[Fecha_venta]],"dd")</f>
        <v>29</v>
      </c>
      <c r="I3364" t="str">
        <f>TEXT(Ventas[[#This Row],[Fecha_venta]],"m")</f>
        <v>7</v>
      </c>
      <c r="J3364" t="str">
        <f>TEXT(Ventas[[#This Row],[Fecha_venta]],"yyyy")</f>
        <v>2011</v>
      </c>
    </row>
    <row r="3365" spans="1:10" x14ac:dyDescent="0.25">
      <c r="A3365">
        <v>24</v>
      </c>
      <c r="B3365" s="1">
        <v>40760</v>
      </c>
      <c r="C3365">
        <v>0</v>
      </c>
      <c r="D3365">
        <v>74.64</v>
      </c>
      <c r="E3365">
        <v>4.0199999999999996</v>
      </c>
      <c r="F3365">
        <v>136.05403229999999</v>
      </c>
      <c r="G3365">
        <v>1417616.81</v>
      </c>
      <c r="H3365" t="str">
        <f>TEXT(Ventas[[#This Row],[Fecha_venta]],"dd")</f>
        <v>05</v>
      </c>
      <c r="I3365" t="str">
        <f>TEXT(Ventas[[#This Row],[Fecha_venta]],"m")</f>
        <v>8</v>
      </c>
      <c r="J3365" t="str">
        <f>TEXT(Ventas[[#This Row],[Fecha_venta]],"yyyy")</f>
        <v>2011</v>
      </c>
    </row>
    <row r="3366" spans="1:10" x14ac:dyDescent="0.25">
      <c r="A3366">
        <v>24</v>
      </c>
      <c r="B3366" s="1">
        <v>40767</v>
      </c>
      <c r="C3366">
        <v>0</v>
      </c>
      <c r="D3366">
        <v>72.52</v>
      </c>
      <c r="E3366">
        <v>3.9950000000000001</v>
      </c>
      <c r="F3366">
        <v>136.14412899999999</v>
      </c>
      <c r="G3366">
        <v>1402818.01</v>
      </c>
      <c r="H3366" t="str">
        <f>TEXT(Ventas[[#This Row],[Fecha_venta]],"dd")</f>
        <v>12</v>
      </c>
      <c r="I3366" t="str">
        <f>TEXT(Ventas[[#This Row],[Fecha_venta]],"m")</f>
        <v>8</v>
      </c>
      <c r="J3366" t="str">
        <f>TEXT(Ventas[[#This Row],[Fecha_venta]],"yyyy")</f>
        <v>2011</v>
      </c>
    </row>
    <row r="3367" spans="1:10" x14ac:dyDescent="0.25">
      <c r="A3367">
        <v>24</v>
      </c>
      <c r="B3367" s="1">
        <v>40774</v>
      </c>
      <c r="C3367">
        <v>0</v>
      </c>
      <c r="D3367">
        <v>69.930000000000007</v>
      </c>
      <c r="E3367">
        <v>3.9420000000000002</v>
      </c>
      <c r="F3367">
        <v>136.18312900000001</v>
      </c>
      <c r="G3367">
        <v>1352039.88</v>
      </c>
      <c r="H3367" t="str">
        <f>TEXT(Ventas[[#This Row],[Fecha_venta]],"dd")</f>
        <v>19</v>
      </c>
      <c r="I3367" t="str">
        <f>TEXT(Ventas[[#This Row],[Fecha_venta]],"m")</f>
        <v>8</v>
      </c>
      <c r="J3367" t="str">
        <f>TEXT(Ventas[[#This Row],[Fecha_venta]],"yyyy")</f>
        <v>2011</v>
      </c>
    </row>
    <row r="3368" spans="1:10" x14ac:dyDescent="0.25">
      <c r="A3368">
        <v>24</v>
      </c>
      <c r="B3368" s="1">
        <v>40781</v>
      </c>
      <c r="C3368">
        <v>0</v>
      </c>
      <c r="D3368">
        <v>69.94</v>
      </c>
      <c r="E3368">
        <v>3.9060000000000001</v>
      </c>
      <c r="F3368">
        <v>136.21361289999999</v>
      </c>
      <c r="G3368">
        <v>1402372.09</v>
      </c>
      <c r="H3368" t="str">
        <f>TEXT(Ventas[[#This Row],[Fecha_venta]],"dd")</f>
        <v>26</v>
      </c>
      <c r="I3368" t="str">
        <f>TEXT(Ventas[[#This Row],[Fecha_venta]],"m")</f>
        <v>8</v>
      </c>
      <c r="J3368" t="str">
        <f>TEXT(Ventas[[#This Row],[Fecha_venta]],"yyyy")</f>
        <v>2011</v>
      </c>
    </row>
    <row r="3369" spans="1:10" x14ac:dyDescent="0.25">
      <c r="A3369">
        <v>24</v>
      </c>
      <c r="B3369" s="1">
        <v>40788</v>
      </c>
      <c r="C3369">
        <v>0</v>
      </c>
      <c r="D3369">
        <v>68.14</v>
      </c>
      <c r="E3369">
        <v>3.879</v>
      </c>
      <c r="F3369">
        <v>136.24409679999999</v>
      </c>
      <c r="G3369">
        <v>1196105.44</v>
      </c>
      <c r="H3369" t="str">
        <f>TEXT(Ventas[[#This Row],[Fecha_venta]],"dd")</f>
        <v>02</v>
      </c>
      <c r="I3369" t="str">
        <f>TEXT(Ventas[[#This Row],[Fecha_venta]],"m")</f>
        <v>9</v>
      </c>
      <c r="J3369" t="str">
        <f>TEXT(Ventas[[#This Row],[Fecha_venta]],"yyyy")</f>
        <v>2011</v>
      </c>
    </row>
    <row r="3370" spans="1:10" x14ac:dyDescent="0.25">
      <c r="A3370">
        <v>24</v>
      </c>
      <c r="B3370" s="1">
        <v>40795</v>
      </c>
      <c r="C3370">
        <v>1</v>
      </c>
      <c r="D3370">
        <v>68.319999999999993</v>
      </c>
      <c r="E3370">
        <v>3.93</v>
      </c>
      <c r="F3370">
        <v>136.27458060000001</v>
      </c>
      <c r="G3370">
        <v>1527455.19</v>
      </c>
      <c r="H3370" t="str">
        <f>TEXT(Ventas[[#This Row],[Fecha_venta]],"dd")</f>
        <v>09</v>
      </c>
      <c r="I3370" t="str">
        <f>TEXT(Ventas[[#This Row],[Fecha_venta]],"m")</f>
        <v>9</v>
      </c>
      <c r="J3370" t="str">
        <f>TEXT(Ventas[[#This Row],[Fecha_venta]],"yyyy")</f>
        <v>2011</v>
      </c>
    </row>
    <row r="3371" spans="1:10" x14ac:dyDescent="0.25">
      <c r="A3371">
        <v>24</v>
      </c>
      <c r="B3371" s="1">
        <v>40802</v>
      </c>
      <c r="C3371">
        <v>0</v>
      </c>
      <c r="D3371">
        <v>65.56</v>
      </c>
      <c r="E3371">
        <v>3.9369999999999998</v>
      </c>
      <c r="F3371">
        <v>136.31450000000001</v>
      </c>
      <c r="G3371">
        <v>1227535.97</v>
      </c>
      <c r="H3371" t="str">
        <f>TEXT(Ventas[[#This Row],[Fecha_venta]],"dd")</f>
        <v>16</v>
      </c>
      <c r="I3371" t="str">
        <f>TEXT(Ventas[[#This Row],[Fecha_venta]],"m")</f>
        <v>9</v>
      </c>
      <c r="J3371" t="str">
        <f>TEXT(Ventas[[#This Row],[Fecha_venta]],"yyyy")</f>
        <v>2011</v>
      </c>
    </row>
    <row r="3372" spans="1:10" x14ac:dyDescent="0.25">
      <c r="A3372">
        <v>24</v>
      </c>
      <c r="B3372" s="1">
        <v>40809</v>
      </c>
      <c r="C3372">
        <v>0</v>
      </c>
      <c r="D3372">
        <v>60.61</v>
      </c>
      <c r="E3372">
        <v>3.899</v>
      </c>
      <c r="F3372">
        <v>136.36699999999999</v>
      </c>
      <c r="G3372">
        <v>1232376.49</v>
      </c>
      <c r="H3372" t="str">
        <f>TEXT(Ventas[[#This Row],[Fecha_venta]],"dd")</f>
        <v>23</v>
      </c>
      <c r="I3372" t="str">
        <f>TEXT(Ventas[[#This Row],[Fecha_venta]],"m")</f>
        <v>9</v>
      </c>
      <c r="J3372" t="str">
        <f>TEXT(Ventas[[#This Row],[Fecha_venta]],"yyyy")</f>
        <v>2011</v>
      </c>
    </row>
    <row r="3373" spans="1:10" x14ac:dyDescent="0.25">
      <c r="A3373">
        <v>24</v>
      </c>
      <c r="B3373" s="1">
        <v>40816</v>
      </c>
      <c r="C3373">
        <v>0</v>
      </c>
      <c r="D3373">
        <v>68</v>
      </c>
      <c r="E3373">
        <v>3.8580000000000001</v>
      </c>
      <c r="F3373">
        <v>136.4195</v>
      </c>
      <c r="G3373">
        <v>1246242.6100000001</v>
      </c>
      <c r="H3373" t="str">
        <f>TEXT(Ventas[[#This Row],[Fecha_venta]],"dd")</f>
        <v>30</v>
      </c>
      <c r="I3373" t="str">
        <f>TEXT(Ventas[[#This Row],[Fecha_venta]],"m")</f>
        <v>9</v>
      </c>
      <c r="J3373" t="str">
        <f>TEXT(Ventas[[#This Row],[Fecha_venta]],"yyyy")</f>
        <v>2011</v>
      </c>
    </row>
    <row r="3374" spans="1:10" x14ac:dyDescent="0.25">
      <c r="A3374">
        <v>24</v>
      </c>
      <c r="B3374" s="1">
        <v>40823</v>
      </c>
      <c r="C3374">
        <v>0</v>
      </c>
      <c r="D3374">
        <v>53.87</v>
      </c>
      <c r="E3374">
        <v>3.7749999999999999</v>
      </c>
      <c r="F3374">
        <v>136.47200000000001</v>
      </c>
      <c r="G3374">
        <v>1405914.39</v>
      </c>
      <c r="H3374" t="str">
        <f>TEXT(Ventas[[#This Row],[Fecha_venta]],"dd")</f>
        <v>07</v>
      </c>
      <c r="I3374" t="str">
        <f>TEXT(Ventas[[#This Row],[Fecha_venta]],"m")</f>
        <v>10</v>
      </c>
      <c r="J3374" t="str">
        <f>TEXT(Ventas[[#This Row],[Fecha_venta]],"yyyy")</f>
        <v>2011</v>
      </c>
    </row>
    <row r="3375" spans="1:10" x14ac:dyDescent="0.25">
      <c r="A3375">
        <v>24</v>
      </c>
      <c r="B3375" s="1">
        <v>40830</v>
      </c>
      <c r="C3375">
        <v>0</v>
      </c>
      <c r="D3375">
        <v>60.21</v>
      </c>
      <c r="E3375">
        <v>3.7440000000000002</v>
      </c>
      <c r="F3375">
        <v>136.51509680000001</v>
      </c>
      <c r="G3375">
        <v>1333315.03</v>
      </c>
      <c r="H3375" t="str">
        <f>TEXT(Ventas[[#This Row],[Fecha_venta]],"dd")</f>
        <v>14</v>
      </c>
      <c r="I3375" t="str">
        <f>TEXT(Ventas[[#This Row],[Fecha_venta]],"m")</f>
        <v>10</v>
      </c>
      <c r="J3375" t="str">
        <f>TEXT(Ventas[[#This Row],[Fecha_venta]],"yyyy")</f>
        <v>2011</v>
      </c>
    </row>
    <row r="3376" spans="1:10" x14ac:dyDescent="0.25">
      <c r="A3376">
        <v>24</v>
      </c>
      <c r="B3376" s="1">
        <v>40837</v>
      </c>
      <c r="C3376">
        <v>0</v>
      </c>
      <c r="D3376">
        <v>56.6</v>
      </c>
      <c r="E3376">
        <v>3.7570000000000001</v>
      </c>
      <c r="F3376">
        <v>136.5017742</v>
      </c>
      <c r="G3376">
        <v>1283563.43</v>
      </c>
      <c r="H3376" t="str">
        <f>TEXT(Ventas[[#This Row],[Fecha_venta]],"dd")</f>
        <v>21</v>
      </c>
      <c r="I3376" t="str">
        <f>TEXT(Ventas[[#This Row],[Fecha_venta]],"m")</f>
        <v>10</v>
      </c>
      <c r="J3376" t="str">
        <f>TEXT(Ventas[[#This Row],[Fecha_venta]],"yyyy")</f>
        <v>2011</v>
      </c>
    </row>
    <row r="3377" spans="1:10" x14ac:dyDescent="0.25">
      <c r="A3377">
        <v>24</v>
      </c>
      <c r="B3377" s="1">
        <v>40844</v>
      </c>
      <c r="C3377">
        <v>0</v>
      </c>
      <c r="D3377">
        <v>48</v>
      </c>
      <c r="E3377">
        <v>3.7570000000000001</v>
      </c>
      <c r="F3377">
        <v>136.48845159999999</v>
      </c>
      <c r="G3377">
        <v>1307142.75</v>
      </c>
      <c r="H3377" t="str">
        <f>TEXT(Ventas[[#This Row],[Fecha_venta]],"dd")</f>
        <v>28</v>
      </c>
      <c r="I3377" t="str">
        <f>TEXT(Ventas[[#This Row],[Fecha_venta]],"m")</f>
        <v>10</v>
      </c>
      <c r="J3377" t="str">
        <f>TEXT(Ventas[[#This Row],[Fecha_venta]],"yyyy")</f>
        <v>2011</v>
      </c>
    </row>
    <row r="3378" spans="1:10" x14ac:dyDescent="0.25">
      <c r="A3378">
        <v>24</v>
      </c>
      <c r="B3378" s="1">
        <v>40851</v>
      </c>
      <c r="C3378">
        <v>0</v>
      </c>
      <c r="D3378">
        <v>39.869999999999997</v>
      </c>
      <c r="E3378">
        <v>3.738</v>
      </c>
      <c r="F3378">
        <v>136.47512900000001</v>
      </c>
      <c r="G3378">
        <v>1385860.38</v>
      </c>
      <c r="H3378" t="str">
        <f>TEXT(Ventas[[#This Row],[Fecha_venta]],"dd")</f>
        <v>04</v>
      </c>
      <c r="I3378" t="str">
        <f>TEXT(Ventas[[#This Row],[Fecha_venta]],"m")</f>
        <v>11</v>
      </c>
      <c r="J3378" t="str">
        <f>TEXT(Ventas[[#This Row],[Fecha_venta]],"yyyy")</f>
        <v>2011</v>
      </c>
    </row>
    <row r="3379" spans="1:10" x14ac:dyDescent="0.25">
      <c r="A3379">
        <v>24</v>
      </c>
      <c r="B3379" s="1">
        <v>40858</v>
      </c>
      <c r="C3379">
        <v>0</v>
      </c>
      <c r="D3379">
        <v>46.78</v>
      </c>
      <c r="E3379">
        <v>3.7189999999999999</v>
      </c>
      <c r="F3379">
        <v>136.46180649999999</v>
      </c>
      <c r="G3379">
        <v>1425078.59</v>
      </c>
      <c r="H3379" t="str">
        <f>TEXT(Ventas[[#This Row],[Fecha_venta]],"dd")</f>
        <v>11</v>
      </c>
      <c r="I3379" t="str">
        <f>TEXT(Ventas[[#This Row],[Fecha_venta]],"m")</f>
        <v>11</v>
      </c>
      <c r="J3379" t="str">
        <f>TEXT(Ventas[[#This Row],[Fecha_venta]],"yyyy")</f>
        <v>2011</v>
      </c>
    </row>
    <row r="3380" spans="1:10" x14ac:dyDescent="0.25">
      <c r="A3380">
        <v>24</v>
      </c>
      <c r="B3380" s="1">
        <v>40865</v>
      </c>
      <c r="C3380">
        <v>0</v>
      </c>
      <c r="D3380">
        <v>48.17</v>
      </c>
      <c r="E3380">
        <v>3.7170000000000001</v>
      </c>
      <c r="F3380">
        <v>136.46666669999999</v>
      </c>
      <c r="G3380">
        <v>1297535.69</v>
      </c>
      <c r="H3380" t="str">
        <f>TEXT(Ventas[[#This Row],[Fecha_venta]],"dd")</f>
        <v>18</v>
      </c>
      <c r="I3380" t="str">
        <f>TEXT(Ventas[[#This Row],[Fecha_venta]],"m")</f>
        <v>11</v>
      </c>
      <c r="J3380" t="str">
        <f>TEXT(Ventas[[#This Row],[Fecha_venta]],"yyyy")</f>
        <v>2011</v>
      </c>
    </row>
    <row r="3381" spans="1:10" x14ac:dyDescent="0.25">
      <c r="A3381">
        <v>24</v>
      </c>
      <c r="B3381" s="1">
        <v>40872</v>
      </c>
      <c r="C3381">
        <v>1</v>
      </c>
      <c r="D3381">
        <v>41.83</v>
      </c>
      <c r="E3381">
        <v>3.6890000000000001</v>
      </c>
      <c r="F3381">
        <v>136.47880000000001</v>
      </c>
      <c r="G3381">
        <v>1761235.67</v>
      </c>
      <c r="H3381" t="str">
        <f>TEXT(Ventas[[#This Row],[Fecha_venta]],"dd")</f>
        <v>25</v>
      </c>
      <c r="I3381" t="str">
        <f>TEXT(Ventas[[#This Row],[Fecha_venta]],"m")</f>
        <v>11</v>
      </c>
      <c r="J3381" t="str">
        <f>TEXT(Ventas[[#This Row],[Fecha_venta]],"yyyy")</f>
        <v>2011</v>
      </c>
    </row>
    <row r="3382" spans="1:10" x14ac:dyDescent="0.25">
      <c r="A3382">
        <v>24</v>
      </c>
      <c r="B3382" s="1">
        <v>40879</v>
      </c>
      <c r="C3382">
        <v>0</v>
      </c>
      <c r="D3382">
        <v>47.21</v>
      </c>
      <c r="E3382">
        <v>3.6659999999999999</v>
      </c>
      <c r="F3382">
        <v>136.49093329999999</v>
      </c>
      <c r="G3382">
        <v>1335647.1000000001</v>
      </c>
      <c r="H3382" t="str">
        <f>TEXT(Ventas[[#This Row],[Fecha_venta]],"dd")</f>
        <v>02</v>
      </c>
      <c r="I3382" t="str">
        <f>TEXT(Ventas[[#This Row],[Fecha_venta]],"m")</f>
        <v>12</v>
      </c>
      <c r="J3382" t="str">
        <f>TEXT(Ventas[[#This Row],[Fecha_venta]],"yyyy")</f>
        <v>2011</v>
      </c>
    </row>
    <row r="3383" spans="1:10" x14ac:dyDescent="0.25">
      <c r="A3383">
        <v>24</v>
      </c>
      <c r="B3383" s="1">
        <v>40886</v>
      </c>
      <c r="C3383">
        <v>0</v>
      </c>
      <c r="D3383">
        <v>42.3</v>
      </c>
      <c r="E3383">
        <v>3.6269999999999998</v>
      </c>
      <c r="F3383">
        <v>136.50306670000001</v>
      </c>
      <c r="G3383">
        <v>1529615.54</v>
      </c>
      <c r="H3383" t="str">
        <f>TEXT(Ventas[[#This Row],[Fecha_venta]],"dd")</f>
        <v>09</v>
      </c>
      <c r="I3383" t="str">
        <f>TEXT(Ventas[[#This Row],[Fecha_venta]],"m")</f>
        <v>12</v>
      </c>
      <c r="J3383" t="str">
        <f>TEXT(Ventas[[#This Row],[Fecha_venta]],"yyyy")</f>
        <v>2011</v>
      </c>
    </row>
    <row r="3384" spans="1:10" x14ac:dyDescent="0.25">
      <c r="A3384">
        <v>24</v>
      </c>
      <c r="B3384" s="1">
        <v>40893</v>
      </c>
      <c r="C3384">
        <v>0</v>
      </c>
      <c r="D3384">
        <v>36</v>
      </c>
      <c r="E3384">
        <v>3.6110000000000002</v>
      </c>
      <c r="F3384">
        <v>136.53351610000001</v>
      </c>
      <c r="G3384">
        <v>1624994.43</v>
      </c>
      <c r="H3384" t="str">
        <f>TEXT(Ventas[[#This Row],[Fecha_venta]],"dd")</f>
        <v>16</v>
      </c>
      <c r="I3384" t="str">
        <f>TEXT(Ventas[[#This Row],[Fecha_venta]],"m")</f>
        <v>12</v>
      </c>
      <c r="J3384" t="str">
        <f>TEXT(Ventas[[#This Row],[Fecha_venta]],"yyyy")</f>
        <v>2011</v>
      </c>
    </row>
    <row r="3385" spans="1:10" x14ac:dyDescent="0.25">
      <c r="A3385">
        <v>24</v>
      </c>
      <c r="B3385" s="1">
        <v>40900</v>
      </c>
      <c r="C3385">
        <v>0</v>
      </c>
      <c r="D3385">
        <v>36.93</v>
      </c>
      <c r="E3385">
        <v>3.5870000000000002</v>
      </c>
      <c r="F3385">
        <v>136.58838710000001</v>
      </c>
      <c r="G3385">
        <v>2168344.23</v>
      </c>
      <c r="H3385" t="str">
        <f>TEXT(Ventas[[#This Row],[Fecha_venta]],"dd")</f>
        <v>23</v>
      </c>
      <c r="I3385" t="str">
        <f>TEXT(Ventas[[#This Row],[Fecha_venta]],"m")</f>
        <v>12</v>
      </c>
      <c r="J3385" t="str">
        <f>TEXT(Ventas[[#This Row],[Fecha_venta]],"yyyy")</f>
        <v>2011</v>
      </c>
    </row>
    <row r="3386" spans="1:10" x14ac:dyDescent="0.25">
      <c r="A3386">
        <v>24</v>
      </c>
      <c r="B3386" s="1">
        <v>40907</v>
      </c>
      <c r="C3386">
        <v>1</v>
      </c>
      <c r="D3386">
        <v>33.450000000000003</v>
      </c>
      <c r="E3386">
        <v>3.5659999999999998</v>
      </c>
      <c r="F3386">
        <v>136.6432581</v>
      </c>
      <c r="G3386">
        <v>1363973.16</v>
      </c>
      <c r="H3386" t="str">
        <f>TEXT(Ventas[[#This Row],[Fecha_venta]],"dd")</f>
        <v>30</v>
      </c>
      <c r="I3386" t="str">
        <f>TEXT(Ventas[[#This Row],[Fecha_venta]],"m")</f>
        <v>12</v>
      </c>
      <c r="J3386" t="str">
        <f>TEXT(Ventas[[#This Row],[Fecha_venta]],"yyyy")</f>
        <v>2011</v>
      </c>
    </row>
    <row r="3387" spans="1:10" x14ac:dyDescent="0.25">
      <c r="A3387">
        <v>24</v>
      </c>
      <c r="B3387" s="1">
        <v>40914</v>
      </c>
      <c r="C3387">
        <v>0</v>
      </c>
      <c r="D3387">
        <v>32.86</v>
      </c>
      <c r="E3387">
        <v>3.585</v>
      </c>
      <c r="F3387">
        <v>136.69812899999999</v>
      </c>
      <c r="G3387">
        <v>1251581.8899999999</v>
      </c>
      <c r="H3387" t="str">
        <f>TEXT(Ventas[[#This Row],[Fecha_venta]],"dd")</f>
        <v>06</v>
      </c>
      <c r="I3387" t="str">
        <f>TEXT(Ventas[[#This Row],[Fecha_venta]],"m")</f>
        <v>1</v>
      </c>
      <c r="J3387" t="str">
        <f>TEXT(Ventas[[#This Row],[Fecha_venta]],"yyyy")</f>
        <v>2012</v>
      </c>
    </row>
    <row r="3388" spans="1:10" x14ac:dyDescent="0.25">
      <c r="A3388">
        <v>24</v>
      </c>
      <c r="B3388" s="1">
        <v>40921</v>
      </c>
      <c r="C3388">
        <v>0</v>
      </c>
      <c r="D3388">
        <v>36.5</v>
      </c>
      <c r="E3388">
        <v>3.6659999999999999</v>
      </c>
      <c r="F3388">
        <v>136.75299999999999</v>
      </c>
      <c r="G3388">
        <v>1155594.2</v>
      </c>
      <c r="H3388" t="str">
        <f>TEXT(Ventas[[#This Row],[Fecha_venta]],"dd")</f>
        <v>13</v>
      </c>
      <c r="I3388" t="str">
        <f>TEXT(Ventas[[#This Row],[Fecha_venta]],"m")</f>
        <v>1</v>
      </c>
      <c r="J3388" t="str">
        <f>TEXT(Ventas[[#This Row],[Fecha_venta]],"yyyy")</f>
        <v>2012</v>
      </c>
    </row>
    <row r="3389" spans="1:10" x14ac:dyDescent="0.25">
      <c r="A3389">
        <v>24</v>
      </c>
      <c r="B3389" s="1">
        <v>40928</v>
      </c>
      <c r="C3389">
        <v>0</v>
      </c>
      <c r="D3389">
        <v>25.73</v>
      </c>
      <c r="E3389">
        <v>3.7050000000000001</v>
      </c>
      <c r="F3389">
        <v>136.85641939999999</v>
      </c>
      <c r="G3389">
        <v>1151993.8500000001</v>
      </c>
      <c r="H3389" t="str">
        <f>TEXT(Ventas[[#This Row],[Fecha_venta]],"dd")</f>
        <v>20</v>
      </c>
      <c r="I3389" t="str">
        <f>TEXT(Ventas[[#This Row],[Fecha_venta]],"m")</f>
        <v>1</v>
      </c>
      <c r="J3389" t="str">
        <f>TEXT(Ventas[[#This Row],[Fecha_venta]],"yyyy")</f>
        <v>2012</v>
      </c>
    </row>
    <row r="3390" spans="1:10" x14ac:dyDescent="0.25">
      <c r="A3390">
        <v>24</v>
      </c>
      <c r="B3390" s="1">
        <v>40935</v>
      </c>
      <c r="C3390">
        <v>0</v>
      </c>
      <c r="D3390">
        <v>31.92</v>
      </c>
      <c r="E3390">
        <v>3.7370000000000001</v>
      </c>
      <c r="F3390">
        <v>136.95983870000001</v>
      </c>
      <c r="G3390">
        <v>1057290.4099999999</v>
      </c>
      <c r="H3390" t="str">
        <f>TEXT(Ventas[[#This Row],[Fecha_venta]],"dd")</f>
        <v>27</v>
      </c>
      <c r="I3390" t="str">
        <f>TEXT(Ventas[[#This Row],[Fecha_venta]],"m")</f>
        <v>1</v>
      </c>
      <c r="J3390" t="str">
        <f>TEXT(Ventas[[#This Row],[Fecha_venta]],"yyyy")</f>
        <v>2012</v>
      </c>
    </row>
    <row r="3391" spans="1:10" x14ac:dyDescent="0.25">
      <c r="A3391">
        <v>24</v>
      </c>
      <c r="B3391" s="1">
        <v>40942</v>
      </c>
      <c r="C3391">
        <v>0</v>
      </c>
      <c r="D3391">
        <v>38.61</v>
      </c>
      <c r="E3391">
        <v>3.7959999999999998</v>
      </c>
      <c r="F3391">
        <v>137.06325810000001</v>
      </c>
      <c r="G3391">
        <v>1249696.97</v>
      </c>
      <c r="H3391" t="str">
        <f>TEXT(Ventas[[#This Row],[Fecha_venta]],"dd")</f>
        <v>03</v>
      </c>
      <c r="I3391" t="str">
        <f>TEXT(Ventas[[#This Row],[Fecha_venta]],"m")</f>
        <v>2</v>
      </c>
      <c r="J3391" t="str">
        <f>TEXT(Ventas[[#This Row],[Fecha_venta]],"yyyy")</f>
        <v>2012</v>
      </c>
    </row>
    <row r="3392" spans="1:10" x14ac:dyDescent="0.25">
      <c r="A3392">
        <v>24</v>
      </c>
      <c r="B3392" s="1">
        <v>40949</v>
      </c>
      <c r="C3392">
        <v>1</v>
      </c>
      <c r="D3392">
        <v>33.82</v>
      </c>
      <c r="E3392">
        <v>3.8260000000000001</v>
      </c>
      <c r="F3392">
        <v>137.1666774</v>
      </c>
      <c r="G3392">
        <v>1403460.87</v>
      </c>
      <c r="H3392" t="str">
        <f>TEXT(Ventas[[#This Row],[Fecha_venta]],"dd")</f>
        <v>10</v>
      </c>
      <c r="I3392" t="str">
        <f>TEXT(Ventas[[#This Row],[Fecha_venta]],"m")</f>
        <v>2</v>
      </c>
      <c r="J3392" t="str">
        <f>TEXT(Ventas[[#This Row],[Fecha_venta]],"yyyy")</f>
        <v>2012</v>
      </c>
    </row>
    <row r="3393" spans="1:10" x14ac:dyDescent="0.25">
      <c r="A3393">
        <v>24</v>
      </c>
      <c r="B3393" s="1">
        <v>40956</v>
      </c>
      <c r="C3393">
        <v>0</v>
      </c>
      <c r="D3393">
        <v>33.92</v>
      </c>
      <c r="E3393">
        <v>3.8740000000000001</v>
      </c>
      <c r="F3393">
        <v>137.25831030000001</v>
      </c>
      <c r="G3393">
        <v>1326370.08</v>
      </c>
      <c r="H3393" t="str">
        <f>TEXT(Ventas[[#This Row],[Fecha_venta]],"dd")</f>
        <v>17</v>
      </c>
      <c r="I3393" t="str">
        <f>TEXT(Ventas[[#This Row],[Fecha_venta]],"m")</f>
        <v>2</v>
      </c>
      <c r="J3393" t="str">
        <f>TEXT(Ventas[[#This Row],[Fecha_venta]],"yyyy")</f>
        <v>2012</v>
      </c>
    </row>
    <row r="3394" spans="1:10" x14ac:dyDescent="0.25">
      <c r="A3394">
        <v>24</v>
      </c>
      <c r="B3394" s="1">
        <v>40963</v>
      </c>
      <c r="C3394">
        <v>0</v>
      </c>
      <c r="D3394">
        <v>37.35</v>
      </c>
      <c r="E3394">
        <v>3.9169999999999998</v>
      </c>
      <c r="F3394">
        <v>137.34110340000001</v>
      </c>
      <c r="G3394">
        <v>1303233.1499999999</v>
      </c>
      <c r="H3394" t="str">
        <f>TEXT(Ventas[[#This Row],[Fecha_venta]],"dd")</f>
        <v>24</v>
      </c>
      <c r="I3394" t="str">
        <f>TEXT(Ventas[[#This Row],[Fecha_venta]],"m")</f>
        <v>2</v>
      </c>
      <c r="J3394" t="str">
        <f>TEXT(Ventas[[#This Row],[Fecha_venta]],"yyyy")</f>
        <v>2012</v>
      </c>
    </row>
    <row r="3395" spans="1:10" x14ac:dyDescent="0.25">
      <c r="A3395">
        <v>24</v>
      </c>
      <c r="B3395" s="1">
        <v>40970</v>
      </c>
      <c r="C3395">
        <v>0</v>
      </c>
      <c r="D3395">
        <v>35.36</v>
      </c>
      <c r="E3395">
        <v>3.9830000000000001</v>
      </c>
      <c r="F3395">
        <v>137.42389660000001</v>
      </c>
      <c r="G3395">
        <v>1213994.3899999999</v>
      </c>
      <c r="H3395" t="str">
        <f>TEXT(Ventas[[#This Row],[Fecha_venta]],"dd")</f>
        <v>02</v>
      </c>
      <c r="I3395" t="str">
        <f>TEXT(Ventas[[#This Row],[Fecha_venta]],"m")</f>
        <v>3</v>
      </c>
      <c r="J3395" t="str">
        <f>TEXT(Ventas[[#This Row],[Fecha_venta]],"yyyy")</f>
        <v>2012</v>
      </c>
    </row>
    <row r="3396" spans="1:10" x14ac:dyDescent="0.25">
      <c r="A3396">
        <v>24</v>
      </c>
      <c r="B3396" s="1">
        <v>40977</v>
      </c>
      <c r="C3396">
        <v>0</v>
      </c>
      <c r="D3396">
        <v>41.5</v>
      </c>
      <c r="E3396">
        <v>4.0209999999999999</v>
      </c>
      <c r="F3396">
        <v>137.50668970000001</v>
      </c>
      <c r="G3396">
        <v>1325835.7</v>
      </c>
      <c r="H3396" t="str">
        <f>TEXT(Ventas[[#This Row],[Fecha_venta]],"dd")</f>
        <v>09</v>
      </c>
      <c r="I3396" t="str">
        <f>TEXT(Ventas[[#This Row],[Fecha_venta]],"m")</f>
        <v>3</v>
      </c>
      <c r="J3396" t="str">
        <f>TEXT(Ventas[[#This Row],[Fecha_venta]],"yyyy")</f>
        <v>2012</v>
      </c>
    </row>
    <row r="3397" spans="1:10" x14ac:dyDescent="0.25">
      <c r="A3397">
        <v>24</v>
      </c>
      <c r="B3397" s="1">
        <v>40984</v>
      </c>
      <c r="C3397">
        <v>0</v>
      </c>
      <c r="D3397">
        <v>48.68</v>
      </c>
      <c r="E3397">
        <v>4.0209999999999999</v>
      </c>
      <c r="F3397">
        <v>137.58438709999999</v>
      </c>
      <c r="G3397">
        <v>1239299.1200000001</v>
      </c>
      <c r="H3397" t="str">
        <f>TEXT(Ventas[[#This Row],[Fecha_venta]],"dd")</f>
        <v>16</v>
      </c>
      <c r="I3397" t="str">
        <f>TEXT(Ventas[[#This Row],[Fecha_venta]],"m")</f>
        <v>3</v>
      </c>
      <c r="J3397" t="str">
        <f>TEXT(Ventas[[#This Row],[Fecha_venta]],"yyyy")</f>
        <v>2012</v>
      </c>
    </row>
    <row r="3398" spans="1:10" x14ac:dyDescent="0.25">
      <c r="A3398">
        <v>24</v>
      </c>
      <c r="B3398" s="1">
        <v>40991</v>
      </c>
      <c r="C3398">
        <v>0</v>
      </c>
      <c r="D3398">
        <v>59.51</v>
      </c>
      <c r="E3398">
        <v>4.0540000000000003</v>
      </c>
      <c r="F3398">
        <v>137.65529029999999</v>
      </c>
      <c r="G3398">
        <v>1221723.94</v>
      </c>
      <c r="H3398" t="str">
        <f>TEXT(Ventas[[#This Row],[Fecha_venta]],"dd")</f>
        <v>23</v>
      </c>
      <c r="I3398" t="str">
        <f>TEXT(Ventas[[#This Row],[Fecha_venta]],"m")</f>
        <v>3</v>
      </c>
      <c r="J3398" t="str">
        <f>TEXT(Ventas[[#This Row],[Fecha_venta]],"yyyy")</f>
        <v>2012</v>
      </c>
    </row>
    <row r="3399" spans="1:10" x14ac:dyDescent="0.25">
      <c r="A3399">
        <v>24</v>
      </c>
      <c r="B3399" s="1">
        <v>40998</v>
      </c>
      <c r="C3399">
        <v>0</v>
      </c>
      <c r="D3399">
        <v>47.28</v>
      </c>
      <c r="E3399">
        <v>4.0979999999999999</v>
      </c>
      <c r="F3399">
        <v>137.72619349999999</v>
      </c>
      <c r="G3399">
        <v>1230106.1299999999</v>
      </c>
      <c r="H3399" t="str">
        <f>TEXT(Ventas[[#This Row],[Fecha_venta]],"dd")</f>
        <v>30</v>
      </c>
      <c r="I3399" t="str">
        <f>TEXT(Ventas[[#This Row],[Fecha_venta]],"m")</f>
        <v>3</v>
      </c>
      <c r="J3399" t="str">
        <f>TEXT(Ventas[[#This Row],[Fecha_venta]],"yyyy")</f>
        <v>2012</v>
      </c>
    </row>
    <row r="3400" spans="1:10" x14ac:dyDescent="0.25">
      <c r="A3400">
        <v>24</v>
      </c>
      <c r="B3400" s="1">
        <v>41005</v>
      </c>
      <c r="C3400">
        <v>0</v>
      </c>
      <c r="D3400">
        <v>45.25</v>
      </c>
      <c r="E3400">
        <v>4.1429999999999998</v>
      </c>
      <c r="F3400">
        <v>137.79709679999999</v>
      </c>
      <c r="G3400">
        <v>1524734.29</v>
      </c>
      <c r="H3400" t="str">
        <f>TEXT(Ventas[[#This Row],[Fecha_venta]],"dd")</f>
        <v>06</v>
      </c>
      <c r="I3400" t="str">
        <f>TEXT(Ventas[[#This Row],[Fecha_venta]],"m")</f>
        <v>4</v>
      </c>
      <c r="J3400" t="str">
        <f>TEXT(Ventas[[#This Row],[Fecha_venta]],"yyyy")</f>
        <v>2012</v>
      </c>
    </row>
    <row r="3401" spans="1:10" x14ac:dyDescent="0.25">
      <c r="A3401">
        <v>24</v>
      </c>
      <c r="B3401" s="1">
        <v>41012</v>
      </c>
      <c r="C3401">
        <v>0</v>
      </c>
      <c r="D3401">
        <v>48.65</v>
      </c>
      <c r="E3401">
        <v>4.1870000000000003</v>
      </c>
      <c r="F3401">
        <v>137.86799999999999</v>
      </c>
      <c r="G3401">
        <v>1285783.8700000001</v>
      </c>
      <c r="H3401" t="str">
        <f>TEXT(Ventas[[#This Row],[Fecha_venta]],"dd")</f>
        <v>13</v>
      </c>
      <c r="I3401" t="str">
        <f>TEXT(Ventas[[#This Row],[Fecha_venta]],"m")</f>
        <v>4</v>
      </c>
      <c r="J3401" t="str">
        <f>TEXT(Ventas[[#This Row],[Fecha_venta]],"yyyy")</f>
        <v>2012</v>
      </c>
    </row>
    <row r="3402" spans="1:10" x14ac:dyDescent="0.25">
      <c r="A3402">
        <v>24</v>
      </c>
      <c r="B3402" s="1">
        <v>41019</v>
      </c>
      <c r="C3402">
        <v>0</v>
      </c>
      <c r="D3402">
        <v>61.05</v>
      </c>
      <c r="E3402">
        <v>4.17</v>
      </c>
      <c r="F3402">
        <v>137.92306669999999</v>
      </c>
      <c r="G3402">
        <v>1208654.3999999999</v>
      </c>
      <c r="H3402" t="str">
        <f>TEXT(Ventas[[#This Row],[Fecha_venta]],"dd")</f>
        <v>20</v>
      </c>
      <c r="I3402" t="str">
        <f>TEXT(Ventas[[#This Row],[Fecha_venta]],"m")</f>
        <v>4</v>
      </c>
      <c r="J3402" t="str">
        <f>TEXT(Ventas[[#This Row],[Fecha_venta]],"yyyy")</f>
        <v>2012</v>
      </c>
    </row>
    <row r="3403" spans="1:10" x14ac:dyDescent="0.25">
      <c r="A3403">
        <v>24</v>
      </c>
      <c r="B3403" s="1">
        <v>41026</v>
      </c>
      <c r="C3403">
        <v>0</v>
      </c>
      <c r="D3403">
        <v>49.26</v>
      </c>
      <c r="E3403">
        <v>4.1630000000000003</v>
      </c>
      <c r="F3403">
        <v>137.9781333</v>
      </c>
      <c r="G3403">
        <v>1194334.6499999999</v>
      </c>
      <c r="H3403" t="str">
        <f>TEXT(Ventas[[#This Row],[Fecha_venta]],"dd")</f>
        <v>27</v>
      </c>
      <c r="I3403" t="str">
        <f>TEXT(Ventas[[#This Row],[Fecha_venta]],"m")</f>
        <v>4</v>
      </c>
      <c r="J3403" t="str">
        <f>TEXT(Ventas[[#This Row],[Fecha_venta]],"yyyy")</f>
        <v>2012</v>
      </c>
    </row>
    <row r="3404" spans="1:10" x14ac:dyDescent="0.25">
      <c r="A3404">
        <v>24</v>
      </c>
      <c r="B3404" s="1">
        <v>41033</v>
      </c>
      <c r="C3404">
        <v>0</v>
      </c>
      <c r="D3404">
        <v>52.14</v>
      </c>
      <c r="E3404">
        <v>4.1239999999999997</v>
      </c>
      <c r="F3404">
        <v>138.03319999999999</v>
      </c>
      <c r="G3404">
        <v>1306551.71</v>
      </c>
      <c r="H3404" t="str">
        <f>TEXT(Ventas[[#This Row],[Fecha_venta]],"dd")</f>
        <v>04</v>
      </c>
      <c r="I3404" t="str">
        <f>TEXT(Ventas[[#This Row],[Fecha_venta]],"m")</f>
        <v>5</v>
      </c>
      <c r="J3404" t="str">
        <f>TEXT(Ventas[[#This Row],[Fecha_venta]],"yyyy")</f>
        <v>2012</v>
      </c>
    </row>
    <row r="3405" spans="1:10" x14ac:dyDescent="0.25">
      <c r="A3405">
        <v>24</v>
      </c>
      <c r="B3405" s="1">
        <v>41040</v>
      </c>
      <c r="C3405">
        <v>0</v>
      </c>
      <c r="D3405">
        <v>58.7</v>
      </c>
      <c r="E3405">
        <v>4.0549999999999997</v>
      </c>
      <c r="F3405">
        <v>138.08826669999999</v>
      </c>
      <c r="G3405">
        <v>1355391.79</v>
      </c>
      <c r="H3405" t="str">
        <f>TEXT(Ventas[[#This Row],[Fecha_venta]],"dd")</f>
        <v>11</v>
      </c>
      <c r="I3405" t="str">
        <f>TEXT(Ventas[[#This Row],[Fecha_venta]],"m")</f>
        <v>5</v>
      </c>
      <c r="J3405" t="str">
        <f>TEXT(Ventas[[#This Row],[Fecha_venta]],"yyyy")</f>
        <v>2012</v>
      </c>
    </row>
    <row r="3406" spans="1:10" x14ac:dyDescent="0.25">
      <c r="A3406">
        <v>24</v>
      </c>
      <c r="B3406" s="1">
        <v>41047</v>
      </c>
      <c r="C3406">
        <v>0</v>
      </c>
      <c r="D3406">
        <v>63.1</v>
      </c>
      <c r="E3406">
        <v>4.0289999999999999</v>
      </c>
      <c r="F3406">
        <v>138.1065806</v>
      </c>
      <c r="G3406">
        <v>1298809.8</v>
      </c>
      <c r="H3406" t="str">
        <f>TEXT(Ventas[[#This Row],[Fecha_venta]],"dd")</f>
        <v>18</v>
      </c>
      <c r="I3406" t="str">
        <f>TEXT(Ventas[[#This Row],[Fecha_venta]],"m")</f>
        <v>5</v>
      </c>
      <c r="J3406" t="str">
        <f>TEXT(Ventas[[#This Row],[Fecha_venta]],"yyyy")</f>
        <v>2012</v>
      </c>
    </row>
    <row r="3407" spans="1:10" x14ac:dyDescent="0.25">
      <c r="A3407">
        <v>24</v>
      </c>
      <c r="B3407" s="1">
        <v>41054</v>
      </c>
      <c r="C3407">
        <v>0</v>
      </c>
      <c r="D3407">
        <v>65.790000000000006</v>
      </c>
      <c r="E3407">
        <v>3.9790000000000001</v>
      </c>
      <c r="F3407">
        <v>138.11019350000001</v>
      </c>
      <c r="G3407">
        <v>1407897.57</v>
      </c>
      <c r="H3407" t="str">
        <f>TEXT(Ventas[[#This Row],[Fecha_venta]],"dd")</f>
        <v>25</v>
      </c>
      <c r="I3407" t="str">
        <f>TEXT(Ventas[[#This Row],[Fecha_venta]],"m")</f>
        <v>5</v>
      </c>
      <c r="J3407" t="str">
        <f>TEXT(Ventas[[#This Row],[Fecha_venta]],"yyyy")</f>
        <v>2012</v>
      </c>
    </row>
    <row r="3408" spans="1:10" x14ac:dyDescent="0.25">
      <c r="A3408">
        <v>24</v>
      </c>
      <c r="B3408" s="1">
        <v>41061</v>
      </c>
      <c r="C3408">
        <v>0</v>
      </c>
      <c r="D3408">
        <v>71.790000000000006</v>
      </c>
      <c r="E3408">
        <v>3.915</v>
      </c>
      <c r="F3408">
        <v>138.11380650000001</v>
      </c>
      <c r="G3408">
        <v>1467722.19</v>
      </c>
      <c r="H3408" t="str">
        <f>TEXT(Ventas[[#This Row],[Fecha_venta]],"dd")</f>
        <v>01</v>
      </c>
      <c r="I3408" t="str">
        <f>TEXT(Ventas[[#This Row],[Fecha_venta]],"m")</f>
        <v>6</v>
      </c>
      <c r="J3408" t="str">
        <f>TEXT(Ventas[[#This Row],[Fecha_venta]],"yyyy")</f>
        <v>2012</v>
      </c>
    </row>
    <row r="3409" spans="1:10" x14ac:dyDescent="0.25">
      <c r="A3409">
        <v>24</v>
      </c>
      <c r="B3409" s="1">
        <v>41068</v>
      </c>
      <c r="C3409">
        <v>0</v>
      </c>
      <c r="D3409">
        <v>59.93</v>
      </c>
      <c r="E3409">
        <v>3.871</v>
      </c>
      <c r="F3409">
        <v>138.11741939999999</v>
      </c>
      <c r="G3409">
        <v>1406313.13</v>
      </c>
      <c r="H3409" t="str">
        <f>TEXT(Ventas[[#This Row],[Fecha_venta]],"dd")</f>
        <v>08</v>
      </c>
      <c r="I3409" t="str">
        <f>TEXT(Ventas[[#This Row],[Fecha_venta]],"m")</f>
        <v>6</v>
      </c>
      <c r="J3409" t="str">
        <f>TEXT(Ventas[[#This Row],[Fecha_venta]],"yyyy")</f>
        <v>2012</v>
      </c>
    </row>
    <row r="3410" spans="1:10" x14ac:dyDescent="0.25">
      <c r="A3410">
        <v>24</v>
      </c>
      <c r="B3410" s="1">
        <v>41075</v>
      </c>
      <c r="C3410">
        <v>0</v>
      </c>
      <c r="D3410">
        <v>68.28</v>
      </c>
      <c r="E3410">
        <v>3.786</v>
      </c>
      <c r="F3410">
        <v>138.12953329999999</v>
      </c>
      <c r="G3410">
        <v>1364445.98</v>
      </c>
      <c r="H3410" t="str">
        <f>TEXT(Ventas[[#This Row],[Fecha_venta]],"dd")</f>
        <v>15</v>
      </c>
      <c r="I3410" t="str">
        <f>TEXT(Ventas[[#This Row],[Fecha_venta]],"m")</f>
        <v>6</v>
      </c>
      <c r="J3410" t="str">
        <f>TEXT(Ventas[[#This Row],[Fecha_venta]],"yyyy")</f>
        <v>2012</v>
      </c>
    </row>
    <row r="3411" spans="1:10" x14ac:dyDescent="0.25">
      <c r="A3411">
        <v>24</v>
      </c>
      <c r="B3411" s="1">
        <v>41082</v>
      </c>
      <c r="C3411">
        <v>0</v>
      </c>
      <c r="D3411">
        <v>72.290000000000006</v>
      </c>
      <c r="E3411">
        <v>3.722</v>
      </c>
      <c r="F3411">
        <v>138.16290000000001</v>
      </c>
      <c r="G3411">
        <v>1434709.63</v>
      </c>
      <c r="H3411" t="str">
        <f>TEXT(Ventas[[#This Row],[Fecha_venta]],"dd")</f>
        <v>22</v>
      </c>
      <c r="I3411" t="str">
        <f>TEXT(Ventas[[#This Row],[Fecha_venta]],"m")</f>
        <v>6</v>
      </c>
      <c r="J3411" t="str">
        <f>TEXT(Ventas[[#This Row],[Fecha_venta]],"yyyy")</f>
        <v>2012</v>
      </c>
    </row>
    <row r="3412" spans="1:10" x14ac:dyDescent="0.25">
      <c r="A3412">
        <v>24</v>
      </c>
      <c r="B3412" s="1">
        <v>41089</v>
      </c>
      <c r="C3412">
        <v>0</v>
      </c>
      <c r="D3412">
        <v>70.400000000000006</v>
      </c>
      <c r="E3412">
        <v>3.6669999999999998</v>
      </c>
      <c r="F3412">
        <v>138.1962667</v>
      </c>
      <c r="G3412">
        <v>1428869.9</v>
      </c>
      <c r="H3412" t="str">
        <f>TEXT(Ventas[[#This Row],[Fecha_venta]],"dd")</f>
        <v>29</v>
      </c>
      <c r="I3412" t="str">
        <f>TEXT(Ventas[[#This Row],[Fecha_venta]],"m")</f>
        <v>6</v>
      </c>
      <c r="J3412" t="str">
        <f>TEXT(Ventas[[#This Row],[Fecha_venta]],"yyyy")</f>
        <v>2012</v>
      </c>
    </row>
    <row r="3413" spans="1:10" x14ac:dyDescent="0.25">
      <c r="A3413">
        <v>24</v>
      </c>
      <c r="B3413" s="1">
        <v>41096</v>
      </c>
      <c r="C3413">
        <v>0</v>
      </c>
      <c r="D3413">
        <v>77.180000000000007</v>
      </c>
      <c r="E3413">
        <v>3.6459999999999999</v>
      </c>
      <c r="F3413">
        <v>138.22963329999999</v>
      </c>
      <c r="G3413">
        <v>1645097.75</v>
      </c>
      <c r="H3413" t="str">
        <f>TEXT(Ventas[[#This Row],[Fecha_venta]],"dd")</f>
        <v>06</v>
      </c>
      <c r="I3413" t="str">
        <f>TEXT(Ventas[[#This Row],[Fecha_venta]],"m")</f>
        <v>7</v>
      </c>
      <c r="J3413" t="str">
        <f>TEXT(Ventas[[#This Row],[Fecha_venta]],"yyyy")</f>
        <v>2012</v>
      </c>
    </row>
    <row r="3414" spans="1:10" x14ac:dyDescent="0.25">
      <c r="A3414">
        <v>24</v>
      </c>
      <c r="B3414" s="1">
        <v>41103</v>
      </c>
      <c r="C3414">
        <v>0</v>
      </c>
      <c r="D3414">
        <v>75.36</v>
      </c>
      <c r="E3414">
        <v>3.6890000000000001</v>
      </c>
      <c r="F3414">
        <v>138.26300000000001</v>
      </c>
      <c r="G3414">
        <v>1405475.78</v>
      </c>
      <c r="H3414" t="str">
        <f>TEXT(Ventas[[#This Row],[Fecha_venta]],"dd")</f>
        <v>13</v>
      </c>
      <c r="I3414" t="str">
        <f>TEXT(Ventas[[#This Row],[Fecha_venta]],"m")</f>
        <v>7</v>
      </c>
      <c r="J3414" t="str">
        <f>TEXT(Ventas[[#This Row],[Fecha_venta]],"yyyy")</f>
        <v>2012</v>
      </c>
    </row>
    <row r="3415" spans="1:10" x14ac:dyDescent="0.25">
      <c r="A3415">
        <v>24</v>
      </c>
      <c r="B3415" s="1">
        <v>41110</v>
      </c>
      <c r="C3415">
        <v>0</v>
      </c>
      <c r="D3415">
        <v>76.42</v>
      </c>
      <c r="E3415">
        <v>3.7320000000000002</v>
      </c>
      <c r="F3415">
        <v>138.2331935</v>
      </c>
      <c r="G3415">
        <v>1394299</v>
      </c>
      <c r="H3415" t="str">
        <f>TEXT(Ventas[[#This Row],[Fecha_venta]],"dd")</f>
        <v>20</v>
      </c>
      <c r="I3415" t="str">
        <f>TEXT(Ventas[[#This Row],[Fecha_venta]],"m")</f>
        <v>7</v>
      </c>
      <c r="J3415" t="str">
        <f>TEXT(Ventas[[#This Row],[Fecha_venta]],"yyyy")</f>
        <v>2012</v>
      </c>
    </row>
    <row r="3416" spans="1:10" x14ac:dyDescent="0.25">
      <c r="A3416">
        <v>24</v>
      </c>
      <c r="B3416" s="1">
        <v>41117</v>
      </c>
      <c r="C3416">
        <v>0</v>
      </c>
      <c r="D3416">
        <v>73.62</v>
      </c>
      <c r="E3416">
        <v>3.82</v>
      </c>
      <c r="F3416">
        <v>138.20338709999999</v>
      </c>
      <c r="G3416">
        <v>1307339.1399999999</v>
      </c>
      <c r="H3416" t="str">
        <f>TEXT(Ventas[[#This Row],[Fecha_venta]],"dd")</f>
        <v>27</v>
      </c>
      <c r="I3416" t="str">
        <f>TEXT(Ventas[[#This Row],[Fecha_venta]],"m")</f>
        <v>7</v>
      </c>
      <c r="J3416" t="str">
        <f>TEXT(Ventas[[#This Row],[Fecha_venta]],"yyyy")</f>
        <v>2012</v>
      </c>
    </row>
    <row r="3417" spans="1:10" x14ac:dyDescent="0.25">
      <c r="A3417">
        <v>24</v>
      </c>
      <c r="B3417" s="1">
        <v>41124</v>
      </c>
      <c r="C3417">
        <v>0</v>
      </c>
      <c r="D3417">
        <v>73.260000000000005</v>
      </c>
      <c r="E3417">
        <v>3.819</v>
      </c>
      <c r="F3417">
        <v>138.17358060000001</v>
      </c>
      <c r="G3417">
        <v>1440374.13</v>
      </c>
      <c r="H3417" t="str">
        <f>TEXT(Ventas[[#This Row],[Fecha_venta]],"dd")</f>
        <v>03</v>
      </c>
      <c r="I3417" t="str">
        <f>TEXT(Ventas[[#This Row],[Fecha_venta]],"m")</f>
        <v>8</v>
      </c>
      <c r="J3417" t="str">
        <f>TEXT(Ventas[[#This Row],[Fecha_venta]],"yyyy")</f>
        <v>2012</v>
      </c>
    </row>
    <row r="3418" spans="1:10" x14ac:dyDescent="0.25">
      <c r="A3418">
        <v>24</v>
      </c>
      <c r="B3418" s="1">
        <v>41131</v>
      </c>
      <c r="C3418">
        <v>0</v>
      </c>
      <c r="D3418">
        <v>75.53</v>
      </c>
      <c r="E3418">
        <v>3.863</v>
      </c>
      <c r="F3418">
        <v>138.1437742</v>
      </c>
      <c r="G3418">
        <v>1497054.81</v>
      </c>
      <c r="H3418" t="str">
        <f>TEXT(Ventas[[#This Row],[Fecha_venta]],"dd")</f>
        <v>10</v>
      </c>
      <c r="I3418" t="str">
        <f>TEXT(Ventas[[#This Row],[Fecha_venta]],"m")</f>
        <v>8</v>
      </c>
      <c r="J3418" t="str">
        <f>TEXT(Ventas[[#This Row],[Fecha_venta]],"yyyy")</f>
        <v>2012</v>
      </c>
    </row>
    <row r="3419" spans="1:10" x14ac:dyDescent="0.25">
      <c r="A3419">
        <v>24</v>
      </c>
      <c r="B3419" s="1">
        <v>41138</v>
      </c>
      <c r="C3419">
        <v>0</v>
      </c>
      <c r="D3419">
        <v>72.87</v>
      </c>
      <c r="E3419">
        <v>3.9630000000000001</v>
      </c>
      <c r="F3419">
        <v>138.18570969999999</v>
      </c>
      <c r="G3419">
        <v>1397970.54</v>
      </c>
      <c r="H3419" t="str">
        <f>TEXT(Ventas[[#This Row],[Fecha_venta]],"dd")</f>
        <v>17</v>
      </c>
      <c r="I3419" t="str">
        <f>TEXT(Ventas[[#This Row],[Fecha_venta]],"m")</f>
        <v>8</v>
      </c>
      <c r="J3419" t="str">
        <f>TEXT(Ventas[[#This Row],[Fecha_venta]],"yyyy")</f>
        <v>2012</v>
      </c>
    </row>
    <row r="3420" spans="1:10" x14ac:dyDescent="0.25">
      <c r="A3420">
        <v>24</v>
      </c>
      <c r="B3420" s="1">
        <v>41145</v>
      </c>
      <c r="C3420">
        <v>0</v>
      </c>
      <c r="D3420">
        <v>68.13</v>
      </c>
      <c r="E3420">
        <v>3.9969999999999999</v>
      </c>
      <c r="F3420">
        <v>138.2814516</v>
      </c>
      <c r="G3420">
        <v>1303726.54</v>
      </c>
      <c r="H3420" t="str">
        <f>TEXT(Ventas[[#This Row],[Fecha_venta]],"dd")</f>
        <v>24</v>
      </c>
      <c r="I3420" t="str">
        <f>TEXT(Ventas[[#This Row],[Fecha_venta]],"m")</f>
        <v>8</v>
      </c>
      <c r="J3420" t="str">
        <f>TEXT(Ventas[[#This Row],[Fecha_venta]],"yyyy")</f>
        <v>2012</v>
      </c>
    </row>
    <row r="3421" spans="1:10" x14ac:dyDescent="0.25">
      <c r="A3421">
        <v>24</v>
      </c>
      <c r="B3421" s="1">
        <v>41152</v>
      </c>
      <c r="C3421">
        <v>0</v>
      </c>
      <c r="D3421">
        <v>71.180000000000007</v>
      </c>
      <c r="E3421">
        <v>4.0259999999999998</v>
      </c>
      <c r="F3421">
        <v>138.3771935</v>
      </c>
      <c r="G3421">
        <v>1344558.92</v>
      </c>
      <c r="H3421" t="str">
        <f>TEXT(Ventas[[#This Row],[Fecha_venta]],"dd")</f>
        <v>31</v>
      </c>
      <c r="I3421" t="str">
        <f>TEXT(Ventas[[#This Row],[Fecha_venta]],"m")</f>
        <v>8</v>
      </c>
      <c r="J3421" t="str">
        <f>TEXT(Ventas[[#This Row],[Fecha_venta]],"yyyy")</f>
        <v>2012</v>
      </c>
    </row>
    <row r="3422" spans="1:10" x14ac:dyDescent="0.25">
      <c r="A3422">
        <v>24</v>
      </c>
      <c r="B3422" s="1">
        <v>41159</v>
      </c>
      <c r="C3422">
        <v>1</v>
      </c>
      <c r="D3422">
        <v>72.81</v>
      </c>
      <c r="E3422">
        <v>4.0759999999999996</v>
      </c>
      <c r="F3422">
        <v>138.47293550000001</v>
      </c>
      <c r="G3422">
        <v>1477134.75</v>
      </c>
      <c r="H3422" t="str">
        <f>TEXT(Ventas[[#This Row],[Fecha_venta]],"dd")</f>
        <v>07</v>
      </c>
      <c r="I3422" t="str">
        <f>TEXT(Ventas[[#This Row],[Fecha_venta]],"m")</f>
        <v>9</v>
      </c>
      <c r="J3422" t="str">
        <f>TEXT(Ventas[[#This Row],[Fecha_venta]],"yyyy")</f>
        <v>2012</v>
      </c>
    </row>
    <row r="3423" spans="1:10" x14ac:dyDescent="0.25">
      <c r="A3423">
        <v>24</v>
      </c>
      <c r="B3423" s="1">
        <v>41166</v>
      </c>
      <c r="C3423">
        <v>0</v>
      </c>
      <c r="D3423">
        <v>64.28</v>
      </c>
      <c r="E3423">
        <v>4.0880000000000001</v>
      </c>
      <c r="F3423">
        <v>138.56729999999999</v>
      </c>
      <c r="G3423">
        <v>1242909.53</v>
      </c>
      <c r="H3423" t="str">
        <f>TEXT(Ventas[[#This Row],[Fecha_venta]],"dd")</f>
        <v>14</v>
      </c>
      <c r="I3423" t="str">
        <f>TEXT(Ventas[[#This Row],[Fecha_venta]],"m")</f>
        <v>9</v>
      </c>
      <c r="J3423" t="str">
        <f>TEXT(Ventas[[#This Row],[Fecha_venta]],"yyyy")</f>
        <v>2012</v>
      </c>
    </row>
    <row r="3424" spans="1:10" x14ac:dyDescent="0.25">
      <c r="A3424">
        <v>24</v>
      </c>
      <c r="B3424" s="1">
        <v>41173</v>
      </c>
      <c r="C3424">
        <v>0</v>
      </c>
      <c r="D3424">
        <v>61.25</v>
      </c>
      <c r="E3424">
        <v>4.2030000000000003</v>
      </c>
      <c r="F3424">
        <v>138.6534</v>
      </c>
      <c r="G3424">
        <v>1261158.47</v>
      </c>
      <c r="H3424" t="str">
        <f>TEXT(Ventas[[#This Row],[Fecha_venta]],"dd")</f>
        <v>21</v>
      </c>
      <c r="I3424" t="str">
        <f>TEXT(Ventas[[#This Row],[Fecha_venta]],"m")</f>
        <v>9</v>
      </c>
      <c r="J3424" t="str">
        <f>TEXT(Ventas[[#This Row],[Fecha_venta]],"yyyy")</f>
        <v>2012</v>
      </c>
    </row>
    <row r="3425" spans="1:10" x14ac:dyDescent="0.25">
      <c r="A3425">
        <v>24</v>
      </c>
      <c r="B3425" s="1">
        <v>41180</v>
      </c>
      <c r="C3425">
        <v>0</v>
      </c>
      <c r="D3425">
        <v>58.86</v>
      </c>
      <c r="E3425">
        <v>4.1580000000000004</v>
      </c>
      <c r="F3425">
        <v>138.73949999999999</v>
      </c>
      <c r="G3425">
        <v>1259278.3600000001</v>
      </c>
      <c r="H3425" t="str">
        <f>TEXT(Ventas[[#This Row],[Fecha_venta]],"dd")</f>
        <v>28</v>
      </c>
      <c r="I3425" t="str">
        <f>TEXT(Ventas[[#This Row],[Fecha_venta]],"m")</f>
        <v>9</v>
      </c>
      <c r="J3425" t="str">
        <f>TEXT(Ventas[[#This Row],[Fecha_venta]],"yyyy")</f>
        <v>2012</v>
      </c>
    </row>
    <row r="3426" spans="1:10" x14ac:dyDescent="0.25">
      <c r="A3426">
        <v>24</v>
      </c>
      <c r="B3426" s="1">
        <v>41187</v>
      </c>
      <c r="C3426">
        <v>0</v>
      </c>
      <c r="D3426">
        <v>60.35</v>
      </c>
      <c r="E3426">
        <v>4.1509999999999998</v>
      </c>
      <c r="F3426">
        <v>138.82560000000001</v>
      </c>
      <c r="G3426">
        <v>1416720.54</v>
      </c>
      <c r="H3426" t="str">
        <f>TEXT(Ventas[[#This Row],[Fecha_venta]],"dd")</f>
        <v>05</v>
      </c>
      <c r="I3426" t="str">
        <f>TEXT(Ventas[[#This Row],[Fecha_venta]],"m")</f>
        <v>10</v>
      </c>
      <c r="J3426" t="str">
        <f>TEXT(Ventas[[#This Row],[Fecha_venta]],"yyyy")</f>
        <v>2012</v>
      </c>
    </row>
    <row r="3427" spans="1:10" x14ac:dyDescent="0.25">
      <c r="A3427">
        <v>24</v>
      </c>
      <c r="B3427" s="1">
        <v>41194</v>
      </c>
      <c r="C3427">
        <v>0</v>
      </c>
      <c r="D3427">
        <v>51.64</v>
      </c>
      <c r="E3427">
        <v>4.1859999999999999</v>
      </c>
      <c r="F3427">
        <v>138.9117</v>
      </c>
      <c r="G3427">
        <v>1416301.17</v>
      </c>
      <c r="H3427" t="str">
        <f>TEXT(Ventas[[#This Row],[Fecha_venta]],"dd")</f>
        <v>12</v>
      </c>
      <c r="I3427" t="str">
        <f>TEXT(Ventas[[#This Row],[Fecha_venta]],"m")</f>
        <v>10</v>
      </c>
      <c r="J3427" t="str">
        <f>TEXT(Ventas[[#This Row],[Fecha_venta]],"yyyy")</f>
        <v>2012</v>
      </c>
    </row>
    <row r="3428" spans="1:10" x14ac:dyDescent="0.25">
      <c r="A3428">
        <v>24</v>
      </c>
      <c r="B3428" s="1">
        <v>41201</v>
      </c>
      <c r="C3428">
        <v>0</v>
      </c>
      <c r="D3428">
        <v>52.59</v>
      </c>
      <c r="E3428">
        <v>4.1529999999999996</v>
      </c>
      <c r="F3428">
        <v>138.83361289999999</v>
      </c>
      <c r="G3428">
        <v>1255414.8400000001</v>
      </c>
      <c r="H3428" t="str">
        <f>TEXT(Ventas[[#This Row],[Fecha_venta]],"dd")</f>
        <v>19</v>
      </c>
      <c r="I3428" t="str">
        <f>TEXT(Ventas[[#This Row],[Fecha_venta]],"m")</f>
        <v>10</v>
      </c>
      <c r="J3428" t="str">
        <f>TEXT(Ventas[[#This Row],[Fecha_venta]],"yyyy")</f>
        <v>2012</v>
      </c>
    </row>
    <row r="3429" spans="1:10" x14ac:dyDescent="0.25">
      <c r="A3429">
        <v>24</v>
      </c>
      <c r="B3429" s="1">
        <v>41208</v>
      </c>
      <c r="C3429">
        <v>0</v>
      </c>
      <c r="D3429">
        <v>55.16</v>
      </c>
      <c r="E3429">
        <v>4.0709999999999997</v>
      </c>
      <c r="F3429">
        <v>138.72816130000001</v>
      </c>
      <c r="G3429">
        <v>1307182.29</v>
      </c>
      <c r="H3429" t="str">
        <f>TEXT(Ventas[[#This Row],[Fecha_venta]],"dd")</f>
        <v>26</v>
      </c>
      <c r="I3429" t="str">
        <f>TEXT(Ventas[[#This Row],[Fecha_venta]],"m")</f>
        <v>10</v>
      </c>
      <c r="J3429" t="str">
        <f>TEXT(Ventas[[#This Row],[Fecha_venta]],"yyyy")</f>
        <v>2012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7481-4BF1-42D9-9B2B-D54C879AF3EC}">
  <dimension ref="A1:F3434"/>
  <sheetViews>
    <sheetView topLeftCell="A3423" workbookViewId="0">
      <selection activeCell="A3423" sqref="A1:B1048576"/>
    </sheetView>
  </sheetViews>
  <sheetFormatPr baseColWidth="10" defaultRowHeight="15" x14ac:dyDescent="0.25"/>
  <cols>
    <col min="1" max="1" width="14.42578125" bestFit="1" customWidth="1"/>
    <col min="2" max="2" width="20.5703125" bestFit="1" customWidth="1"/>
    <col min="5" max="5" width="14.7109375" customWidth="1"/>
  </cols>
  <sheetData>
    <row r="1" spans="1:6" x14ac:dyDescent="0.25">
      <c r="A1" t="s">
        <v>1</v>
      </c>
      <c r="B1" t="s">
        <v>6</v>
      </c>
    </row>
    <row r="2" spans="1:6" x14ac:dyDescent="0.25">
      <c r="A2" s="1">
        <v>40214</v>
      </c>
      <c r="B2">
        <v>1643690.9</v>
      </c>
    </row>
    <row r="3" spans="1:6" x14ac:dyDescent="0.25">
      <c r="A3" s="1">
        <v>40221</v>
      </c>
      <c r="B3">
        <v>1641957.44</v>
      </c>
    </row>
    <row r="4" spans="1:6" x14ac:dyDescent="0.25">
      <c r="A4" s="1">
        <v>40228</v>
      </c>
      <c r="B4">
        <v>1611968.17</v>
      </c>
    </row>
    <row r="5" spans="1:6" x14ac:dyDescent="0.25">
      <c r="A5" s="1">
        <v>40235</v>
      </c>
      <c r="B5">
        <v>1409727.59</v>
      </c>
    </row>
    <row r="6" spans="1:6" x14ac:dyDescent="0.25">
      <c r="A6" s="1">
        <v>40242</v>
      </c>
      <c r="B6">
        <v>1554806.68</v>
      </c>
    </row>
    <row r="7" spans="1:6" x14ac:dyDescent="0.25">
      <c r="A7" s="1">
        <v>40249</v>
      </c>
      <c r="B7">
        <v>1439541.59</v>
      </c>
      <c r="E7" s="2" t="s">
        <v>10</v>
      </c>
      <c r="F7" s="3" t="s">
        <v>11</v>
      </c>
    </row>
    <row r="8" spans="1:6" x14ac:dyDescent="0.25">
      <c r="A8" s="1">
        <v>40256</v>
      </c>
      <c r="B8">
        <v>1472515.79</v>
      </c>
    </row>
    <row r="9" spans="1:6" x14ac:dyDescent="0.25">
      <c r="A9" s="1">
        <v>40263</v>
      </c>
      <c r="B9">
        <v>1404429.92</v>
      </c>
    </row>
    <row r="10" spans="1:6" x14ac:dyDescent="0.25">
      <c r="A10" s="1">
        <v>40270</v>
      </c>
      <c r="B10">
        <v>1594968.28</v>
      </c>
    </row>
    <row r="11" spans="1:6" x14ac:dyDescent="0.25">
      <c r="A11" s="1">
        <v>40277</v>
      </c>
      <c r="B11">
        <v>1545418.53</v>
      </c>
    </row>
    <row r="12" spans="1:6" x14ac:dyDescent="0.25">
      <c r="A12" s="1">
        <v>40284</v>
      </c>
      <c r="B12">
        <v>1466058.28</v>
      </c>
    </row>
    <row r="13" spans="1:6" x14ac:dyDescent="0.25">
      <c r="A13" s="1">
        <v>40291</v>
      </c>
      <c r="B13">
        <v>1391256.12</v>
      </c>
    </row>
    <row r="14" spans="1:6" x14ac:dyDescent="0.25">
      <c r="A14" s="1">
        <v>40298</v>
      </c>
      <c r="B14">
        <v>1425100.71</v>
      </c>
    </row>
    <row r="15" spans="1:6" x14ac:dyDescent="0.25">
      <c r="A15" s="1">
        <v>40305</v>
      </c>
      <c r="B15">
        <v>1603955.12</v>
      </c>
    </row>
    <row r="16" spans="1:6" x14ac:dyDescent="0.25">
      <c r="A16" s="1">
        <v>40312</v>
      </c>
      <c r="B16">
        <v>1494251.5</v>
      </c>
    </row>
    <row r="17" spans="1:2" x14ac:dyDescent="0.25">
      <c r="A17" s="1">
        <v>40319</v>
      </c>
      <c r="B17">
        <v>1399662.07</v>
      </c>
    </row>
    <row r="18" spans="1:2" x14ac:dyDescent="0.25">
      <c r="A18" s="1">
        <v>40326</v>
      </c>
      <c r="B18">
        <v>1432069.95</v>
      </c>
    </row>
    <row r="19" spans="1:2" x14ac:dyDescent="0.25">
      <c r="A19" s="1">
        <v>40333</v>
      </c>
      <c r="B19">
        <v>1615524.71</v>
      </c>
    </row>
    <row r="20" spans="1:2" x14ac:dyDescent="0.25">
      <c r="A20" s="1">
        <v>40340</v>
      </c>
      <c r="B20">
        <v>1542561.09</v>
      </c>
    </row>
    <row r="21" spans="1:2" x14ac:dyDescent="0.25">
      <c r="A21" s="1">
        <v>40347</v>
      </c>
      <c r="B21">
        <v>1503284.06</v>
      </c>
    </row>
    <row r="22" spans="1:2" x14ac:dyDescent="0.25">
      <c r="A22" s="1">
        <v>40354</v>
      </c>
      <c r="B22">
        <v>1422711.6</v>
      </c>
    </row>
    <row r="23" spans="1:2" x14ac:dyDescent="0.25">
      <c r="A23" s="1">
        <v>40361</v>
      </c>
      <c r="B23">
        <v>1492418.14</v>
      </c>
    </row>
    <row r="24" spans="1:2" x14ac:dyDescent="0.25">
      <c r="A24" s="1">
        <v>40368</v>
      </c>
      <c r="B24">
        <v>1546074.18</v>
      </c>
    </row>
    <row r="25" spans="1:2" x14ac:dyDescent="0.25">
      <c r="A25" s="1">
        <v>40375</v>
      </c>
      <c r="B25">
        <v>1448938.92</v>
      </c>
    </row>
    <row r="26" spans="1:2" x14ac:dyDescent="0.25">
      <c r="A26" s="1">
        <v>40382</v>
      </c>
      <c r="B26">
        <v>1385065.2</v>
      </c>
    </row>
    <row r="27" spans="1:2" x14ac:dyDescent="0.25">
      <c r="A27" s="1">
        <v>40389</v>
      </c>
      <c r="B27">
        <v>1371986.6</v>
      </c>
    </row>
    <row r="28" spans="1:2" x14ac:dyDescent="0.25">
      <c r="A28" s="1">
        <v>40396</v>
      </c>
      <c r="B28">
        <v>1605491.78</v>
      </c>
    </row>
    <row r="29" spans="1:2" x14ac:dyDescent="0.25">
      <c r="A29" s="1">
        <v>40403</v>
      </c>
      <c r="B29">
        <v>1508237.76</v>
      </c>
    </row>
    <row r="30" spans="1:2" x14ac:dyDescent="0.25">
      <c r="A30" s="1">
        <v>40410</v>
      </c>
      <c r="B30">
        <v>1513080.49</v>
      </c>
    </row>
    <row r="31" spans="1:2" x14ac:dyDescent="0.25">
      <c r="A31" s="1">
        <v>40417</v>
      </c>
      <c r="B31">
        <v>1449142.92</v>
      </c>
    </row>
    <row r="32" spans="1:2" x14ac:dyDescent="0.25">
      <c r="A32" s="1">
        <v>40424</v>
      </c>
      <c r="B32">
        <v>1540163.53</v>
      </c>
    </row>
    <row r="33" spans="1:2" x14ac:dyDescent="0.25">
      <c r="A33" s="1">
        <v>40431</v>
      </c>
      <c r="B33">
        <v>1507460.69</v>
      </c>
    </row>
    <row r="34" spans="1:2" x14ac:dyDescent="0.25">
      <c r="A34" s="1">
        <v>40438</v>
      </c>
      <c r="B34">
        <v>1430378.67</v>
      </c>
    </row>
    <row r="35" spans="1:2" x14ac:dyDescent="0.25">
      <c r="A35" s="1">
        <v>40445</v>
      </c>
      <c r="B35">
        <v>1351791.03</v>
      </c>
    </row>
    <row r="36" spans="1:2" x14ac:dyDescent="0.25">
      <c r="A36" s="1">
        <v>40452</v>
      </c>
      <c r="B36">
        <v>1453329.5</v>
      </c>
    </row>
    <row r="37" spans="1:2" x14ac:dyDescent="0.25">
      <c r="A37" s="1">
        <v>40459</v>
      </c>
      <c r="B37">
        <v>1508239.93</v>
      </c>
    </row>
    <row r="38" spans="1:2" x14ac:dyDescent="0.25">
      <c r="A38" s="1">
        <v>40466</v>
      </c>
      <c r="B38">
        <v>1459409.1</v>
      </c>
    </row>
    <row r="39" spans="1:2" x14ac:dyDescent="0.25">
      <c r="A39" s="1">
        <v>40473</v>
      </c>
      <c r="B39">
        <v>1345454</v>
      </c>
    </row>
    <row r="40" spans="1:2" x14ac:dyDescent="0.25">
      <c r="A40" s="1">
        <v>40480</v>
      </c>
      <c r="B40">
        <v>1384209.22</v>
      </c>
    </row>
    <row r="41" spans="1:2" x14ac:dyDescent="0.25">
      <c r="A41" s="1">
        <v>40487</v>
      </c>
      <c r="B41">
        <v>1551659.28</v>
      </c>
    </row>
    <row r="42" spans="1:2" x14ac:dyDescent="0.25">
      <c r="A42" s="1">
        <v>40494</v>
      </c>
      <c r="B42">
        <v>1494479.49</v>
      </c>
    </row>
    <row r="43" spans="1:2" x14ac:dyDescent="0.25">
      <c r="A43" s="1">
        <v>40501</v>
      </c>
      <c r="B43">
        <v>1483784.18</v>
      </c>
    </row>
    <row r="44" spans="1:2" x14ac:dyDescent="0.25">
      <c r="A44" s="1">
        <v>40508</v>
      </c>
      <c r="B44">
        <v>1955624.11</v>
      </c>
    </row>
    <row r="45" spans="1:2" x14ac:dyDescent="0.25">
      <c r="A45" s="1">
        <v>40515</v>
      </c>
      <c r="B45">
        <v>1548033.78</v>
      </c>
    </row>
    <row r="46" spans="1:2" x14ac:dyDescent="0.25">
      <c r="A46" s="1">
        <v>40522</v>
      </c>
      <c r="B46">
        <v>1682614.26</v>
      </c>
    </row>
    <row r="47" spans="1:2" x14ac:dyDescent="0.25">
      <c r="A47" s="1">
        <v>40529</v>
      </c>
      <c r="B47">
        <v>1891034.93</v>
      </c>
    </row>
    <row r="48" spans="1:2" x14ac:dyDescent="0.25">
      <c r="A48" s="1">
        <v>40536</v>
      </c>
      <c r="B48">
        <v>2387950.2000000002</v>
      </c>
    </row>
    <row r="49" spans="1:2" x14ac:dyDescent="0.25">
      <c r="A49" s="1">
        <v>40543</v>
      </c>
      <c r="B49">
        <v>1367320.01</v>
      </c>
    </row>
    <row r="50" spans="1:2" x14ac:dyDescent="0.25">
      <c r="A50" s="1">
        <v>40550</v>
      </c>
      <c r="B50">
        <v>1444732.28</v>
      </c>
    </row>
    <row r="51" spans="1:2" x14ac:dyDescent="0.25">
      <c r="A51" s="1">
        <v>40557</v>
      </c>
      <c r="B51">
        <v>1391013.96</v>
      </c>
    </row>
    <row r="52" spans="1:2" x14ac:dyDescent="0.25">
      <c r="A52" s="1">
        <v>40564</v>
      </c>
      <c r="B52">
        <v>1327405.42</v>
      </c>
    </row>
    <row r="53" spans="1:2" x14ac:dyDescent="0.25">
      <c r="A53" s="1">
        <v>40571</v>
      </c>
      <c r="B53">
        <v>1316899.31</v>
      </c>
    </row>
    <row r="54" spans="1:2" x14ac:dyDescent="0.25">
      <c r="A54" s="1">
        <v>40578</v>
      </c>
      <c r="B54">
        <v>1606629.58</v>
      </c>
    </row>
    <row r="55" spans="1:2" x14ac:dyDescent="0.25">
      <c r="A55" s="1">
        <v>40585</v>
      </c>
      <c r="B55">
        <v>1649614.93</v>
      </c>
    </row>
    <row r="56" spans="1:2" x14ac:dyDescent="0.25">
      <c r="A56" s="1">
        <v>40592</v>
      </c>
      <c r="B56">
        <v>1686842.78</v>
      </c>
    </row>
    <row r="57" spans="1:2" x14ac:dyDescent="0.25">
      <c r="A57" s="1">
        <v>40599</v>
      </c>
      <c r="B57">
        <v>1456800.28</v>
      </c>
    </row>
    <row r="58" spans="1:2" x14ac:dyDescent="0.25">
      <c r="A58" s="1">
        <v>40606</v>
      </c>
      <c r="B58">
        <v>1636263.41</v>
      </c>
    </row>
    <row r="59" spans="1:2" x14ac:dyDescent="0.25">
      <c r="A59" s="1">
        <v>40613</v>
      </c>
      <c r="B59">
        <v>1553191.63</v>
      </c>
    </row>
    <row r="60" spans="1:2" x14ac:dyDescent="0.25">
      <c r="A60" s="1">
        <v>40620</v>
      </c>
      <c r="B60">
        <v>1576818.06</v>
      </c>
    </row>
    <row r="61" spans="1:2" x14ac:dyDescent="0.25">
      <c r="A61" s="1">
        <v>40627</v>
      </c>
      <c r="B61">
        <v>1541102.38</v>
      </c>
    </row>
    <row r="62" spans="1:2" x14ac:dyDescent="0.25">
      <c r="A62" s="1">
        <v>40634</v>
      </c>
      <c r="B62">
        <v>1495064.75</v>
      </c>
    </row>
    <row r="63" spans="1:2" x14ac:dyDescent="0.25">
      <c r="A63" s="1">
        <v>40641</v>
      </c>
      <c r="B63">
        <v>1614259.35</v>
      </c>
    </row>
    <row r="64" spans="1:2" x14ac:dyDescent="0.25">
      <c r="A64" s="1">
        <v>40648</v>
      </c>
      <c r="B64">
        <v>1559889</v>
      </c>
    </row>
    <row r="65" spans="1:2" x14ac:dyDescent="0.25">
      <c r="A65" s="1">
        <v>40655</v>
      </c>
      <c r="B65">
        <v>1564819.81</v>
      </c>
    </row>
    <row r="66" spans="1:2" x14ac:dyDescent="0.25">
      <c r="A66" s="1">
        <v>40662</v>
      </c>
      <c r="B66">
        <v>1455090.69</v>
      </c>
    </row>
    <row r="67" spans="1:2" x14ac:dyDescent="0.25">
      <c r="A67" s="1">
        <v>40669</v>
      </c>
      <c r="B67">
        <v>1629391.28</v>
      </c>
    </row>
    <row r="68" spans="1:2" x14ac:dyDescent="0.25">
      <c r="A68" s="1">
        <v>40676</v>
      </c>
      <c r="B68">
        <v>1604775.58</v>
      </c>
    </row>
    <row r="69" spans="1:2" x14ac:dyDescent="0.25">
      <c r="A69" s="1">
        <v>40683</v>
      </c>
      <c r="B69">
        <v>1428218.27</v>
      </c>
    </row>
    <row r="70" spans="1:2" x14ac:dyDescent="0.25">
      <c r="A70" s="1">
        <v>40690</v>
      </c>
      <c r="B70">
        <v>1466046.67</v>
      </c>
    </row>
    <row r="71" spans="1:2" x14ac:dyDescent="0.25">
      <c r="A71" s="1">
        <v>40697</v>
      </c>
      <c r="B71">
        <v>1635078.41</v>
      </c>
    </row>
    <row r="72" spans="1:2" x14ac:dyDescent="0.25">
      <c r="A72" s="1">
        <v>40704</v>
      </c>
      <c r="B72">
        <v>1588948.32</v>
      </c>
    </row>
    <row r="73" spans="1:2" x14ac:dyDescent="0.25">
      <c r="A73" s="1">
        <v>40711</v>
      </c>
      <c r="B73">
        <v>1532114.86</v>
      </c>
    </row>
    <row r="74" spans="1:2" x14ac:dyDescent="0.25">
      <c r="A74" s="1">
        <v>40718</v>
      </c>
      <c r="B74">
        <v>1438830.15</v>
      </c>
    </row>
    <row r="75" spans="1:2" x14ac:dyDescent="0.25">
      <c r="A75" s="1">
        <v>40725</v>
      </c>
      <c r="B75">
        <v>1488538.09</v>
      </c>
    </row>
    <row r="76" spans="1:2" x14ac:dyDescent="0.25">
      <c r="A76" s="1">
        <v>40732</v>
      </c>
      <c r="B76">
        <v>1534849.64</v>
      </c>
    </row>
    <row r="77" spans="1:2" x14ac:dyDescent="0.25">
      <c r="A77" s="1">
        <v>40739</v>
      </c>
      <c r="B77">
        <v>1455119.97</v>
      </c>
    </row>
    <row r="78" spans="1:2" x14ac:dyDescent="0.25">
      <c r="A78" s="1">
        <v>40746</v>
      </c>
      <c r="B78">
        <v>1396926.82</v>
      </c>
    </row>
    <row r="79" spans="1:2" x14ac:dyDescent="0.25">
      <c r="A79" s="1">
        <v>40753</v>
      </c>
      <c r="B79">
        <v>1352219.79</v>
      </c>
    </row>
    <row r="80" spans="1:2" x14ac:dyDescent="0.25">
      <c r="A80" s="1">
        <v>40760</v>
      </c>
      <c r="B80">
        <v>1624383.75</v>
      </c>
    </row>
    <row r="81" spans="1:2" x14ac:dyDescent="0.25">
      <c r="A81" s="1">
        <v>40767</v>
      </c>
      <c r="B81">
        <v>1525147.09</v>
      </c>
    </row>
    <row r="82" spans="1:2" x14ac:dyDescent="0.25">
      <c r="A82" s="1">
        <v>40774</v>
      </c>
      <c r="B82">
        <v>1530761.43</v>
      </c>
    </row>
    <row r="83" spans="1:2" x14ac:dyDescent="0.25">
      <c r="A83" s="1">
        <v>40781</v>
      </c>
      <c r="B83">
        <v>1464693.46</v>
      </c>
    </row>
    <row r="84" spans="1:2" x14ac:dyDescent="0.25">
      <c r="A84" s="1">
        <v>40788</v>
      </c>
      <c r="B84">
        <v>1550229.22</v>
      </c>
    </row>
    <row r="85" spans="1:2" x14ac:dyDescent="0.25">
      <c r="A85" s="1">
        <v>40795</v>
      </c>
      <c r="B85">
        <v>1540471.24</v>
      </c>
    </row>
    <row r="86" spans="1:2" x14ac:dyDescent="0.25">
      <c r="A86" s="1">
        <v>40802</v>
      </c>
      <c r="B86">
        <v>1514259.78</v>
      </c>
    </row>
    <row r="87" spans="1:2" x14ac:dyDescent="0.25">
      <c r="A87" s="1">
        <v>40809</v>
      </c>
      <c r="B87">
        <v>1380020.27</v>
      </c>
    </row>
    <row r="88" spans="1:2" x14ac:dyDescent="0.25">
      <c r="A88" s="1">
        <v>40816</v>
      </c>
      <c r="B88">
        <v>1394561.83</v>
      </c>
    </row>
    <row r="89" spans="1:2" x14ac:dyDescent="0.25">
      <c r="A89" s="1">
        <v>40823</v>
      </c>
      <c r="B89">
        <v>1630989.95</v>
      </c>
    </row>
    <row r="90" spans="1:2" x14ac:dyDescent="0.25">
      <c r="A90" s="1">
        <v>40830</v>
      </c>
      <c r="B90">
        <v>1493525.93</v>
      </c>
    </row>
    <row r="91" spans="1:2" x14ac:dyDescent="0.25">
      <c r="A91" s="1">
        <v>40837</v>
      </c>
      <c r="B91">
        <v>1502562.78</v>
      </c>
    </row>
    <row r="92" spans="1:2" x14ac:dyDescent="0.25">
      <c r="A92" s="1">
        <v>40844</v>
      </c>
      <c r="B92">
        <v>1445249.09</v>
      </c>
    </row>
    <row r="93" spans="1:2" x14ac:dyDescent="0.25">
      <c r="A93" s="1">
        <v>40851</v>
      </c>
      <c r="B93">
        <v>1697229.58</v>
      </c>
    </row>
    <row r="94" spans="1:2" x14ac:dyDescent="0.25">
      <c r="A94" s="1">
        <v>40858</v>
      </c>
      <c r="B94">
        <v>1594938.89</v>
      </c>
    </row>
    <row r="95" spans="1:2" x14ac:dyDescent="0.25">
      <c r="A95" s="1">
        <v>40865</v>
      </c>
      <c r="B95">
        <v>1539483.7</v>
      </c>
    </row>
    <row r="96" spans="1:2" x14ac:dyDescent="0.25">
      <c r="A96" s="1">
        <v>40872</v>
      </c>
      <c r="B96">
        <v>2033320.66</v>
      </c>
    </row>
    <row r="97" spans="1:2" x14ac:dyDescent="0.25">
      <c r="A97" s="1">
        <v>40879</v>
      </c>
      <c r="B97">
        <v>1584083.95</v>
      </c>
    </row>
    <row r="98" spans="1:2" x14ac:dyDescent="0.25">
      <c r="A98" s="1">
        <v>40886</v>
      </c>
      <c r="B98">
        <v>1799682.38</v>
      </c>
    </row>
    <row r="99" spans="1:2" x14ac:dyDescent="0.25">
      <c r="A99" s="1">
        <v>40893</v>
      </c>
      <c r="B99">
        <v>1881176.67</v>
      </c>
    </row>
    <row r="100" spans="1:2" x14ac:dyDescent="0.25">
      <c r="A100" s="1">
        <v>40900</v>
      </c>
      <c r="B100">
        <v>2270188.9900000002</v>
      </c>
    </row>
    <row r="101" spans="1:2" x14ac:dyDescent="0.25">
      <c r="A101" s="1">
        <v>40907</v>
      </c>
      <c r="B101">
        <v>1497462.72</v>
      </c>
    </row>
    <row r="102" spans="1:2" x14ac:dyDescent="0.25">
      <c r="A102" s="1">
        <v>40914</v>
      </c>
      <c r="B102">
        <v>1550369.92</v>
      </c>
    </row>
    <row r="103" spans="1:2" x14ac:dyDescent="0.25">
      <c r="A103" s="1">
        <v>40921</v>
      </c>
      <c r="B103">
        <v>1459601.17</v>
      </c>
    </row>
    <row r="104" spans="1:2" x14ac:dyDescent="0.25">
      <c r="A104" s="1">
        <v>40928</v>
      </c>
      <c r="B104">
        <v>1394393.84</v>
      </c>
    </row>
    <row r="105" spans="1:2" x14ac:dyDescent="0.25">
      <c r="A105" s="1">
        <v>40935</v>
      </c>
      <c r="B105">
        <v>1319325.5900000001</v>
      </c>
    </row>
    <row r="106" spans="1:2" x14ac:dyDescent="0.25">
      <c r="A106" s="1">
        <v>40942</v>
      </c>
      <c r="B106">
        <v>1636339.65</v>
      </c>
    </row>
    <row r="107" spans="1:2" x14ac:dyDescent="0.25">
      <c r="A107" s="1">
        <v>40949</v>
      </c>
      <c r="B107">
        <v>1802477.43</v>
      </c>
    </row>
    <row r="108" spans="1:2" x14ac:dyDescent="0.25">
      <c r="A108" s="1">
        <v>40956</v>
      </c>
      <c r="B108">
        <v>1819870</v>
      </c>
    </row>
    <row r="109" spans="1:2" x14ac:dyDescent="0.25">
      <c r="A109" s="1">
        <v>40963</v>
      </c>
      <c r="B109">
        <v>1539387.83</v>
      </c>
    </row>
    <row r="110" spans="1:2" x14ac:dyDescent="0.25">
      <c r="A110" s="1">
        <v>40970</v>
      </c>
      <c r="B110">
        <v>1688420.76</v>
      </c>
    </row>
    <row r="111" spans="1:2" x14ac:dyDescent="0.25">
      <c r="A111" s="1">
        <v>40977</v>
      </c>
      <c r="B111">
        <v>1675431.16</v>
      </c>
    </row>
    <row r="112" spans="1:2" x14ac:dyDescent="0.25">
      <c r="A112" s="1">
        <v>40984</v>
      </c>
      <c r="B112">
        <v>1677472.78</v>
      </c>
    </row>
    <row r="113" spans="1:2" x14ac:dyDescent="0.25">
      <c r="A113" s="1">
        <v>40991</v>
      </c>
      <c r="B113">
        <v>1511068.07</v>
      </c>
    </row>
    <row r="114" spans="1:2" x14ac:dyDescent="0.25">
      <c r="A114" s="1">
        <v>40998</v>
      </c>
      <c r="B114">
        <v>1649604.63</v>
      </c>
    </row>
    <row r="115" spans="1:2" x14ac:dyDescent="0.25">
      <c r="A115" s="1">
        <v>41005</v>
      </c>
      <c r="B115">
        <v>-1</v>
      </c>
    </row>
    <row r="116" spans="1:2" x14ac:dyDescent="0.25">
      <c r="A116" s="1">
        <v>41012</v>
      </c>
      <c r="B116">
        <v>1621031.7</v>
      </c>
    </row>
    <row r="117" spans="1:2" x14ac:dyDescent="0.25">
      <c r="A117" s="1">
        <v>41019</v>
      </c>
      <c r="B117">
        <v>1521577.87</v>
      </c>
    </row>
    <row r="118" spans="1:2" x14ac:dyDescent="0.25">
      <c r="A118" s="1">
        <v>41026</v>
      </c>
      <c r="B118">
        <v>1468928.37</v>
      </c>
    </row>
    <row r="119" spans="1:2" x14ac:dyDescent="0.25">
      <c r="A119" s="1">
        <v>41033</v>
      </c>
      <c r="B119">
        <v>1684519.99</v>
      </c>
    </row>
    <row r="120" spans="1:2" x14ac:dyDescent="0.25">
      <c r="A120" s="1">
        <v>41040</v>
      </c>
      <c r="B120">
        <v>1611096.05</v>
      </c>
    </row>
    <row r="121" spans="1:2" x14ac:dyDescent="0.25">
      <c r="A121" s="1">
        <v>41047</v>
      </c>
      <c r="B121">
        <v>1595901.87</v>
      </c>
    </row>
    <row r="122" spans="1:2" x14ac:dyDescent="0.25">
      <c r="A122" s="1">
        <v>41054</v>
      </c>
      <c r="B122">
        <v>1555444.55</v>
      </c>
    </row>
    <row r="123" spans="1:2" x14ac:dyDescent="0.25">
      <c r="A123" s="1">
        <v>41061</v>
      </c>
      <c r="B123">
        <v>1624477.58</v>
      </c>
    </row>
    <row r="124" spans="1:2" x14ac:dyDescent="0.25">
      <c r="A124" s="1">
        <v>41068</v>
      </c>
      <c r="B124">
        <v>1697230.96</v>
      </c>
    </row>
    <row r="125" spans="1:2" x14ac:dyDescent="0.25">
      <c r="A125" s="1">
        <v>41075</v>
      </c>
      <c r="B125">
        <v>1630607</v>
      </c>
    </row>
    <row r="126" spans="1:2" x14ac:dyDescent="0.25">
      <c r="A126" s="1">
        <v>41082</v>
      </c>
      <c r="B126">
        <v>1527845.81</v>
      </c>
    </row>
    <row r="127" spans="1:2" x14ac:dyDescent="0.25">
      <c r="A127" s="1">
        <v>41089</v>
      </c>
      <c r="B127">
        <v>1540421.49</v>
      </c>
    </row>
    <row r="128" spans="1:2" x14ac:dyDescent="0.25">
      <c r="A128" s="1">
        <v>41096</v>
      </c>
      <c r="B128">
        <v>1769854.16</v>
      </c>
    </row>
    <row r="129" spans="1:2" x14ac:dyDescent="0.25">
      <c r="A129" s="1">
        <v>41103</v>
      </c>
      <c r="B129">
        <v>1527014.04</v>
      </c>
    </row>
    <row r="130" spans="1:2" x14ac:dyDescent="0.25">
      <c r="A130" s="1">
        <v>41110</v>
      </c>
      <c r="B130">
        <v>1497954.76</v>
      </c>
    </row>
    <row r="131" spans="1:2" x14ac:dyDescent="0.25">
      <c r="A131" s="1">
        <v>41117</v>
      </c>
      <c r="B131">
        <v>1439123.71</v>
      </c>
    </row>
    <row r="132" spans="1:2" x14ac:dyDescent="0.25">
      <c r="A132" s="1">
        <v>41124</v>
      </c>
      <c r="B132">
        <v>1631135.79</v>
      </c>
    </row>
    <row r="133" spans="1:2" x14ac:dyDescent="0.25">
      <c r="A133" s="1">
        <v>41131</v>
      </c>
      <c r="B133">
        <v>1592409.97</v>
      </c>
    </row>
    <row r="134" spans="1:2" x14ac:dyDescent="0.25">
      <c r="A134" s="1">
        <v>41138</v>
      </c>
      <c r="B134">
        <v>1597868.05</v>
      </c>
    </row>
    <row r="135" spans="1:2" x14ac:dyDescent="0.25">
      <c r="A135" s="1">
        <v>41145</v>
      </c>
      <c r="B135">
        <v>1494122.38</v>
      </c>
    </row>
    <row r="136" spans="1:2" x14ac:dyDescent="0.25">
      <c r="A136" s="1">
        <v>41152</v>
      </c>
      <c r="B136">
        <v>1582083.4</v>
      </c>
    </row>
    <row r="137" spans="1:2" x14ac:dyDescent="0.25">
      <c r="A137" s="1">
        <v>41159</v>
      </c>
      <c r="B137">
        <v>1661767.33</v>
      </c>
    </row>
    <row r="138" spans="1:2" x14ac:dyDescent="0.25">
      <c r="A138" s="1">
        <v>41166</v>
      </c>
      <c r="B138">
        <v>1517428.87</v>
      </c>
    </row>
    <row r="139" spans="1:2" x14ac:dyDescent="0.25">
      <c r="A139" s="1">
        <v>41173</v>
      </c>
      <c r="B139">
        <v>1506126.06</v>
      </c>
    </row>
    <row r="140" spans="1:2" x14ac:dyDescent="0.25">
      <c r="A140" s="1">
        <v>41180</v>
      </c>
      <c r="B140">
        <v>1437059.26</v>
      </c>
    </row>
    <row r="141" spans="1:2" x14ac:dyDescent="0.25">
      <c r="A141" s="1">
        <v>41187</v>
      </c>
      <c r="B141">
        <v>1670785.97</v>
      </c>
    </row>
    <row r="142" spans="1:2" x14ac:dyDescent="0.25">
      <c r="A142" s="1">
        <v>41194</v>
      </c>
      <c r="B142">
        <v>1573072.81</v>
      </c>
    </row>
    <row r="143" spans="1:2" x14ac:dyDescent="0.25">
      <c r="A143" s="1">
        <v>41201</v>
      </c>
      <c r="B143">
        <v>1508068.77</v>
      </c>
    </row>
    <row r="144" spans="1:2" x14ac:dyDescent="0.25">
      <c r="A144" s="1">
        <v>41208</v>
      </c>
      <c r="B144">
        <v>1493659.74</v>
      </c>
    </row>
    <row r="145" spans="1:2" x14ac:dyDescent="0.25">
      <c r="A145" s="1">
        <v>40214</v>
      </c>
      <c r="B145">
        <v>2136989.46</v>
      </c>
    </row>
    <row r="146" spans="1:2" x14ac:dyDescent="0.25">
      <c r="A146" s="1">
        <v>40221</v>
      </c>
      <c r="B146">
        <v>2137809.5</v>
      </c>
    </row>
    <row r="147" spans="1:2" x14ac:dyDescent="0.25">
      <c r="A147" s="1">
        <v>40228</v>
      </c>
      <c r="B147">
        <v>2124451.54</v>
      </c>
    </row>
    <row r="148" spans="1:2" x14ac:dyDescent="0.25">
      <c r="A148" s="1">
        <v>40235</v>
      </c>
      <c r="B148">
        <v>1865097.27</v>
      </c>
    </row>
    <row r="149" spans="1:2" x14ac:dyDescent="0.25">
      <c r="A149" s="1">
        <v>40242</v>
      </c>
      <c r="B149">
        <v>1991013.13</v>
      </c>
    </row>
    <row r="150" spans="1:2" x14ac:dyDescent="0.25">
      <c r="A150" s="1">
        <v>40249</v>
      </c>
      <c r="B150">
        <v>1990483.78</v>
      </c>
    </row>
    <row r="151" spans="1:2" x14ac:dyDescent="0.25">
      <c r="A151" s="1">
        <v>40256</v>
      </c>
      <c r="B151">
        <v>1946070.88</v>
      </c>
    </row>
    <row r="152" spans="1:2" x14ac:dyDescent="0.25">
      <c r="A152" s="1">
        <v>40263</v>
      </c>
      <c r="B152">
        <v>1750197.81</v>
      </c>
    </row>
    <row r="153" spans="1:2" x14ac:dyDescent="0.25">
      <c r="A153" s="1">
        <v>40270</v>
      </c>
      <c r="B153">
        <v>2066187.72</v>
      </c>
    </row>
    <row r="154" spans="1:2" x14ac:dyDescent="0.25">
      <c r="A154" s="1">
        <v>40277</v>
      </c>
      <c r="B154">
        <v>1954689.21</v>
      </c>
    </row>
    <row r="155" spans="1:2" x14ac:dyDescent="0.25">
      <c r="A155" s="1">
        <v>40284</v>
      </c>
      <c r="B155">
        <v>1874957.94</v>
      </c>
    </row>
    <row r="156" spans="1:2" x14ac:dyDescent="0.25">
      <c r="A156" s="1">
        <v>40291</v>
      </c>
      <c r="B156">
        <v>1821990.93</v>
      </c>
    </row>
    <row r="157" spans="1:2" x14ac:dyDescent="0.25">
      <c r="A157" s="1">
        <v>40298</v>
      </c>
      <c r="B157">
        <v>1802450.29</v>
      </c>
    </row>
    <row r="158" spans="1:2" x14ac:dyDescent="0.25">
      <c r="A158" s="1">
        <v>40305</v>
      </c>
      <c r="B158">
        <v>2042581.71</v>
      </c>
    </row>
    <row r="159" spans="1:2" x14ac:dyDescent="0.25">
      <c r="A159" s="1">
        <v>40312</v>
      </c>
      <c r="B159">
        <v>1880752.36</v>
      </c>
    </row>
    <row r="160" spans="1:2" x14ac:dyDescent="0.25">
      <c r="A160" s="1">
        <v>40319</v>
      </c>
      <c r="B160">
        <v>1896937.1</v>
      </c>
    </row>
    <row r="161" spans="1:2" x14ac:dyDescent="0.25">
      <c r="A161" s="1">
        <v>40326</v>
      </c>
      <c r="B161">
        <v>1957113.89</v>
      </c>
    </row>
    <row r="162" spans="1:2" x14ac:dyDescent="0.25">
      <c r="A162" s="1">
        <v>40333</v>
      </c>
      <c r="B162">
        <v>2102539.9300000002</v>
      </c>
    </row>
    <row r="163" spans="1:2" x14ac:dyDescent="0.25">
      <c r="A163" s="1">
        <v>40340</v>
      </c>
      <c r="B163">
        <v>2025538.76</v>
      </c>
    </row>
    <row r="164" spans="1:2" x14ac:dyDescent="0.25">
      <c r="A164" s="1">
        <v>40347</v>
      </c>
      <c r="B164">
        <v>2001636.96</v>
      </c>
    </row>
    <row r="165" spans="1:2" x14ac:dyDescent="0.25">
      <c r="A165" s="1">
        <v>40354</v>
      </c>
      <c r="B165">
        <v>1939927.09</v>
      </c>
    </row>
    <row r="166" spans="1:2" x14ac:dyDescent="0.25">
      <c r="A166" s="1">
        <v>40361</v>
      </c>
      <c r="B166">
        <v>2003940.64</v>
      </c>
    </row>
    <row r="167" spans="1:2" x14ac:dyDescent="0.25">
      <c r="A167" s="1">
        <v>40368</v>
      </c>
      <c r="B167">
        <v>1880902.62</v>
      </c>
    </row>
    <row r="168" spans="1:2" x14ac:dyDescent="0.25">
      <c r="A168" s="1">
        <v>40375</v>
      </c>
      <c r="B168">
        <v>1845879.79</v>
      </c>
    </row>
    <row r="169" spans="1:2" x14ac:dyDescent="0.25">
      <c r="A169" s="1">
        <v>40382</v>
      </c>
      <c r="B169">
        <v>1781717.71</v>
      </c>
    </row>
    <row r="170" spans="1:2" x14ac:dyDescent="0.25">
      <c r="A170" s="1">
        <v>40389</v>
      </c>
      <c r="B170">
        <v>1804246.16</v>
      </c>
    </row>
    <row r="171" spans="1:2" x14ac:dyDescent="0.25">
      <c r="A171" s="1">
        <v>40396</v>
      </c>
      <c r="B171">
        <v>1991909.98</v>
      </c>
    </row>
    <row r="172" spans="1:2" x14ac:dyDescent="0.25">
      <c r="A172" s="1">
        <v>40403</v>
      </c>
      <c r="B172">
        <v>1895601.05</v>
      </c>
    </row>
    <row r="173" spans="1:2" x14ac:dyDescent="0.25">
      <c r="A173" s="1">
        <v>40410</v>
      </c>
      <c r="B173">
        <v>1964335.23</v>
      </c>
    </row>
    <row r="174" spans="1:2" x14ac:dyDescent="0.25">
      <c r="A174" s="1">
        <v>40417</v>
      </c>
      <c r="B174">
        <v>1863840.49</v>
      </c>
    </row>
    <row r="175" spans="1:2" x14ac:dyDescent="0.25">
      <c r="A175" s="1">
        <v>40424</v>
      </c>
      <c r="B175">
        <v>1904608.09</v>
      </c>
    </row>
    <row r="176" spans="1:2" x14ac:dyDescent="0.25">
      <c r="A176" s="1">
        <v>40431</v>
      </c>
      <c r="B176">
        <v>1839128.83</v>
      </c>
    </row>
    <row r="177" spans="1:2" x14ac:dyDescent="0.25">
      <c r="A177" s="1">
        <v>40438</v>
      </c>
      <c r="B177">
        <v>1793903.6</v>
      </c>
    </row>
    <row r="178" spans="1:2" x14ac:dyDescent="0.25">
      <c r="A178" s="1">
        <v>40445</v>
      </c>
      <c r="B178">
        <v>1724557.22</v>
      </c>
    </row>
    <row r="179" spans="1:2" x14ac:dyDescent="0.25">
      <c r="A179" s="1">
        <v>40452</v>
      </c>
      <c r="B179">
        <v>1827440.43</v>
      </c>
    </row>
    <row r="180" spans="1:2" x14ac:dyDescent="0.25">
      <c r="A180" s="1">
        <v>40459</v>
      </c>
      <c r="B180">
        <v>1849921.44</v>
      </c>
    </row>
    <row r="181" spans="1:2" x14ac:dyDescent="0.25">
      <c r="A181" s="1">
        <v>40466</v>
      </c>
      <c r="B181">
        <v>1794355.49</v>
      </c>
    </row>
    <row r="182" spans="1:2" x14ac:dyDescent="0.25">
      <c r="A182" s="1">
        <v>40473</v>
      </c>
      <c r="B182">
        <v>1737947.64</v>
      </c>
    </row>
    <row r="183" spans="1:2" x14ac:dyDescent="0.25">
      <c r="A183" s="1">
        <v>40480</v>
      </c>
      <c r="B183">
        <v>1802755.11</v>
      </c>
    </row>
    <row r="184" spans="1:2" x14ac:dyDescent="0.25">
      <c r="A184" s="1">
        <v>40487</v>
      </c>
      <c r="B184">
        <v>1939061.41</v>
      </c>
    </row>
    <row r="185" spans="1:2" x14ac:dyDescent="0.25">
      <c r="A185" s="1">
        <v>40494</v>
      </c>
      <c r="B185">
        <v>1916812.74</v>
      </c>
    </row>
    <row r="186" spans="1:2" x14ac:dyDescent="0.25">
      <c r="A186" s="1">
        <v>40501</v>
      </c>
      <c r="B186">
        <v>1956739.17</v>
      </c>
    </row>
    <row r="187" spans="1:2" x14ac:dyDescent="0.25">
      <c r="A187" s="1">
        <v>40508</v>
      </c>
      <c r="B187">
        <v>2658725.29</v>
      </c>
    </row>
    <row r="188" spans="1:2" x14ac:dyDescent="0.25">
      <c r="A188" s="1">
        <v>40515</v>
      </c>
      <c r="B188">
        <v>2015781.27</v>
      </c>
    </row>
    <row r="189" spans="1:2" x14ac:dyDescent="0.25">
      <c r="A189" s="1">
        <v>40522</v>
      </c>
      <c r="B189">
        <v>2378726.5499999998</v>
      </c>
    </row>
    <row r="190" spans="1:2" x14ac:dyDescent="0.25">
      <c r="A190" s="1">
        <v>40529</v>
      </c>
      <c r="B190">
        <v>2609166.75</v>
      </c>
    </row>
    <row r="191" spans="1:2" x14ac:dyDescent="0.25">
      <c r="A191" s="1">
        <v>40536</v>
      </c>
      <c r="B191">
        <v>3436007.68</v>
      </c>
    </row>
    <row r="192" spans="1:2" x14ac:dyDescent="0.25">
      <c r="A192" s="1">
        <v>40543</v>
      </c>
      <c r="B192">
        <v>1750434.55</v>
      </c>
    </row>
    <row r="193" spans="1:2" x14ac:dyDescent="0.25">
      <c r="A193" s="1">
        <v>40550</v>
      </c>
      <c r="B193">
        <v>1758050.79</v>
      </c>
    </row>
    <row r="194" spans="1:2" x14ac:dyDescent="0.25">
      <c r="A194" s="1">
        <v>40557</v>
      </c>
      <c r="B194">
        <v>1744193.58</v>
      </c>
    </row>
    <row r="195" spans="1:2" x14ac:dyDescent="0.25">
      <c r="A195" s="1">
        <v>40564</v>
      </c>
      <c r="B195">
        <v>1751384.9</v>
      </c>
    </row>
    <row r="196" spans="1:2" x14ac:dyDescent="0.25">
      <c r="A196" s="1">
        <v>40571</v>
      </c>
      <c r="B196">
        <v>1695371.68</v>
      </c>
    </row>
    <row r="197" spans="1:2" x14ac:dyDescent="0.25">
      <c r="A197" s="1">
        <v>40578</v>
      </c>
      <c r="B197">
        <v>1929346.23</v>
      </c>
    </row>
    <row r="198" spans="1:2" x14ac:dyDescent="0.25">
      <c r="A198" s="1">
        <v>40585</v>
      </c>
      <c r="B198">
        <v>2168041.61</v>
      </c>
    </row>
    <row r="199" spans="1:2" x14ac:dyDescent="0.25">
      <c r="A199" s="1">
        <v>40592</v>
      </c>
      <c r="B199">
        <v>2080884.82</v>
      </c>
    </row>
    <row r="200" spans="1:2" x14ac:dyDescent="0.25">
      <c r="A200" s="1">
        <v>40599</v>
      </c>
      <c r="B200">
        <v>1833511.08</v>
      </c>
    </row>
    <row r="201" spans="1:2" x14ac:dyDescent="0.25">
      <c r="A201" s="1">
        <v>40606</v>
      </c>
      <c r="B201">
        <v>1981607.78</v>
      </c>
    </row>
    <row r="202" spans="1:2" x14ac:dyDescent="0.25">
      <c r="A202" s="1">
        <v>40613</v>
      </c>
      <c r="B202">
        <v>1879107.31</v>
      </c>
    </row>
    <row r="203" spans="1:2" x14ac:dyDescent="0.25">
      <c r="A203" s="1">
        <v>40620</v>
      </c>
      <c r="B203">
        <v>1902557.66</v>
      </c>
    </row>
    <row r="204" spans="1:2" x14ac:dyDescent="0.25">
      <c r="A204" s="1">
        <v>40627</v>
      </c>
      <c r="B204">
        <v>1766162.05</v>
      </c>
    </row>
    <row r="205" spans="1:2" x14ac:dyDescent="0.25">
      <c r="A205" s="1">
        <v>40634</v>
      </c>
      <c r="B205">
        <v>1800171.36</v>
      </c>
    </row>
    <row r="206" spans="1:2" x14ac:dyDescent="0.25">
      <c r="A206" s="1">
        <v>40641</v>
      </c>
      <c r="B206">
        <v>1847552.61</v>
      </c>
    </row>
    <row r="207" spans="1:2" x14ac:dyDescent="0.25">
      <c r="A207" s="1">
        <v>40648</v>
      </c>
      <c r="B207">
        <v>1856467.84</v>
      </c>
    </row>
    <row r="208" spans="1:2" x14ac:dyDescent="0.25">
      <c r="A208" s="1">
        <v>40655</v>
      </c>
      <c r="B208">
        <v>1886339.6</v>
      </c>
    </row>
    <row r="209" spans="1:2" x14ac:dyDescent="0.25">
      <c r="A209" s="1">
        <v>40662</v>
      </c>
      <c r="B209">
        <v>1745545.28</v>
      </c>
    </row>
    <row r="210" spans="1:2" x14ac:dyDescent="0.25">
      <c r="A210" s="1">
        <v>40669</v>
      </c>
      <c r="B210">
        <v>1837743.6</v>
      </c>
    </row>
    <row r="211" spans="1:2" x14ac:dyDescent="0.25">
      <c r="A211" s="1">
        <v>40676</v>
      </c>
      <c r="B211">
        <v>1838513.07</v>
      </c>
    </row>
    <row r="212" spans="1:2" x14ac:dyDescent="0.25">
      <c r="A212" s="1">
        <v>40683</v>
      </c>
      <c r="B212">
        <v>1688281.86</v>
      </c>
    </row>
    <row r="213" spans="1:2" x14ac:dyDescent="0.25">
      <c r="A213" s="1">
        <v>40690</v>
      </c>
      <c r="B213">
        <v>1797732.56</v>
      </c>
    </row>
    <row r="214" spans="1:2" x14ac:dyDescent="0.25">
      <c r="A214" s="1">
        <v>40697</v>
      </c>
      <c r="B214">
        <v>1933756.21</v>
      </c>
    </row>
    <row r="215" spans="1:2" x14ac:dyDescent="0.25">
      <c r="A215" s="1">
        <v>40704</v>
      </c>
      <c r="B215">
        <v>1929153.16</v>
      </c>
    </row>
    <row r="216" spans="1:2" x14ac:dyDescent="0.25">
      <c r="A216" s="1">
        <v>40711</v>
      </c>
      <c r="B216">
        <v>1953771.99</v>
      </c>
    </row>
    <row r="217" spans="1:2" x14ac:dyDescent="0.25">
      <c r="A217" s="1">
        <v>40718</v>
      </c>
      <c r="B217">
        <v>1790925.8</v>
      </c>
    </row>
    <row r="218" spans="1:2" x14ac:dyDescent="0.25">
      <c r="A218" s="1">
        <v>40725</v>
      </c>
      <c r="B218">
        <v>1866243</v>
      </c>
    </row>
    <row r="219" spans="1:2" x14ac:dyDescent="0.25">
      <c r="A219" s="1">
        <v>40732</v>
      </c>
      <c r="B219">
        <v>1853161.99</v>
      </c>
    </row>
    <row r="220" spans="1:2" x14ac:dyDescent="0.25">
      <c r="A220" s="1">
        <v>40739</v>
      </c>
      <c r="B220">
        <v>1785187.29</v>
      </c>
    </row>
    <row r="221" spans="1:2" x14ac:dyDescent="0.25">
      <c r="A221" s="1">
        <v>40746</v>
      </c>
      <c r="B221">
        <v>1743816.41</v>
      </c>
    </row>
    <row r="222" spans="1:2" x14ac:dyDescent="0.25">
      <c r="A222" s="1">
        <v>40753</v>
      </c>
      <c r="B222">
        <v>1680693.06</v>
      </c>
    </row>
    <row r="223" spans="1:2" x14ac:dyDescent="0.25">
      <c r="A223" s="1">
        <v>40760</v>
      </c>
      <c r="B223">
        <v>1876704.26</v>
      </c>
    </row>
    <row r="224" spans="1:2" x14ac:dyDescent="0.25">
      <c r="A224" s="1">
        <v>40767</v>
      </c>
      <c r="B224">
        <v>1812768.26</v>
      </c>
    </row>
    <row r="225" spans="1:2" x14ac:dyDescent="0.25">
      <c r="A225" s="1">
        <v>40774</v>
      </c>
      <c r="B225">
        <v>1844094.59</v>
      </c>
    </row>
    <row r="226" spans="1:2" x14ac:dyDescent="0.25">
      <c r="A226" s="1">
        <v>40781</v>
      </c>
      <c r="B226">
        <v>1821139.91</v>
      </c>
    </row>
    <row r="227" spans="1:2" x14ac:dyDescent="0.25">
      <c r="A227" s="1">
        <v>40788</v>
      </c>
      <c r="B227">
        <v>1809119.7</v>
      </c>
    </row>
    <row r="228" spans="1:2" x14ac:dyDescent="0.25">
      <c r="A228" s="1">
        <v>40795</v>
      </c>
      <c r="B228">
        <v>1748000.65</v>
      </c>
    </row>
    <row r="229" spans="1:2" x14ac:dyDescent="0.25">
      <c r="A229" s="1">
        <v>40802</v>
      </c>
      <c r="B229">
        <v>1691439.52</v>
      </c>
    </row>
    <row r="230" spans="1:2" x14ac:dyDescent="0.25">
      <c r="A230" s="1">
        <v>40809</v>
      </c>
      <c r="B230">
        <v>1669299.78</v>
      </c>
    </row>
    <row r="231" spans="1:2" x14ac:dyDescent="0.25">
      <c r="A231" s="1">
        <v>40816</v>
      </c>
      <c r="B231">
        <v>1650394.44</v>
      </c>
    </row>
    <row r="232" spans="1:2" x14ac:dyDescent="0.25">
      <c r="A232" s="1">
        <v>40823</v>
      </c>
      <c r="B232">
        <v>1837553.43</v>
      </c>
    </row>
    <row r="233" spans="1:2" x14ac:dyDescent="0.25">
      <c r="A233" s="1">
        <v>40830</v>
      </c>
      <c r="B233">
        <v>1743882.19</v>
      </c>
    </row>
    <row r="234" spans="1:2" x14ac:dyDescent="0.25">
      <c r="A234" s="1">
        <v>40837</v>
      </c>
      <c r="B234">
        <v>1834680.25</v>
      </c>
    </row>
    <row r="235" spans="1:2" x14ac:dyDescent="0.25">
      <c r="A235" s="1">
        <v>40844</v>
      </c>
      <c r="B235">
        <v>1769296.25</v>
      </c>
    </row>
    <row r="236" spans="1:2" x14ac:dyDescent="0.25">
      <c r="A236" s="1">
        <v>40851</v>
      </c>
      <c r="B236">
        <v>1959707.9</v>
      </c>
    </row>
    <row r="237" spans="1:2" x14ac:dyDescent="0.25">
      <c r="A237" s="1">
        <v>40858</v>
      </c>
      <c r="B237">
        <v>1920725.15</v>
      </c>
    </row>
    <row r="238" spans="1:2" x14ac:dyDescent="0.25">
      <c r="A238" s="1">
        <v>40865</v>
      </c>
      <c r="B238">
        <v>1902762.5</v>
      </c>
    </row>
    <row r="239" spans="1:2" x14ac:dyDescent="0.25">
      <c r="A239" s="1">
        <v>40872</v>
      </c>
      <c r="B239">
        <v>2614202.2999999998</v>
      </c>
    </row>
    <row r="240" spans="1:2" x14ac:dyDescent="0.25">
      <c r="A240" s="1">
        <v>40879</v>
      </c>
      <c r="B240">
        <v>1954952</v>
      </c>
    </row>
    <row r="241" spans="1:2" x14ac:dyDescent="0.25">
      <c r="A241" s="1">
        <v>40886</v>
      </c>
      <c r="B241">
        <v>2290549.3199999998</v>
      </c>
    </row>
    <row r="242" spans="1:2" x14ac:dyDescent="0.25">
      <c r="A242" s="1">
        <v>40893</v>
      </c>
      <c r="B242">
        <v>2432736.52</v>
      </c>
    </row>
    <row r="243" spans="1:2" x14ac:dyDescent="0.25">
      <c r="A243" s="1">
        <v>40900</v>
      </c>
      <c r="B243">
        <v>3224369.8</v>
      </c>
    </row>
    <row r="244" spans="1:2" x14ac:dyDescent="0.25">
      <c r="A244" s="1">
        <v>40907</v>
      </c>
      <c r="B244">
        <v>1874226.52</v>
      </c>
    </row>
    <row r="245" spans="1:2" x14ac:dyDescent="0.25">
      <c r="A245" s="1">
        <v>40914</v>
      </c>
      <c r="B245">
        <v>1799520.14</v>
      </c>
    </row>
    <row r="246" spans="1:2" x14ac:dyDescent="0.25">
      <c r="A246" s="1">
        <v>40921</v>
      </c>
      <c r="B246">
        <v>1744725.48</v>
      </c>
    </row>
    <row r="247" spans="1:2" x14ac:dyDescent="0.25">
      <c r="A247" s="1">
        <v>40928</v>
      </c>
      <c r="B247">
        <v>1711769.11</v>
      </c>
    </row>
    <row r="248" spans="1:2" x14ac:dyDescent="0.25">
      <c r="A248" s="1">
        <v>40935</v>
      </c>
      <c r="B248">
        <v>1660906.14</v>
      </c>
    </row>
    <row r="249" spans="1:2" x14ac:dyDescent="0.25">
      <c r="A249" s="1">
        <v>40942</v>
      </c>
      <c r="B249">
        <v>1935299.94</v>
      </c>
    </row>
    <row r="250" spans="1:2" x14ac:dyDescent="0.25">
      <c r="A250" s="1">
        <v>40949</v>
      </c>
      <c r="B250">
        <v>2103322.6800000002</v>
      </c>
    </row>
    <row r="251" spans="1:2" x14ac:dyDescent="0.25">
      <c r="A251" s="1">
        <v>40956</v>
      </c>
      <c r="B251">
        <v>2196688.46</v>
      </c>
    </row>
    <row r="252" spans="1:2" x14ac:dyDescent="0.25">
      <c r="A252" s="1">
        <v>40963</v>
      </c>
      <c r="B252">
        <v>1861802.7</v>
      </c>
    </row>
    <row r="253" spans="1:2" x14ac:dyDescent="0.25">
      <c r="A253" s="1">
        <v>40970</v>
      </c>
      <c r="B253">
        <v>1952555.66</v>
      </c>
    </row>
    <row r="254" spans="1:2" x14ac:dyDescent="0.25">
      <c r="A254" s="1">
        <v>40977</v>
      </c>
      <c r="B254">
        <v>1937628.26</v>
      </c>
    </row>
    <row r="255" spans="1:2" x14ac:dyDescent="0.25">
      <c r="A255" s="1">
        <v>40984</v>
      </c>
      <c r="B255">
        <v>1976082.13</v>
      </c>
    </row>
    <row r="256" spans="1:2" x14ac:dyDescent="0.25">
      <c r="A256" s="1">
        <v>40991</v>
      </c>
      <c r="B256">
        <v>1790439.16</v>
      </c>
    </row>
    <row r="257" spans="1:2" x14ac:dyDescent="0.25">
      <c r="A257" s="1">
        <v>40998</v>
      </c>
      <c r="B257">
        <v>1857480.84</v>
      </c>
    </row>
    <row r="258" spans="1:2" x14ac:dyDescent="0.25">
      <c r="A258" s="1">
        <v>41005</v>
      </c>
      <c r="B258">
        <v>2129035.91</v>
      </c>
    </row>
    <row r="259" spans="1:2" x14ac:dyDescent="0.25">
      <c r="A259" s="1">
        <v>41012</v>
      </c>
      <c r="B259">
        <v>-2</v>
      </c>
    </row>
    <row r="260" spans="1:2" x14ac:dyDescent="0.25">
      <c r="A260" s="1">
        <v>41019</v>
      </c>
      <c r="B260">
        <v>1847344.45</v>
      </c>
    </row>
    <row r="261" spans="1:2" x14ac:dyDescent="0.25">
      <c r="A261" s="1">
        <v>41026</v>
      </c>
      <c r="B261">
        <v>1764133.09</v>
      </c>
    </row>
    <row r="262" spans="1:2" x14ac:dyDescent="0.25">
      <c r="A262" s="1">
        <v>41033</v>
      </c>
      <c r="B262">
        <v>1923957.09</v>
      </c>
    </row>
    <row r="263" spans="1:2" x14ac:dyDescent="0.25">
      <c r="A263" s="1">
        <v>41040</v>
      </c>
      <c r="B263">
        <v>1917520.99</v>
      </c>
    </row>
    <row r="264" spans="1:2" x14ac:dyDescent="0.25">
      <c r="A264" s="1">
        <v>41047</v>
      </c>
      <c r="B264">
        <v>2000940.67</v>
      </c>
    </row>
    <row r="265" spans="1:2" x14ac:dyDescent="0.25">
      <c r="A265" s="1">
        <v>41054</v>
      </c>
      <c r="B265">
        <v>1912791.09</v>
      </c>
    </row>
    <row r="266" spans="1:2" x14ac:dyDescent="0.25">
      <c r="A266" s="1">
        <v>41061</v>
      </c>
      <c r="B266">
        <v>1910092.37</v>
      </c>
    </row>
    <row r="267" spans="1:2" x14ac:dyDescent="0.25">
      <c r="A267" s="1">
        <v>41068</v>
      </c>
      <c r="B267">
        <v>2010216.49</v>
      </c>
    </row>
    <row r="268" spans="1:2" x14ac:dyDescent="0.25">
      <c r="A268" s="1">
        <v>41075</v>
      </c>
      <c r="B268">
        <v>1962924.3</v>
      </c>
    </row>
    <row r="269" spans="1:2" x14ac:dyDescent="0.25">
      <c r="A269" s="1">
        <v>41082</v>
      </c>
      <c r="B269">
        <v>1887733.21</v>
      </c>
    </row>
    <row r="270" spans="1:2" x14ac:dyDescent="0.25">
      <c r="A270" s="1">
        <v>41089</v>
      </c>
      <c r="B270">
        <v>1881046.12</v>
      </c>
    </row>
    <row r="271" spans="1:2" x14ac:dyDescent="0.25">
      <c r="A271" s="1">
        <v>41096</v>
      </c>
      <c r="B271">
        <v>2041507.4</v>
      </c>
    </row>
    <row r="272" spans="1:2" x14ac:dyDescent="0.25">
      <c r="A272" s="1">
        <v>41103</v>
      </c>
      <c r="B272">
        <v>1830075.13</v>
      </c>
    </row>
    <row r="273" spans="1:2" x14ac:dyDescent="0.25">
      <c r="A273" s="1">
        <v>41110</v>
      </c>
      <c r="B273">
        <v>1819666.46</v>
      </c>
    </row>
    <row r="274" spans="1:2" x14ac:dyDescent="0.25">
      <c r="A274" s="1">
        <v>41117</v>
      </c>
      <c r="B274">
        <v>1757923.88</v>
      </c>
    </row>
    <row r="275" spans="1:2" x14ac:dyDescent="0.25">
      <c r="A275" s="1">
        <v>41124</v>
      </c>
      <c r="B275">
        <v>1946104.64</v>
      </c>
    </row>
    <row r="276" spans="1:2" x14ac:dyDescent="0.25">
      <c r="A276" s="1">
        <v>41131</v>
      </c>
      <c r="B276">
        <v>1866719.96</v>
      </c>
    </row>
    <row r="277" spans="1:2" x14ac:dyDescent="0.25">
      <c r="A277" s="1">
        <v>41138</v>
      </c>
      <c r="B277">
        <v>1928016.01</v>
      </c>
    </row>
    <row r="278" spans="1:2" x14ac:dyDescent="0.25">
      <c r="A278" s="1">
        <v>41145</v>
      </c>
      <c r="B278">
        <v>1876788.15</v>
      </c>
    </row>
    <row r="279" spans="1:2" x14ac:dyDescent="0.25">
      <c r="A279" s="1">
        <v>41152</v>
      </c>
      <c r="B279">
        <v>1947083.3</v>
      </c>
    </row>
    <row r="280" spans="1:2" x14ac:dyDescent="0.25">
      <c r="A280" s="1">
        <v>41159</v>
      </c>
      <c r="B280">
        <v>1898777.07</v>
      </c>
    </row>
    <row r="281" spans="1:2" x14ac:dyDescent="0.25">
      <c r="A281" s="1">
        <v>41166</v>
      </c>
      <c r="B281">
        <v>1814806.63</v>
      </c>
    </row>
    <row r="282" spans="1:2" x14ac:dyDescent="0.25">
      <c r="A282" s="1">
        <v>41173</v>
      </c>
      <c r="B282">
        <v>1829415.67</v>
      </c>
    </row>
    <row r="283" spans="1:2" x14ac:dyDescent="0.25">
      <c r="A283" s="1">
        <v>41180</v>
      </c>
      <c r="B283">
        <v>1746470.56</v>
      </c>
    </row>
    <row r="284" spans="1:2" x14ac:dyDescent="0.25">
      <c r="A284" s="1">
        <v>41187</v>
      </c>
      <c r="B284">
        <v>1998321.04</v>
      </c>
    </row>
    <row r="285" spans="1:2" x14ac:dyDescent="0.25">
      <c r="A285" s="1">
        <v>41194</v>
      </c>
      <c r="B285">
        <v>1900745.13</v>
      </c>
    </row>
    <row r="286" spans="1:2" x14ac:dyDescent="0.25">
      <c r="A286" s="1">
        <v>41201</v>
      </c>
      <c r="B286">
        <v>1847990.41</v>
      </c>
    </row>
    <row r="287" spans="1:2" x14ac:dyDescent="0.25">
      <c r="A287" s="1">
        <v>41208</v>
      </c>
      <c r="B287">
        <v>1834458.35</v>
      </c>
    </row>
    <row r="288" spans="1:2" x14ac:dyDescent="0.25">
      <c r="A288" s="1">
        <v>40214</v>
      </c>
      <c r="B288">
        <v>461622.22</v>
      </c>
    </row>
    <row r="289" spans="1:2" x14ac:dyDescent="0.25">
      <c r="A289" s="1">
        <v>40221</v>
      </c>
      <c r="B289">
        <v>420728.96</v>
      </c>
    </row>
    <row r="290" spans="1:2" x14ac:dyDescent="0.25">
      <c r="A290" s="1">
        <v>40228</v>
      </c>
      <c r="B290">
        <v>421642.19</v>
      </c>
    </row>
    <row r="291" spans="1:2" x14ac:dyDescent="0.25">
      <c r="A291" s="1">
        <v>40235</v>
      </c>
      <c r="B291">
        <v>407204.86</v>
      </c>
    </row>
    <row r="292" spans="1:2" x14ac:dyDescent="0.25">
      <c r="A292" s="1">
        <v>40242</v>
      </c>
      <c r="B292">
        <v>415202.04</v>
      </c>
    </row>
    <row r="293" spans="1:2" x14ac:dyDescent="0.25">
      <c r="A293" s="1">
        <v>40249</v>
      </c>
      <c r="B293">
        <v>384200.69</v>
      </c>
    </row>
    <row r="294" spans="1:2" x14ac:dyDescent="0.25">
      <c r="A294" s="1">
        <v>40256</v>
      </c>
      <c r="B294">
        <v>375328.59</v>
      </c>
    </row>
    <row r="295" spans="1:2" x14ac:dyDescent="0.25">
      <c r="A295" s="1">
        <v>40263</v>
      </c>
      <c r="B295">
        <v>359949.27</v>
      </c>
    </row>
    <row r="296" spans="1:2" x14ac:dyDescent="0.25">
      <c r="A296" s="1">
        <v>40270</v>
      </c>
      <c r="B296">
        <v>423294.4</v>
      </c>
    </row>
    <row r="297" spans="1:2" x14ac:dyDescent="0.25">
      <c r="A297" s="1">
        <v>40277</v>
      </c>
      <c r="B297">
        <v>415870.28</v>
      </c>
    </row>
    <row r="298" spans="1:2" x14ac:dyDescent="0.25">
      <c r="A298" s="1">
        <v>40284</v>
      </c>
      <c r="B298">
        <v>354993.26</v>
      </c>
    </row>
    <row r="299" spans="1:2" x14ac:dyDescent="0.25">
      <c r="A299" s="1">
        <v>40291</v>
      </c>
      <c r="B299">
        <v>339976.65</v>
      </c>
    </row>
    <row r="300" spans="1:2" x14ac:dyDescent="0.25">
      <c r="A300" s="1">
        <v>40298</v>
      </c>
      <c r="B300">
        <v>361248.39</v>
      </c>
    </row>
    <row r="301" spans="1:2" x14ac:dyDescent="0.25">
      <c r="A301" s="1">
        <v>40305</v>
      </c>
      <c r="B301">
        <v>399323.86</v>
      </c>
    </row>
    <row r="302" spans="1:2" x14ac:dyDescent="0.25">
      <c r="A302" s="1">
        <v>40312</v>
      </c>
      <c r="B302">
        <v>384357.94</v>
      </c>
    </row>
    <row r="303" spans="1:2" x14ac:dyDescent="0.25">
      <c r="A303" s="1">
        <v>40319</v>
      </c>
      <c r="B303">
        <v>343763.17</v>
      </c>
    </row>
    <row r="304" spans="1:2" x14ac:dyDescent="0.25">
      <c r="A304" s="1">
        <v>40326</v>
      </c>
      <c r="B304">
        <v>350089.23</v>
      </c>
    </row>
    <row r="305" spans="1:2" x14ac:dyDescent="0.25">
      <c r="A305" s="1">
        <v>40333</v>
      </c>
      <c r="B305">
        <v>396968.8</v>
      </c>
    </row>
    <row r="306" spans="1:2" x14ac:dyDescent="0.25">
      <c r="A306" s="1">
        <v>40340</v>
      </c>
      <c r="B306">
        <v>355017.09</v>
      </c>
    </row>
    <row r="307" spans="1:2" x14ac:dyDescent="0.25">
      <c r="A307" s="1">
        <v>40347</v>
      </c>
      <c r="B307">
        <v>364076.85</v>
      </c>
    </row>
    <row r="308" spans="1:2" x14ac:dyDescent="0.25">
      <c r="A308" s="1">
        <v>40354</v>
      </c>
      <c r="B308">
        <v>357346.48</v>
      </c>
    </row>
    <row r="309" spans="1:2" x14ac:dyDescent="0.25">
      <c r="A309" s="1">
        <v>40361</v>
      </c>
      <c r="B309">
        <v>381151.72</v>
      </c>
    </row>
    <row r="310" spans="1:2" x14ac:dyDescent="0.25">
      <c r="A310" s="1">
        <v>40368</v>
      </c>
      <c r="B310">
        <v>349214.18</v>
      </c>
    </row>
    <row r="311" spans="1:2" x14ac:dyDescent="0.25">
      <c r="A311" s="1">
        <v>40375</v>
      </c>
      <c r="B311">
        <v>352728.78</v>
      </c>
    </row>
    <row r="312" spans="1:2" x14ac:dyDescent="0.25">
      <c r="A312" s="1">
        <v>40382</v>
      </c>
      <c r="B312">
        <v>352864.49</v>
      </c>
    </row>
    <row r="313" spans="1:2" x14ac:dyDescent="0.25">
      <c r="A313" s="1">
        <v>40389</v>
      </c>
      <c r="B313">
        <v>347955.05</v>
      </c>
    </row>
    <row r="314" spans="1:2" x14ac:dyDescent="0.25">
      <c r="A314" s="1">
        <v>40396</v>
      </c>
      <c r="B314">
        <v>402635.76</v>
      </c>
    </row>
    <row r="315" spans="1:2" x14ac:dyDescent="0.25">
      <c r="A315" s="1">
        <v>40403</v>
      </c>
      <c r="B315">
        <v>339597.38</v>
      </c>
    </row>
    <row r="316" spans="1:2" x14ac:dyDescent="0.25">
      <c r="A316" s="1">
        <v>40410</v>
      </c>
      <c r="B316">
        <v>351728.21</v>
      </c>
    </row>
    <row r="317" spans="1:2" x14ac:dyDescent="0.25">
      <c r="A317" s="1">
        <v>40417</v>
      </c>
      <c r="B317">
        <v>362134.09</v>
      </c>
    </row>
    <row r="318" spans="1:2" x14ac:dyDescent="0.25">
      <c r="A318" s="1">
        <v>40424</v>
      </c>
      <c r="B318">
        <v>366473.97</v>
      </c>
    </row>
    <row r="319" spans="1:2" x14ac:dyDescent="0.25">
      <c r="A319" s="1">
        <v>40431</v>
      </c>
      <c r="B319">
        <v>352260.97</v>
      </c>
    </row>
    <row r="320" spans="1:2" x14ac:dyDescent="0.25">
      <c r="A320" s="1">
        <v>40438</v>
      </c>
      <c r="B320">
        <v>363064.64</v>
      </c>
    </row>
    <row r="321" spans="1:2" x14ac:dyDescent="0.25">
      <c r="A321" s="1">
        <v>40445</v>
      </c>
      <c r="B321">
        <v>355626.87</v>
      </c>
    </row>
    <row r="322" spans="1:2" x14ac:dyDescent="0.25">
      <c r="A322" s="1">
        <v>40452</v>
      </c>
      <c r="B322">
        <v>358784.1</v>
      </c>
    </row>
    <row r="323" spans="1:2" x14ac:dyDescent="0.25">
      <c r="A323" s="1">
        <v>40459</v>
      </c>
      <c r="B323">
        <v>395107.35</v>
      </c>
    </row>
    <row r="324" spans="1:2" x14ac:dyDescent="0.25">
      <c r="A324" s="1">
        <v>40466</v>
      </c>
      <c r="B324">
        <v>345584.39</v>
      </c>
    </row>
    <row r="325" spans="1:2" x14ac:dyDescent="0.25">
      <c r="A325" s="1">
        <v>40473</v>
      </c>
      <c r="B325">
        <v>348895.98</v>
      </c>
    </row>
    <row r="326" spans="1:2" x14ac:dyDescent="0.25">
      <c r="A326" s="1">
        <v>40480</v>
      </c>
      <c r="B326">
        <v>348591.74</v>
      </c>
    </row>
    <row r="327" spans="1:2" x14ac:dyDescent="0.25">
      <c r="A327" s="1">
        <v>40487</v>
      </c>
      <c r="B327">
        <v>423175.56</v>
      </c>
    </row>
    <row r="328" spans="1:2" x14ac:dyDescent="0.25">
      <c r="A328" s="1">
        <v>40494</v>
      </c>
      <c r="B328">
        <v>386635.03</v>
      </c>
    </row>
    <row r="329" spans="1:2" x14ac:dyDescent="0.25">
      <c r="A329" s="1">
        <v>40501</v>
      </c>
      <c r="B329">
        <v>372545.32</v>
      </c>
    </row>
    <row r="330" spans="1:2" x14ac:dyDescent="0.25">
      <c r="A330" s="1">
        <v>40508</v>
      </c>
      <c r="B330">
        <v>565567.84</v>
      </c>
    </row>
    <row r="331" spans="1:2" x14ac:dyDescent="0.25">
      <c r="A331" s="1">
        <v>40515</v>
      </c>
      <c r="B331">
        <v>476420.77</v>
      </c>
    </row>
    <row r="332" spans="1:2" x14ac:dyDescent="0.25">
      <c r="A332" s="1">
        <v>40522</v>
      </c>
      <c r="B332">
        <v>467642.03</v>
      </c>
    </row>
    <row r="333" spans="1:2" x14ac:dyDescent="0.25">
      <c r="A333" s="1">
        <v>40529</v>
      </c>
      <c r="B333">
        <v>498159.39</v>
      </c>
    </row>
    <row r="334" spans="1:2" x14ac:dyDescent="0.25">
      <c r="A334" s="1">
        <v>40536</v>
      </c>
      <c r="B334">
        <v>605990.41</v>
      </c>
    </row>
    <row r="335" spans="1:2" x14ac:dyDescent="0.25">
      <c r="A335" s="1">
        <v>40543</v>
      </c>
      <c r="B335">
        <v>382677.76000000001</v>
      </c>
    </row>
    <row r="336" spans="1:2" x14ac:dyDescent="0.25">
      <c r="A336" s="1">
        <v>40550</v>
      </c>
      <c r="B336">
        <v>378241.34</v>
      </c>
    </row>
    <row r="337" spans="1:2" x14ac:dyDescent="0.25">
      <c r="A337" s="1">
        <v>40557</v>
      </c>
      <c r="B337">
        <v>381061.1</v>
      </c>
    </row>
    <row r="338" spans="1:2" x14ac:dyDescent="0.25">
      <c r="A338" s="1">
        <v>40564</v>
      </c>
      <c r="B338">
        <v>350876.7</v>
      </c>
    </row>
    <row r="339" spans="1:2" x14ac:dyDescent="0.25">
      <c r="A339" s="1">
        <v>40571</v>
      </c>
      <c r="B339">
        <v>364866.24</v>
      </c>
    </row>
    <row r="340" spans="1:2" x14ac:dyDescent="0.25">
      <c r="A340" s="1">
        <v>40578</v>
      </c>
      <c r="B340">
        <v>438516.53</v>
      </c>
    </row>
    <row r="341" spans="1:2" x14ac:dyDescent="0.25">
      <c r="A341" s="1">
        <v>40585</v>
      </c>
      <c r="B341">
        <v>430526.21</v>
      </c>
    </row>
    <row r="342" spans="1:2" x14ac:dyDescent="0.25">
      <c r="A342" s="1">
        <v>40592</v>
      </c>
      <c r="B342">
        <v>432782.1</v>
      </c>
    </row>
    <row r="343" spans="1:2" x14ac:dyDescent="0.25">
      <c r="A343" s="1">
        <v>40599</v>
      </c>
      <c r="B343">
        <v>397211.19</v>
      </c>
    </row>
    <row r="344" spans="1:2" x14ac:dyDescent="0.25">
      <c r="A344" s="1">
        <v>40606</v>
      </c>
      <c r="B344">
        <v>437084.51</v>
      </c>
    </row>
    <row r="345" spans="1:2" x14ac:dyDescent="0.25">
      <c r="A345" s="1">
        <v>40613</v>
      </c>
      <c r="B345">
        <v>404753.3</v>
      </c>
    </row>
    <row r="346" spans="1:2" x14ac:dyDescent="0.25">
      <c r="A346" s="1">
        <v>40620</v>
      </c>
      <c r="B346">
        <v>392109.51</v>
      </c>
    </row>
    <row r="347" spans="1:2" x14ac:dyDescent="0.25">
      <c r="A347" s="1">
        <v>40627</v>
      </c>
      <c r="B347">
        <v>380683.67</v>
      </c>
    </row>
    <row r="348" spans="1:2" x14ac:dyDescent="0.25">
      <c r="A348" s="1">
        <v>40634</v>
      </c>
      <c r="B348">
        <v>374556.08</v>
      </c>
    </row>
    <row r="349" spans="1:2" x14ac:dyDescent="0.25">
      <c r="A349" s="1">
        <v>40641</v>
      </c>
      <c r="B349">
        <v>384075.31</v>
      </c>
    </row>
    <row r="350" spans="1:2" x14ac:dyDescent="0.25">
      <c r="A350" s="1">
        <v>40648</v>
      </c>
      <c r="B350">
        <v>366250.69</v>
      </c>
    </row>
    <row r="351" spans="1:2" x14ac:dyDescent="0.25">
      <c r="A351" s="1">
        <v>40655</v>
      </c>
      <c r="B351">
        <v>391860.04</v>
      </c>
    </row>
    <row r="352" spans="1:2" x14ac:dyDescent="0.25">
      <c r="A352" s="1">
        <v>40662</v>
      </c>
      <c r="B352">
        <v>367405.4</v>
      </c>
    </row>
    <row r="353" spans="1:2" x14ac:dyDescent="0.25">
      <c r="A353" s="1">
        <v>40669</v>
      </c>
      <c r="B353">
        <v>413042.12</v>
      </c>
    </row>
    <row r="354" spans="1:2" x14ac:dyDescent="0.25">
      <c r="A354" s="1">
        <v>40676</v>
      </c>
      <c r="B354">
        <v>386312.68</v>
      </c>
    </row>
    <row r="355" spans="1:2" x14ac:dyDescent="0.25">
      <c r="A355" s="1">
        <v>40683</v>
      </c>
      <c r="B355">
        <v>364603.13</v>
      </c>
    </row>
    <row r="356" spans="1:2" x14ac:dyDescent="0.25">
      <c r="A356" s="1">
        <v>40690</v>
      </c>
      <c r="B356">
        <v>369350.6</v>
      </c>
    </row>
    <row r="357" spans="1:2" x14ac:dyDescent="0.25">
      <c r="A357" s="1">
        <v>40697</v>
      </c>
      <c r="B357">
        <v>394507.84</v>
      </c>
    </row>
    <row r="358" spans="1:2" x14ac:dyDescent="0.25">
      <c r="A358" s="1">
        <v>40704</v>
      </c>
      <c r="B358">
        <v>391638.75</v>
      </c>
    </row>
    <row r="359" spans="1:2" x14ac:dyDescent="0.25">
      <c r="A359" s="1">
        <v>40711</v>
      </c>
      <c r="B359">
        <v>403423.34</v>
      </c>
    </row>
    <row r="360" spans="1:2" x14ac:dyDescent="0.25">
      <c r="A360" s="1">
        <v>40718</v>
      </c>
      <c r="B360">
        <v>385520.71</v>
      </c>
    </row>
    <row r="361" spans="1:2" x14ac:dyDescent="0.25">
      <c r="A361" s="1">
        <v>40725</v>
      </c>
      <c r="B361">
        <v>368962.72</v>
      </c>
    </row>
    <row r="362" spans="1:2" x14ac:dyDescent="0.25">
      <c r="A362" s="1">
        <v>40732</v>
      </c>
      <c r="B362">
        <v>395146.23999999999</v>
      </c>
    </row>
    <row r="363" spans="1:2" x14ac:dyDescent="0.25">
      <c r="A363" s="1">
        <v>40739</v>
      </c>
      <c r="B363">
        <v>373454.33</v>
      </c>
    </row>
    <row r="364" spans="1:2" x14ac:dyDescent="0.25">
      <c r="A364" s="1">
        <v>40746</v>
      </c>
      <c r="B364">
        <v>360617.37</v>
      </c>
    </row>
    <row r="365" spans="1:2" x14ac:dyDescent="0.25">
      <c r="A365" s="1">
        <v>40753</v>
      </c>
      <c r="B365">
        <v>345381.29</v>
      </c>
    </row>
    <row r="366" spans="1:2" x14ac:dyDescent="0.25">
      <c r="A366" s="1">
        <v>40760</v>
      </c>
      <c r="B366">
        <v>409981.25</v>
      </c>
    </row>
    <row r="367" spans="1:2" x14ac:dyDescent="0.25">
      <c r="A367" s="1">
        <v>40767</v>
      </c>
      <c r="B367">
        <v>380376.85</v>
      </c>
    </row>
    <row r="368" spans="1:2" x14ac:dyDescent="0.25">
      <c r="A368" s="1">
        <v>40774</v>
      </c>
      <c r="B368">
        <v>379716.91</v>
      </c>
    </row>
    <row r="369" spans="1:2" x14ac:dyDescent="0.25">
      <c r="A369" s="1">
        <v>40781</v>
      </c>
      <c r="B369">
        <v>366367.55</v>
      </c>
    </row>
    <row r="370" spans="1:2" x14ac:dyDescent="0.25">
      <c r="A370" s="1">
        <v>40788</v>
      </c>
      <c r="B370">
        <v>375988.69</v>
      </c>
    </row>
    <row r="371" spans="1:2" x14ac:dyDescent="0.25">
      <c r="A371" s="1">
        <v>40795</v>
      </c>
      <c r="B371">
        <v>377347.49</v>
      </c>
    </row>
    <row r="372" spans="1:2" x14ac:dyDescent="0.25">
      <c r="A372" s="1">
        <v>40802</v>
      </c>
      <c r="B372">
        <v>375629.51</v>
      </c>
    </row>
    <row r="373" spans="1:2" x14ac:dyDescent="0.25">
      <c r="A373" s="1">
        <v>40809</v>
      </c>
      <c r="B373">
        <v>365248.94</v>
      </c>
    </row>
    <row r="374" spans="1:2" x14ac:dyDescent="0.25">
      <c r="A374" s="1">
        <v>40816</v>
      </c>
      <c r="B374">
        <v>368477.93</v>
      </c>
    </row>
    <row r="375" spans="1:2" x14ac:dyDescent="0.25">
      <c r="A375" s="1">
        <v>40823</v>
      </c>
      <c r="B375">
        <v>403342.4</v>
      </c>
    </row>
    <row r="376" spans="1:2" x14ac:dyDescent="0.25">
      <c r="A376" s="1">
        <v>40830</v>
      </c>
      <c r="B376">
        <v>368282.57</v>
      </c>
    </row>
    <row r="377" spans="1:2" x14ac:dyDescent="0.25">
      <c r="A377" s="1">
        <v>40837</v>
      </c>
      <c r="B377">
        <v>394976.36</v>
      </c>
    </row>
    <row r="378" spans="1:2" x14ac:dyDescent="0.25">
      <c r="A378" s="1">
        <v>40844</v>
      </c>
      <c r="B378">
        <v>389540.62</v>
      </c>
    </row>
    <row r="379" spans="1:2" x14ac:dyDescent="0.25">
      <c r="A379" s="1">
        <v>40851</v>
      </c>
      <c r="B379">
        <v>459443.22</v>
      </c>
    </row>
    <row r="380" spans="1:2" x14ac:dyDescent="0.25">
      <c r="A380" s="1">
        <v>40858</v>
      </c>
      <c r="B380">
        <v>407764.25</v>
      </c>
    </row>
    <row r="381" spans="1:2" x14ac:dyDescent="0.25">
      <c r="A381" s="1">
        <v>40865</v>
      </c>
      <c r="B381">
        <v>398838.97</v>
      </c>
    </row>
    <row r="382" spans="1:2" x14ac:dyDescent="0.25">
      <c r="A382" s="1">
        <v>40872</v>
      </c>
      <c r="B382">
        <v>556925.18999999994</v>
      </c>
    </row>
    <row r="383" spans="1:2" x14ac:dyDescent="0.25">
      <c r="A383" s="1">
        <v>40879</v>
      </c>
      <c r="B383">
        <v>472511.32</v>
      </c>
    </row>
    <row r="384" spans="1:2" x14ac:dyDescent="0.25">
      <c r="A384" s="1">
        <v>40886</v>
      </c>
      <c r="B384">
        <v>468772.8</v>
      </c>
    </row>
    <row r="385" spans="1:2" x14ac:dyDescent="0.25">
      <c r="A385" s="1">
        <v>40893</v>
      </c>
      <c r="B385">
        <v>510747.62</v>
      </c>
    </row>
    <row r="386" spans="1:2" x14ac:dyDescent="0.25">
      <c r="A386" s="1">
        <v>40900</v>
      </c>
      <c r="B386">
        <v>551221.21</v>
      </c>
    </row>
    <row r="387" spans="1:2" x14ac:dyDescent="0.25">
      <c r="A387" s="1">
        <v>40907</v>
      </c>
      <c r="B387">
        <v>410553.88</v>
      </c>
    </row>
    <row r="388" spans="1:2" x14ac:dyDescent="0.25">
      <c r="A388" s="1">
        <v>40914</v>
      </c>
      <c r="B388">
        <v>398178.21</v>
      </c>
    </row>
    <row r="389" spans="1:2" x14ac:dyDescent="0.25">
      <c r="A389" s="1">
        <v>40921</v>
      </c>
      <c r="B389">
        <v>367438.62</v>
      </c>
    </row>
    <row r="390" spans="1:2" x14ac:dyDescent="0.25">
      <c r="A390" s="1">
        <v>40928</v>
      </c>
      <c r="B390">
        <v>365818.61</v>
      </c>
    </row>
    <row r="391" spans="1:2" x14ac:dyDescent="0.25">
      <c r="A391" s="1">
        <v>40935</v>
      </c>
      <c r="B391">
        <v>349518.1</v>
      </c>
    </row>
    <row r="392" spans="1:2" x14ac:dyDescent="0.25">
      <c r="A392" s="1">
        <v>40942</v>
      </c>
      <c r="B392">
        <v>424960.66</v>
      </c>
    </row>
    <row r="393" spans="1:2" x14ac:dyDescent="0.25">
      <c r="A393" s="1">
        <v>40949</v>
      </c>
      <c r="B393">
        <v>473292.47</v>
      </c>
    </row>
    <row r="394" spans="1:2" x14ac:dyDescent="0.25">
      <c r="A394" s="1">
        <v>40956</v>
      </c>
      <c r="B394">
        <v>475591.08</v>
      </c>
    </row>
    <row r="395" spans="1:2" x14ac:dyDescent="0.25">
      <c r="A395" s="1">
        <v>40963</v>
      </c>
      <c r="B395">
        <v>418925.47</v>
      </c>
    </row>
    <row r="396" spans="1:2" x14ac:dyDescent="0.25">
      <c r="A396" s="1">
        <v>40970</v>
      </c>
      <c r="B396">
        <v>469752.56</v>
      </c>
    </row>
    <row r="397" spans="1:2" x14ac:dyDescent="0.25">
      <c r="A397" s="1">
        <v>40977</v>
      </c>
      <c r="B397">
        <v>445162.05</v>
      </c>
    </row>
    <row r="398" spans="1:2" x14ac:dyDescent="0.25">
      <c r="A398" s="1">
        <v>40984</v>
      </c>
      <c r="B398">
        <v>411775.8</v>
      </c>
    </row>
    <row r="399" spans="1:2" x14ac:dyDescent="0.25">
      <c r="A399" s="1">
        <v>40991</v>
      </c>
      <c r="B399">
        <v>413907.25</v>
      </c>
    </row>
    <row r="400" spans="1:2" x14ac:dyDescent="0.25">
      <c r="A400" s="1">
        <v>40998</v>
      </c>
      <c r="B400">
        <v>407488.84</v>
      </c>
    </row>
    <row r="401" spans="1:2" x14ac:dyDescent="0.25">
      <c r="A401" s="1">
        <v>41005</v>
      </c>
      <c r="B401">
        <v>503232.13</v>
      </c>
    </row>
    <row r="402" spans="1:2" x14ac:dyDescent="0.25">
      <c r="A402" s="1">
        <v>41012</v>
      </c>
      <c r="B402">
        <v>420789.74</v>
      </c>
    </row>
    <row r="403" spans="1:2" x14ac:dyDescent="0.25">
      <c r="A403" s="1">
        <v>41019</v>
      </c>
      <c r="B403">
        <v>434822.13</v>
      </c>
    </row>
    <row r="404" spans="1:2" x14ac:dyDescent="0.25">
      <c r="A404" s="1">
        <v>41026</v>
      </c>
      <c r="B404">
        <v>394616.11</v>
      </c>
    </row>
    <row r="405" spans="1:2" x14ac:dyDescent="0.25">
      <c r="A405" s="1">
        <v>41033</v>
      </c>
      <c r="B405">
        <v>439913.57</v>
      </c>
    </row>
    <row r="406" spans="1:2" x14ac:dyDescent="0.25">
      <c r="A406" s="1">
        <v>41040</v>
      </c>
      <c r="B406">
        <v>431985.36</v>
      </c>
    </row>
    <row r="407" spans="1:2" x14ac:dyDescent="0.25">
      <c r="A407" s="1">
        <v>41047</v>
      </c>
      <c r="B407">
        <v>418112.76</v>
      </c>
    </row>
    <row r="408" spans="1:2" x14ac:dyDescent="0.25">
      <c r="A408" s="1">
        <v>41054</v>
      </c>
      <c r="B408">
        <v>413701.29</v>
      </c>
    </row>
    <row r="409" spans="1:2" x14ac:dyDescent="0.25">
      <c r="A409" s="1">
        <v>41061</v>
      </c>
      <c r="B409">
        <v>432268.53</v>
      </c>
    </row>
    <row r="410" spans="1:2" x14ac:dyDescent="0.25">
      <c r="A410" s="1">
        <v>41068</v>
      </c>
      <c r="B410">
        <v>446336.8</v>
      </c>
    </row>
    <row r="411" spans="1:2" x14ac:dyDescent="0.25">
      <c r="A411" s="1">
        <v>41075</v>
      </c>
      <c r="B411">
        <v>442074.79</v>
      </c>
    </row>
    <row r="412" spans="1:2" x14ac:dyDescent="0.25">
      <c r="A412" s="1">
        <v>41082</v>
      </c>
      <c r="B412">
        <v>419497.95</v>
      </c>
    </row>
    <row r="413" spans="1:2" x14ac:dyDescent="0.25">
      <c r="A413" s="1">
        <v>41089</v>
      </c>
      <c r="B413">
        <v>422965.33</v>
      </c>
    </row>
    <row r="414" spans="1:2" x14ac:dyDescent="0.25">
      <c r="A414" s="1">
        <v>41096</v>
      </c>
      <c r="B414">
        <v>411206.5</v>
      </c>
    </row>
    <row r="415" spans="1:2" x14ac:dyDescent="0.25">
      <c r="A415" s="1">
        <v>41103</v>
      </c>
      <c r="B415">
        <v>416913.1</v>
      </c>
    </row>
    <row r="416" spans="1:2" x14ac:dyDescent="0.25">
      <c r="A416" s="1">
        <v>41110</v>
      </c>
      <c r="B416">
        <v>432424.85</v>
      </c>
    </row>
    <row r="417" spans="1:2" x14ac:dyDescent="0.25">
      <c r="A417" s="1">
        <v>41117</v>
      </c>
      <c r="B417">
        <v>389427.9</v>
      </c>
    </row>
    <row r="418" spans="1:2" x14ac:dyDescent="0.25">
      <c r="A418" s="1">
        <v>41124</v>
      </c>
      <c r="B418">
        <v>419990.29</v>
      </c>
    </row>
    <row r="419" spans="1:2" x14ac:dyDescent="0.25">
      <c r="A419" s="1">
        <v>41131</v>
      </c>
      <c r="B419">
        <v>391811.6</v>
      </c>
    </row>
    <row r="420" spans="1:2" x14ac:dyDescent="0.25">
      <c r="A420" s="1">
        <v>41138</v>
      </c>
      <c r="B420">
        <v>394918.83</v>
      </c>
    </row>
    <row r="421" spans="1:2" x14ac:dyDescent="0.25">
      <c r="A421" s="1">
        <v>41145</v>
      </c>
      <c r="B421">
        <v>412449.67</v>
      </c>
    </row>
    <row r="422" spans="1:2" x14ac:dyDescent="0.25">
      <c r="A422" s="1">
        <v>41152</v>
      </c>
      <c r="B422">
        <v>408838.73</v>
      </c>
    </row>
    <row r="423" spans="1:2" x14ac:dyDescent="0.25">
      <c r="A423" s="1">
        <v>41159</v>
      </c>
      <c r="B423">
        <v>408229.73</v>
      </c>
    </row>
    <row r="424" spans="1:2" x14ac:dyDescent="0.25">
      <c r="A424" s="1">
        <v>41166</v>
      </c>
      <c r="B424">
        <v>407589.16</v>
      </c>
    </row>
    <row r="425" spans="1:2" x14ac:dyDescent="0.25">
      <c r="A425" s="1">
        <v>41173</v>
      </c>
      <c r="B425">
        <v>414392.09</v>
      </c>
    </row>
    <row r="426" spans="1:2" x14ac:dyDescent="0.25">
      <c r="A426" s="1">
        <v>41180</v>
      </c>
      <c r="B426">
        <v>389813.02</v>
      </c>
    </row>
    <row r="427" spans="1:2" x14ac:dyDescent="0.25">
      <c r="A427" s="1">
        <v>41187</v>
      </c>
      <c r="B427">
        <v>443557.65</v>
      </c>
    </row>
    <row r="428" spans="1:2" x14ac:dyDescent="0.25">
      <c r="A428" s="1">
        <v>41194</v>
      </c>
      <c r="B428">
        <v>410804.39</v>
      </c>
    </row>
    <row r="429" spans="1:2" x14ac:dyDescent="0.25">
      <c r="A429" s="1">
        <v>41201</v>
      </c>
      <c r="B429">
        <v>424513.08</v>
      </c>
    </row>
    <row r="430" spans="1:2" x14ac:dyDescent="0.25">
      <c r="A430" s="1">
        <v>41208</v>
      </c>
      <c r="B430">
        <v>405432.7</v>
      </c>
    </row>
    <row r="431" spans="1:2" x14ac:dyDescent="0.25">
      <c r="A431" s="1">
        <v>40214</v>
      </c>
      <c r="B431">
        <v>2135143.87</v>
      </c>
    </row>
    <row r="432" spans="1:2" x14ac:dyDescent="0.25">
      <c r="A432" s="1">
        <v>40221</v>
      </c>
      <c r="B432">
        <v>2188307.39</v>
      </c>
    </row>
    <row r="433" spans="1:2" x14ac:dyDescent="0.25">
      <c r="A433" s="1">
        <v>40228</v>
      </c>
      <c r="B433">
        <v>2049860.26</v>
      </c>
    </row>
    <row r="434" spans="1:2" x14ac:dyDescent="0.25">
      <c r="A434" s="1">
        <v>40235</v>
      </c>
      <c r="B434">
        <v>1925728.84</v>
      </c>
    </row>
    <row r="435" spans="1:2" x14ac:dyDescent="0.25">
      <c r="A435" s="1">
        <v>40242</v>
      </c>
      <c r="B435">
        <v>1971057.44</v>
      </c>
    </row>
    <row r="436" spans="1:2" x14ac:dyDescent="0.25">
      <c r="A436" s="1">
        <v>40249</v>
      </c>
      <c r="B436">
        <v>1894324.09</v>
      </c>
    </row>
    <row r="437" spans="1:2" x14ac:dyDescent="0.25">
      <c r="A437" s="1">
        <v>40256</v>
      </c>
      <c r="B437">
        <v>1897429.36</v>
      </c>
    </row>
    <row r="438" spans="1:2" x14ac:dyDescent="0.25">
      <c r="A438" s="1">
        <v>40263</v>
      </c>
      <c r="B438">
        <v>1762539.3</v>
      </c>
    </row>
    <row r="439" spans="1:2" x14ac:dyDescent="0.25">
      <c r="A439" s="1">
        <v>40270</v>
      </c>
      <c r="B439">
        <v>1979247.12</v>
      </c>
    </row>
    <row r="440" spans="1:2" x14ac:dyDescent="0.25">
      <c r="A440" s="1">
        <v>40277</v>
      </c>
      <c r="B440">
        <v>1818452.72</v>
      </c>
    </row>
    <row r="441" spans="1:2" x14ac:dyDescent="0.25">
      <c r="A441" s="1">
        <v>40284</v>
      </c>
      <c r="B441">
        <v>1851519.69</v>
      </c>
    </row>
    <row r="442" spans="1:2" x14ac:dyDescent="0.25">
      <c r="A442" s="1">
        <v>40291</v>
      </c>
      <c r="B442">
        <v>1802677.9</v>
      </c>
    </row>
    <row r="443" spans="1:2" x14ac:dyDescent="0.25">
      <c r="A443" s="1">
        <v>40298</v>
      </c>
      <c r="B443">
        <v>1817273.28</v>
      </c>
    </row>
    <row r="444" spans="1:2" x14ac:dyDescent="0.25">
      <c r="A444" s="1">
        <v>40305</v>
      </c>
      <c r="B444">
        <v>2000626.14</v>
      </c>
    </row>
    <row r="445" spans="1:2" x14ac:dyDescent="0.25">
      <c r="A445" s="1">
        <v>40312</v>
      </c>
      <c r="B445">
        <v>1875597.28</v>
      </c>
    </row>
    <row r="446" spans="1:2" x14ac:dyDescent="0.25">
      <c r="A446" s="1">
        <v>40319</v>
      </c>
      <c r="B446">
        <v>1903752.6</v>
      </c>
    </row>
    <row r="447" spans="1:2" x14ac:dyDescent="0.25">
      <c r="A447" s="1">
        <v>40326</v>
      </c>
      <c r="B447">
        <v>1857533.7</v>
      </c>
    </row>
    <row r="448" spans="1:2" x14ac:dyDescent="0.25">
      <c r="A448" s="1">
        <v>40333</v>
      </c>
      <c r="B448">
        <v>1903290.58</v>
      </c>
    </row>
    <row r="449" spans="1:2" x14ac:dyDescent="0.25">
      <c r="A449" s="1">
        <v>40340</v>
      </c>
      <c r="B449">
        <v>1870619.23</v>
      </c>
    </row>
    <row r="450" spans="1:2" x14ac:dyDescent="0.25">
      <c r="A450" s="1">
        <v>40347</v>
      </c>
      <c r="B450">
        <v>1929736.35</v>
      </c>
    </row>
    <row r="451" spans="1:2" x14ac:dyDescent="0.25">
      <c r="A451" s="1">
        <v>40354</v>
      </c>
      <c r="B451">
        <v>1846651.95</v>
      </c>
    </row>
    <row r="452" spans="1:2" x14ac:dyDescent="0.25">
      <c r="A452" s="1">
        <v>40361</v>
      </c>
      <c r="B452">
        <v>1881337.21</v>
      </c>
    </row>
    <row r="453" spans="1:2" x14ac:dyDescent="0.25">
      <c r="A453" s="1">
        <v>40368</v>
      </c>
      <c r="B453">
        <v>1812208.22</v>
      </c>
    </row>
    <row r="454" spans="1:2" x14ac:dyDescent="0.25">
      <c r="A454" s="1">
        <v>40375</v>
      </c>
      <c r="B454">
        <v>1898427.66</v>
      </c>
    </row>
    <row r="455" spans="1:2" x14ac:dyDescent="0.25">
      <c r="A455" s="1">
        <v>40382</v>
      </c>
      <c r="B455">
        <v>1848426.78</v>
      </c>
    </row>
    <row r="456" spans="1:2" x14ac:dyDescent="0.25">
      <c r="A456" s="1">
        <v>40389</v>
      </c>
      <c r="B456">
        <v>1796637.61</v>
      </c>
    </row>
    <row r="457" spans="1:2" x14ac:dyDescent="0.25">
      <c r="A457" s="1">
        <v>40396</v>
      </c>
      <c r="B457">
        <v>1907638.58</v>
      </c>
    </row>
    <row r="458" spans="1:2" x14ac:dyDescent="0.25">
      <c r="A458" s="1">
        <v>40403</v>
      </c>
      <c r="B458">
        <v>2007050.75</v>
      </c>
    </row>
    <row r="459" spans="1:2" x14ac:dyDescent="0.25">
      <c r="A459" s="1">
        <v>40410</v>
      </c>
      <c r="B459">
        <v>1997181.09</v>
      </c>
    </row>
    <row r="460" spans="1:2" x14ac:dyDescent="0.25">
      <c r="A460" s="1">
        <v>40417</v>
      </c>
      <c r="B460">
        <v>1848403.92</v>
      </c>
    </row>
    <row r="461" spans="1:2" x14ac:dyDescent="0.25">
      <c r="A461" s="1">
        <v>40424</v>
      </c>
      <c r="B461">
        <v>1935857.58</v>
      </c>
    </row>
    <row r="462" spans="1:2" x14ac:dyDescent="0.25">
      <c r="A462" s="1">
        <v>40431</v>
      </c>
      <c r="B462">
        <v>1865820.81</v>
      </c>
    </row>
    <row r="463" spans="1:2" x14ac:dyDescent="0.25">
      <c r="A463" s="1">
        <v>40438</v>
      </c>
      <c r="B463">
        <v>1899959.61</v>
      </c>
    </row>
    <row r="464" spans="1:2" x14ac:dyDescent="0.25">
      <c r="A464" s="1">
        <v>40445</v>
      </c>
      <c r="B464">
        <v>1810684.68</v>
      </c>
    </row>
    <row r="465" spans="1:2" x14ac:dyDescent="0.25">
      <c r="A465" s="1">
        <v>40452</v>
      </c>
      <c r="B465">
        <v>1842821.02</v>
      </c>
    </row>
    <row r="466" spans="1:2" x14ac:dyDescent="0.25">
      <c r="A466" s="1">
        <v>40459</v>
      </c>
      <c r="B466">
        <v>1951494.85</v>
      </c>
    </row>
    <row r="467" spans="1:2" x14ac:dyDescent="0.25">
      <c r="A467" s="1">
        <v>40466</v>
      </c>
      <c r="B467">
        <v>1867345.09</v>
      </c>
    </row>
    <row r="468" spans="1:2" x14ac:dyDescent="0.25">
      <c r="A468" s="1">
        <v>40473</v>
      </c>
      <c r="B468">
        <v>1927610.06</v>
      </c>
    </row>
    <row r="469" spans="1:2" x14ac:dyDescent="0.25">
      <c r="A469" s="1">
        <v>40480</v>
      </c>
      <c r="B469">
        <v>1933333</v>
      </c>
    </row>
    <row r="470" spans="1:2" x14ac:dyDescent="0.25">
      <c r="A470" s="1">
        <v>40487</v>
      </c>
      <c r="B470">
        <v>2013115.79</v>
      </c>
    </row>
    <row r="471" spans="1:2" x14ac:dyDescent="0.25">
      <c r="A471" s="1">
        <v>40494</v>
      </c>
      <c r="B471">
        <v>1999794.26</v>
      </c>
    </row>
    <row r="472" spans="1:2" x14ac:dyDescent="0.25">
      <c r="A472" s="1">
        <v>40501</v>
      </c>
      <c r="B472">
        <v>2097809.4</v>
      </c>
    </row>
    <row r="473" spans="1:2" x14ac:dyDescent="0.25">
      <c r="A473" s="1">
        <v>40508</v>
      </c>
      <c r="B473">
        <v>2789469.45</v>
      </c>
    </row>
    <row r="474" spans="1:2" x14ac:dyDescent="0.25">
      <c r="A474" s="1">
        <v>40515</v>
      </c>
      <c r="B474">
        <v>2102530.17</v>
      </c>
    </row>
    <row r="475" spans="1:2" x14ac:dyDescent="0.25">
      <c r="A475" s="1">
        <v>40522</v>
      </c>
      <c r="B475">
        <v>2302504.86</v>
      </c>
    </row>
    <row r="476" spans="1:2" x14ac:dyDescent="0.25">
      <c r="A476" s="1">
        <v>40529</v>
      </c>
      <c r="B476">
        <v>2740057.14</v>
      </c>
    </row>
    <row r="477" spans="1:2" x14ac:dyDescent="0.25">
      <c r="A477" s="1">
        <v>40536</v>
      </c>
      <c r="B477">
        <v>3526713.39</v>
      </c>
    </row>
    <row r="478" spans="1:2" x14ac:dyDescent="0.25">
      <c r="A478" s="1">
        <v>40543</v>
      </c>
      <c r="B478">
        <v>1794868.74</v>
      </c>
    </row>
    <row r="479" spans="1:2" x14ac:dyDescent="0.25">
      <c r="A479" s="1">
        <v>40550</v>
      </c>
      <c r="B479">
        <v>1862476.27</v>
      </c>
    </row>
    <row r="480" spans="1:2" x14ac:dyDescent="0.25">
      <c r="A480" s="1">
        <v>40557</v>
      </c>
      <c r="B480">
        <v>1865502.46</v>
      </c>
    </row>
    <row r="481" spans="1:2" x14ac:dyDescent="0.25">
      <c r="A481" s="1">
        <v>40564</v>
      </c>
      <c r="B481">
        <v>1886393.94</v>
      </c>
    </row>
    <row r="482" spans="1:2" x14ac:dyDescent="0.25">
      <c r="A482" s="1">
        <v>40571</v>
      </c>
      <c r="B482">
        <v>1814240.85</v>
      </c>
    </row>
    <row r="483" spans="1:2" x14ac:dyDescent="0.25">
      <c r="A483" s="1">
        <v>40578</v>
      </c>
      <c r="B483">
        <v>2119086.04</v>
      </c>
    </row>
    <row r="484" spans="1:2" x14ac:dyDescent="0.25">
      <c r="A484" s="1">
        <v>40585</v>
      </c>
      <c r="B484">
        <v>2187847.29</v>
      </c>
    </row>
    <row r="485" spans="1:2" x14ac:dyDescent="0.25">
      <c r="A485" s="1">
        <v>40592</v>
      </c>
      <c r="B485">
        <v>2316495.56</v>
      </c>
    </row>
    <row r="486" spans="1:2" x14ac:dyDescent="0.25">
      <c r="A486" s="1">
        <v>40599</v>
      </c>
      <c r="B486">
        <v>2078094.69</v>
      </c>
    </row>
    <row r="487" spans="1:2" x14ac:dyDescent="0.25">
      <c r="A487" s="1">
        <v>40606</v>
      </c>
      <c r="B487">
        <v>2103455.75</v>
      </c>
    </row>
    <row r="488" spans="1:2" x14ac:dyDescent="0.25">
      <c r="A488" s="1">
        <v>40613</v>
      </c>
      <c r="B488">
        <v>2039818.41</v>
      </c>
    </row>
    <row r="489" spans="1:2" x14ac:dyDescent="0.25">
      <c r="A489" s="1">
        <v>40620</v>
      </c>
      <c r="B489">
        <v>2116475.38</v>
      </c>
    </row>
    <row r="490" spans="1:2" x14ac:dyDescent="0.25">
      <c r="A490" s="1">
        <v>40627</v>
      </c>
      <c r="B490">
        <v>1944164.32</v>
      </c>
    </row>
    <row r="491" spans="1:2" x14ac:dyDescent="0.25">
      <c r="A491" s="1">
        <v>40634</v>
      </c>
      <c r="B491">
        <v>1900246.47</v>
      </c>
    </row>
    <row r="492" spans="1:2" x14ac:dyDescent="0.25">
      <c r="A492" s="1">
        <v>40641</v>
      </c>
      <c r="B492">
        <v>2074953.46</v>
      </c>
    </row>
    <row r="493" spans="1:2" x14ac:dyDescent="0.25">
      <c r="A493" s="1">
        <v>40648</v>
      </c>
      <c r="B493">
        <v>1960587.76</v>
      </c>
    </row>
    <row r="494" spans="1:2" x14ac:dyDescent="0.25">
      <c r="A494" s="1">
        <v>40655</v>
      </c>
      <c r="B494">
        <v>2220600.7599999998</v>
      </c>
    </row>
    <row r="495" spans="1:2" x14ac:dyDescent="0.25">
      <c r="A495" s="1">
        <v>40662</v>
      </c>
      <c r="B495">
        <v>1878167.44</v>
      </c>
    </row>
    <row r="496" spans="1:2" x14ac:dyDescent="0.25">
      <c r="A496" s="1">
        <v>40669</v>
      </c>
      <c r="B496">
        <v>2063682.76</v>
      </c>
    </row>
    <row r="497" spans="1:2" x14ac:dyDescent="0.25">
      <c r="A497" s="1">
        <v>40676</v>
      </c>
      <c r="B497">
        <v>2002362.37</v>
      </c>
    </row>
    <row r="498" spans="1:2" x14ac:dyDescent="0.25">
      <c r="A498" s="1">
        <v>40683</v>
      </c>
      <c r="B498">
        <v>2015563.48</v>
      </c>
    </row>
    <row r="499" spans="1:2" x14ac:dyDescent="0.25">
      <c r="A499" s="1">
        <v>40690</v>
      </c>
      <c r="B499">
        <v>1986597.95</v>
      </c>
    </row>
    <row r="500" spans="1:2" x14ac:dyDescent="0.25">
      <c r="A500" s="1">
        <v>40697</v>
      </c>
      <c r="B500">
        <v>2065377.15</v>
      </c>
    </row>
    <row r="501" spans="1:2" x14ac:dyDescent="0.25">
      <c r="A501" s="1">
        <v>40704</v>
      </c>
      <c r="B501">
        <v>2073951.38</v>
      </c>
    </row>
    <row r="502" spans="1:2" x14ac:dyDescent="0.25">
      <c r="A502" s="1">
        <v>40711</v>
      </c>
      <c r="B502">
        <v>2141210.62</v>
      </c>
    </row>
    <row r="503" spans="1:2" x14ac:dyDescent="0.25">
      <c r="A503" s="1">
        <v>40718</v>
      </c>
      <c r="B503">
        <v>2008344.92</v>
      </c>
    </row>
    <row r="504" spans="1:2" x14ac:dyDescent="0.25">
      <c r="A504" s="1">
        <v>40725</v>
      </c>
      <c r="B504">
        <v>2051533.53</v>
      </c>
    </row>
    <row r="505" spans="1:2" x14ac:dyDescent="0.25">
      <c r="A505" s="1">
        <v>40732</v>
      </c>
      <c r="B505">
        <v>2066541.86</v>
      </c>
    </row>
    <row r="506" spans="1:2" x14ac:dyDescent="0.25">
      <c r="A506" s="1">
        <v>40739</v>
      </c>
      <c r="B506">
        <v>2049046.95</v>
      </c>
    </row>
    <row r="507" spans="1:2" x14ac:dyDescent="0.25">
      <c r="A507" s="1">
        <v>40746</v>
      </c>
      <c r="B507">
        <v>2036231.39</v>
      </c>
    </row>
    <row r="508" spans="1:2" x14ac:dyDescent="0.25">
      <c r="A508" s="1">
        <v>40753</v>
      </c>
      <c r="B508">
        <v>1989674.07</v>
      </c>
    </row>
    <row r="509" spans="1:2" x14ac:dyDescent="0.25">
      <c r="A509" s="1">
        <v>40760</v>
      </c>
      <c r="B509">
        <v>2160057.39</v>
      </c>
    </row>
    <row r="510" spans="1:2" x14ac:dyDescent="0.25">
      <c r="A510" s="1">
        <v>40767</v>
      </c>
      <c r="B510">
        <v>2105668.7400000002</v>
      </c>
    </row>
    <row r="511" spans="1:2" x14ac:dyDescent="0.25">
      <c r="A511" s="1">
        <v>40774</v>
      </c>
      <c r="B511">
        <v>2232892.1</v>
      </c>
    </row>
    <row r="512" spans="1:2" x14ac:dyDescent="0.25">
      <c r="A512" s="1">
        <v>40781</v>
      </c>
      <c r="B512">
        <v>1988490.21</v>
      </c>
    </row>
    <row r="513" spans="1:2" x14ac:dyDescent="0.25">
      <c r="A513" s="1">
        <v>40788</v>
      </c>
      <c r="B513">
        <v>2078420.31</v>
      </c>
    </row>
    <row r="514" spans="1:2" x14ac:dyDescent="0.25">
      <c r="A514" s="1">
        <v>40795</v>
      </c>
      <c r="B514">
        <v>2093139.01</v>
      </c>
    </row>
    <row r="515" spans="1:2" x14ac:dyDescent="0.25">
      <c r="A515" s="1">
        <v>40802</v>
      </c>
      <c r="B515">
        <v>2075577.33</v>
      </c>
    </row>
    <row r="516" spans="1:2" x14ac:dyDescent="0.25">
      <c r="A516" s="1">
        <v>40809</v>
      </c>
      <c r="B516">
        <v>2031406.41</v>
      </c>
    </row>
    <row r="517" spans="1:2" x14ac:dyDescent="0.25">
      <c r="A517" s="1">
        <v>40816</v>
      </c>
      <c r="B517">
        <v>1929486.63</v>
      </c>
    </row>
    <row r="518" spans="1:2" x14ac:dyDescent="0.25">
      <c r="A518" s="1">
        <v>40830</v>
      </c>
      <c r="B518">
        <v>2074548.85</v>
      </c>
    </row>
    <row r="519" spans="1:2" x14ac:dyDescent="0.25">
      <c r="A519" s="1">
        <v>40837</v>
      </c>
      <c r="B519">
        <v>2207742.13</v>
      </c>
    </row>
    <row r="520" spans="1:2" x14ac:dyDescent="0.25">
      <c r="A520" s="1">
        <v>40844</v>
      </c>
      <c r="B520">
        <v>2151659.59</v>
      </c>
    </row>
    <row r="521" spans="1:2" x14ac:dyDescent="0.25">
      <c r="A521" s="1">
        <v>40851</v>
      </c>
      <c r="B521">
        <v>2281217.31</v>
      </c>
    </row>
    <row r="522" spans="1:2" x14ac:dyDescent="0.25">
      <c r="A522" s="1">
        <v>40858</v>
      </c>
      <c r="B522">
        <v>2203028.96</v>
      </c>
    </row>
    <row r="523" spans="1:2" x14ac:dyDescent="0.25">
      <c r="A523" s="1">
        <v>40865</v>
      </c>
      <c r="B523">
        <v>2243946.59</v>
      </c>
    </row>
    <row r="524" spans="1:2" x14ac:dyDescent="0.25">
      <c r="A524" s="1">
        <v>40872</v>
      </c>
      <c r="B524">
        <v>3004702.33</v>
      </c>
    </row>
    <row r="525" spans="1:2" x14ac:dyDescent="0.25">
      <c r="A525" s="1">
        <v>40879</v>
      </c>
      <c r="B525">
        <v>2180999.2599999998</v>
      </c>
    </row>
    <row r="526" spans="1:2" x14ac:dyDescent="0.25">
      <c r="A526" s="1">
        <v>40886</v>
      </c>
      <c r="B526">
        <v>2508955.2400000002</v>
      </c>
    </row>
    <row r="527" spans="1:2" x14ac:dyDescent="0.25">
      <c r="A527" s="1">
        <v>40893</v>
      </c>
      <c r="B527">
        <v>2771397.17</v>
      </c>
    </row>
    <row r="528" spans="1:2" x14ac:dyDescent="0.25">
      <c r="A528" s="1">
        <v>40900</v>
      </c>
      <c r="B528">
        <v>3676388.98</v>
      </c>
    </row>
    <row r="529" spans="1:2" x14ac:dyDescent="0.25">
      <c r="A529" s="1">
        <v>40907</v>
      </c>
      <c r="B529">
        <v>2007105.86</v>
      </c>
    </row>
    <row r="530" spans="1:2" x14ac:dyDescent="0.25">
      <c r="A530" s="1">
        <v>40914</v>
      </c>
      <c r="B530">
        <v>2047766.07</v>
      </c>
    </row>
    <row r="531" spans="1:2" x14ac:dyDescent="0.25">
      <c r="A531" s="1">
        <v>40921</v>
      </c>
      <c r="B531">
        <v>1941676.61</v>
      </c>
    </row>
    <row r="532" spans="1:2" x14ac:dyDescent="0.25">
      <c r="A532" s="1">
        <v>40928</v>
      </c>
      <c r="B532">
        <v>2005097.76</v>
      </c>
    </row>
    <row r="533" spans="1:2" x14ac:dyDescent="0.25">
      <c r="A533" s="1">
        <v>40935</v>
      </c>
      <c r="B533">
        <v>1928720.51</v>
      </c>
    </row>
    <row r="534" spans="1:2" x14ac:dyDescent="0.25">
      <c r="A534" s="1">
        <v>40942</v>
      </c>
      <c r="B534">
        <v>2173373.91</v>
      </c>
    </row>
    <row r="535" spans="1:2" x14ac:dyDescent="0.25">
      <c r="A535" s="1">
        <v>40949</v>
      </c>
      <c r="B535">
        <v>2374660.64</v>
      </c>
    </row>
    <row r="536" spans="1:2" x14ac:dyDescent="0.25">
      <c r="A536" s="1">
        <v>40956</v>
      </c>
      <c r="B536">
        <v>2427640.17</v>
      </c>
    </row>
    <row r="537" spans="1:2" x14ac:dyDescent="0.25">
      <c r="A537" s="1">
        <v>40963</v>
      </c>
      <c r="B537">
        <v>2226662.17</v>
      </c>
    </row>
    <row r="538" spans="1:2" x14ac:dyDescent="0.25">
      <c r="A538" s="1">
        <v>40970</v>
      </c>
      <c r="B538">
        <v>2206319.9</v>
      </c>
    </row>
    <row r="539" spans="1:2" x14ac:dyDescent="0.25">
      <c r="A539" s="1">
        <v>40977</v>
      </c>
      <c r="B539">
        <v>2202450.81</v>
      </c>
    </row>
    <row r="540" spans="1:2" x14ac:dyDescent="0.25">
      <c r="A540" s="1">
        <v>40984</v>
      </c>
      <c r="B540">
        <v>2214967.44</v>
      </c>
    </row>
    <row r="541" spans="1:2" x14ac:dyDescent="0.25">
      <c r="A541" s="1">
        <v>40991</v>
      </c>
      <c r="B541">
        <v>2091592.54</v>
      </c>
    </row>
    <row r="542" spans="1:2" x14ac:dyDescent="0.25">
      <c r="A542" s="1">
        <v>40998</v>
      </c>
      <c r="B542">
        <v>2089381.77</v>
      </c>
    </row>
    <row r="543" spans="1:2" x14ac:dyDescent="0.25">
      <c r="A543" s="1">
        <v>41005</v>
      </c>
      <c r="B543">
        <v>2470206.13</v>
      </c>
    </row>
    <row r="544" spans="1:2" x14ac:dyDescent="0.25">
      <c r="A544" s="1">
        <v>41012</v>
      </c>
      <c r="B544">
        <v>2105301.39</v>
      </c>
    </row>
    <row r="545" spans="1:2" x14ac:dyDescent="0.25">
      <c r="A545" s="1">
        <v>41019</v>
      </c>
      <c r="B545">
        <v>2144336.89</v>
      </c>
    </row>
    <row r="546" spans="1:2" x14ac:dyDescent="0.25">
      <c r="A546" s="1">
        <v>41026</v>
      </c>
      <c r="B546">
        <v>2064065.66</v>
      </c>
    </row>
    <row r="547" spans="1:2" x14ac:dyDescent="0.25">
      <c r="A547" s="1">
        <v>41033</v>
      </c>
      <c r="B547">
        <v>2196968.33</v>
      </c>
    </row>
    <row r="548" spans="1:2" x14ac:dyDescent="0.25">
      <c r="A548" s="1">
        <v>41040</v>
      </c>
      <c r="B548">
        <v>2127661.17</v>
      </c>
    </row>
    <row r="549" spans="1:2" x14ac:dyDescent="0.25">
      <c r="A549" s="1">
        <v>41047</v>
      </c>
      <c r="B549">
        <v>2207214.81</v>
      </c>
    </row>
    <row r="550" spans="1:2" x14ac:dyDescent="0.25">
      <c r="A550" s="1">
        <v>41054</v>
      </c>
      <c r="B550">
        <v>2154137.67</v>
      </c>
    </row>
    <row r="551" spans="1:2" x14ac:dyDescent="0.25">
      <c r="A551" s="1">
        <v>41061</v>
      </c>
      <c r="B551">
        <v>2179360.94</v>
      </c>
    </row>
    <row r="552" spans="1:2" x14ac:dyDescent="0.25">
      <c r="A552" s="1">
        <v>41068</v>
      </c>
      <c r="B552">
        <v>2245257.1800000002</v>
      </c>
    </row>
    <row r="553" spans="1:2" x14ac:dyDescent="0.25">
      <c r="A553" s="1">
        <v>41075</v>
      </c>
      <c r="B553">
        <v>2234190.9300000002</v>
      </c>
    </row>
    <row r="554" spans="1:2" x14ac:dyDescent="0.25">
      <c r="A554" s="1">
        <v>41082</v>
      </c>
      <c r="B554">
        <v>2197299.65</v>
      </c>
    </row>
    <row r="555" spans="1:2" x14ac:dyDescent="0.25">
      <c r="A555" s="1">
        <v>41089</v>
      </c>
      <c r="B555">
        <v>2128362.92</v>
      </c>
    </row>
    <row r="556" spans="1:2" x14ac:dyDescent="0.25">
      <c r="A556" s="1">
        <v>41096</v>
      </c>
      <c r="B556">
        <v>2224499.2799999998</v>
      </c>
    </row>
    <row r="557" spans="1:2" x14ac:dyDescent="0.25">
      <c r="A557" s="1">
        <v>41103</v>
      </c>
      <c r="B557">
        <v>2100252.61</v>
      </c>
    </row>
    <row r="558" spans="1:2" x14ac:dyDescent="0.25">
      <c r="A558" s="1">
        <v>41110</v>
      </c>
      <c r="B558">
        <v>2175563.69</v>
      </c>
    </row>
    <row r="559" spans="1:2" x14ac:dyDescent="0.25">
      <c r="A559" s="1">
        <v>41117</v>
      </c>
      <c r="B559">
        <v>2048613.65</v>
      </c>
    </row>
    <row r="560" spans="1:2" x14ac:dyDescent="0.25">
      <c r="A560" s="1">
        <v>41124</v>
      </c>
      <c r="B560">
        <v>2174514.13</v>
      </c>
    </row>
    <row r="561" spans="1:2" x14ac:dyDescent="0.25">
      <c r="A561" s="1">
        <v>41131</v>
      </c>
      <c r="B561">
        <v>2193367.69</v>
      </c>
    </row>
    <row r="562" spans="1:2" x14ac:dyDescent="0.25">
      <c r="A562" s="1">
        <v>41138</v>
      </c>
      <c r="B562">
        <v>2283540.2999999998</v>
      </c>
    </row>
    <row r="563" spans="1:2" x14ac:dyDescent="0.25">
      <c r="A563" s="1">
        <v>41145</v>
      </c>
      <c r="B563">
        <v>2125241.6800000002</v>
      </c>
    </row>
    <row r="564" spans="1:2" x14ac:dyDescent="0.25">
      <c r="A564" s="1">
        <v>41152</v>
      </c>
      <c r="B564">
        <v>2081181.35</v>
      </c>
    </row>
    <row r="565" spans="1:2" x14ac:dyDescent="0.25">
      <c r="A565" s="1">
        <v>41159</v>
      </c>
      <c r="B565">
        <v>2125104.7200000002</v>
      </c>
    </row>
    <row r="566" spans="1:2" x14ac:dyDescent="0.25">
      <c r="A566" s="1">
        <v>41166</v>
      </c>
      <c r="B566">
        <v>2117854.6</v>
      </c>
    </row>
    <row r="567" spans="1:2" x14ac:dyDescent="0.25">
      <c r="A567" s="1">
        <v>41173</v>
      </c>
      <c r="B567">
        <v>2119438.5299999998</v>
      </c>
    </row>
    <row r="568" spans="1:2" x14ac:dyDescent="0.25">
      <c r="A568" s="1">
        <v>41180</v>
      </c>
      <c r="B568">
        <v>2027620.23</v>
      </c>
    </row>
    <row r="569" spans="1:2" x14ac:dyDescent="0.25">
      <c r="A569" s="1">
        <v>41187</v>
      </c>
      <c r="B569">
        <v>2209835.4300000002</v>
      </c>
    </row>
    <row r="570" spans="1:2" x14ac:dyDescent="0.25">
      <c r="A570" s="1">
        <v>41194</v>
      </c>
      <c r="B570">
        <v>2133026.0699999998</v>
      </c>
    </row>
    <row r="571" spans="1:2" x14ac:dyDescent="0.25">
      <c r="A571" s="1">
        <v>41208</v>
      </c>
      <c r="B571">
        <v>2149594.46</v>
      </c>
    </row>
    <row r="572" spans="1:2" x14ac:dyDescent="0.25">
      <c r="A572" s="1">
        <v>40214</v>
      </c>
      <c r="B572">
        <v>317173.09999999998</v>
      </c>
    </row>
    <row r="573" spans="1:2" x14ac:dyDescent="0.25">
      <c r="A573" s="1">
        <v>40221</v>
      </c>
      <c r="B573">
        <v>311825.7</v>
      </c>
    </row>
    <row r="574" spans="1:2" x14ac:dyDescent="0.25">
      <c r="A574" s="1">
        <v>40228</v>
      </c>
      <c r="B574">
        <v>303447.57</v>
      </c>
    </row>
    <row r="575" spans="1:2" x14ac:dyDescent="0.25">
      <c r="A575" s="1">
        <v>40235</v>
      </c>
      <c r="B575">
        <v>270281.63</v>
      </c>
    </row>
    <row r="576" spans="1:2" x14ac:dyDescent="0.25">
      <c r="A576" s="1">
        <v>40242</v>
      </c>
      <c r="B576">
        <v>288855.71000000002</v>
      </c>
    </row>
    <row r="577" spans="1:2" x14ac:dyDescent="0.25">
      <c r="A577" s="1">
        <v>40249</v>
      </c>
      <c r="B577">
        <v>297293.59000000003</v>
      </c>
    </row>
    <row r="578" spans="1:2" x14ac:dyDescent="0.25">
      <c r="A578" s="1">
        <v>40256</v>
      </c>
      <c r="B578">
        <v>281706.40999999997</v>
      </c>
    </row>
    <row r="579" spans="1:2" x14ac:dyDescent="0.25">
      <c r="A579" s="1">
        <v>40263</v>
      </c>
      <c r="B579">
        <v>273282.96999999997</v>
      </c>
    </row>
    <row r="580" spans="1:2" x14ac:dyDescent="0.25">
      <c r="A580" s="1">
        <v>40270</v>
      </c>
      <c r="B580">
        <v>331406</v>
      </c>
    </row>
    <row r="581" spans="1:2" x14ac:dyDescent="0.25">
      <c r="A581" s="1">
        <v>40277</v>
      </c>
      <c r="B581">
        <v>328020.49</v>
      </c>
    </row>
    <row r="582" spans="1:2" x14ac:dyDescent="0.25">
      <c r="A582" s="1">
        <v>40284</v>
      </c>
      <c r="B582">
        <v>306858.69</v>
      </c>
    </row>
    <row r="583" spans="1:2" x14ac:dyDescent="0.25">
      <c r="A583" s="1">
        <v>40291</v>
      </c>
      <c r="B583">
        <v>288839.73</v>
      </c>
    </row>
    <row r="584" spans="1:2" x14ac:dyDescent="0.25">
      <c r="A584" s="1">
        <v>40298</v>
      </c>
      <c r="B584">
        <v>298697.84000000003</v>
      </c>
    </row>
    <row r="585" spans="1:2" x14ac:dyDescent="0.25">
      <c r="A585" s="1">
        <v>40305</v>
      </c>
      <c r="B585">
        <v>333522.59999999998</v>
      </c>
    </row>
    <row r="586" spans="1:2" x14ac:dyDescent="0.25">
      <c r="A586" s="1">
        <v>40312</v>
      </c>
      <c r="B586">
        <v>296673.77</v>
      </c>
    </row>
    <row r="587" spans="1:2" x14ac:dyDescent="0.25">
      <c r="A587" s="1">
        <v>40319</v>
      </c>
      <c r="B587">
        <v>301615.49</v>
      </c>
    </row>
    <row r="588" spans="1:2" x14ac:dyDescent="0.25">
      <c r="A588" s="1">
        <v>40326</v>
      </c>
      <c r="B588">
        <v>310013.11</v>
      </c>
    </row>
    <row r="589" spans="1:2" x14ac:dyDescent="0.25">
      <c r="A589" s="1">
        <v>40333</v>
      </c>
      <c r="B589">
        <v>337825.89</v>
      </c>
    </row>
    <row r="590" spans="1:2" x14ac:dyDescent="0.25">
      <c r="A590" s="1">
        <v>40340</v>
      </c>
      <c r="B590">
        <v>296641.90999999997</v>
      </c>
    </row>
    <row r="591" spans="1:2" x14ac:dyDescent="0.25">
      <c r="A591" s="1">
        <v>40347</v>
      </c>
      <c r="B591">
        <v>313795.59999999998</v>
      </c>
    </row>
    <row r="592" spans="1:2" x14ac:dyDescent="0.25">
      <c r="A592" s="1">
        <v>40354</v>
      </c>
      <c r="B592">
        <v>295257.3</v>
      </c>
    </row>
    <row r="593" spans="1:2" x14ac:dyDescent="0.25">
      <c r="A593" s="1">
        <v>40361</v>
      </c>
      <c r="B593">
        <v>305993.27</v>
      </c>
    </row>
    <row r="594" spans="1:2" x14ac:dyDescent="0.25">
      <c r="A594" s="1">
        <v>40368</v>
      </c>
      <c r="B594">
        <v>291808.87</v>
      </c>
    </row>
    <row r="595" spans="1:2" x14ac:dyDescent="0.25">
      <c r="A595" s="1">
        <v>40375</v>
      </c>
      <c r="B595">
        <v>280701.7</v>
      </c>
    </row>
    <row r="596" spans="1:2" x14ac:dyDescent="0.25">
      <c r="A596" s="1">
        <v>40382</v>
      </c>
      <c r="B596">
        <v>274742.63</v>
      </c>
    </row>
    <row r="597" spans="1:2" x14ac:dyDescent="0.25">
      <c r="A597" s="1">
        <v>40389</v>
      </c>
      <c r="B597">
        <v>268929.03000000003</v>
      </c>
    </row>
    <row r="598" spans="1:2" x14ac:dyDescent="0.25">
      <c r="A598" s="1">
        <v>40396</v>
      </c>
      <c r="B598">
        <v>303043.02</v>
      </c>
    </row>
    <row r="599" spans="1:2" x14ac:dyDescent="0.25">
      <c r="A599" s="1">
        <v>40403</v>
      </c>
      <c r="B599">
        <v>286477.34999999998</v>
      </c>
    </row>
    <row r="600" spans="1:2" x14ac:dyDescent="0.25">
      <c r="A600" s="1">
        <v>40410</v>
      </c>
      <c r="B600">
        <v>287205.38</v>
      </c>
    </row>
    <row r="601" spans="1:2" x14ac:dyDescent="0.25">
      <c r="A601" s="1">
        <v>40417</v>
      </c>
      <c r="B601">
        <v>288519.75</v>
      </c>
    </row>
    <row r="602" spans="1:2" x14ac:dyDescent="0.25">
      <c r="A602" s="1">
        <v>40424</v>
      </c>
      <c r="B602">
        <v>323798</v>
      </c>
    </row>
    <row r="603" spans="1:2" x14ac:dyDescent="0.25">
      <c r="A603" s="1">
        <v>40431</v>
      </c>
      <c r="B603">
        <v>306533.08</v>
      </c>
    </row>
    <row r="604" spans="1:2" x14ac:dyDescent="0.25">
      <c r="A604" s="1">
        <v>40438</v>
      </c>
      <c r="B604">
        <v>282558.65000000002</v>
      </c>
    </row>
    <row r="605" spans="1:2" x14ac:dyDescent="0.25">
      <c r="A605" s="1">
        <v>40445</v>
      </c>
      <c r="B605">
        <v>293131.58</v>
      </c>
    </row>
    <row r="606" spans="1:2" x14ac:dyDescent="0.25">
      <c r="A606" s="1">
        <v>40452</v>
      </c>
      <c r="B606">
        <v>283178.12</v>
      </c>
    </row>
    <row r="607" spans="1:2" x14ac:dyDescent="0.25">
      <c r="A607" s="1">
        <v>40459</v>
      </c>
      <c r="B607">
        <v>290494.84999999998</v>
      </c>
    </row>
    <row r="608" spans="1:2" x14ac:dyDescent="0.25">
      <c r="A608" s="1">
        <v>40466</v>
      </c>
      <c r="B608">
        <v>280681.2</v>
      </c>
    </row>
    <row r="609" spans="1:2" x14ac:dyDescent="0.25">
      <c r="A609" s="1">
        <v>40473</v>
      </c>
      <c r="B609">
        <v>284988.27</v>
      </c>
    </row>
    <row r="610" spans="1:2" x14ac:dyDescent="0.25">
      <c r="A610" s="1">
        <v>40480</v>
      </c>
      <c r="B610">
        <v>278031.81</v>
      </c>
    </row>
    <row r="611" spans="1:2" x14ac:dyDescent="0.25">
      <c r="A611" s="1">
        <v>40487</v>
      </c>
      <c r="B611">
        <v>325310.3</v>
      </c>
    </row>
    <row r="612" spans="1:2" x14ac:dyDescent="0.25">
      <c r="A612" s="1">
        <v>40494</v>
      </c>
      <c r="B612">
        <v>301827.36</v>
      </c>
    </row>
    <row r="613" spans="1:2" x14ac:dyDescent="0.25">
      <c r="A613" s="1">
        <v>40501</v>
      </c>
      <c r="B613">
        <v>297384.81</v>
      </c>
    </row>
    <row r="614" spans="1:2" x14ac:dyDescent="0.25">
      <c r="A614" s="1">
        <v>40508</v>
      </c>
      <c r="B614">
        <v>488362.61</v>
      </c>
    </row>
    <row r="615" spans="1:2" x14ac:dyDescent="0.25">
      <c r="A615" s="1">
        <v>40515</v>
      </c>
      <c r="B615">
        <v>344490.88</v>
      </c>
    </row>
    <row r="616" spans="1:2" x14ac:dyDescent="0.25">
      <c r="A616" s="1">
        <v>40522</v>
      </c>
      <c r="B616">
        <v>352811.53</v>
      </c>
    </row>
    <row r="617" spans="1:2" x14ac:dyDescent="0.25">
      <c r="A617" s="1">
        <v>40529</v>
      </c>
      <c r="B617">
        <v>367801.19</v>
      </c>
    </row>
    <row r="618" spans="1:2" x14ac:dyDescent="0.25">
      <c r="A618" s="1">
        <v>40536</v>
      </c>
      <c r="B618">
        <v>466010.25</v>
      </c>
    </row>
    <row r="619" spans="1:2" x14ac:dyDescent="0.25">
      <c r="A619" s="1">
        <v>40543</v>
      </c>
      <c r="B619">
        <v>298180.18</v>
      </c>
    </row>
    <row r="620" spans="1:2" x14ac:dyDescent="0.25">
      <c r="A620" s="1">
        <v>40550</v>
      </c>
      <c r="B620">
        <v>286347.26</v>
      </c>
    </row>
    <row r="621" spans="1:2" x14ac:dyDescent="0.25">
      <c r="A621" s="1">
        <v>40557</v>
      </c>
      <c r="B621">
        <v>260636.71</v>
      </c>
    </row>
    <row r="622" spans="1:2" x14ac:dyDescent="0.25">
      <c r="A622" s="1">
        <v>40564</v>
      </c>
      <c r="B622">
        <v>275313.34000000003</v>
      </c>
    </row>
    <row r="623" spans="1:2" x14ac:dyDescent="0.25">
      <c r="A623" s="1">
        <v>40571</v>
      </c>
      <c r="B623">
        <v>279088.39</v>
      </c>
    </row>
    <row r="624" spans="1:2" x14ac:dyDescent="0.25">
      <c r="A624" s="1">
        <v>40578</v>
      </c>
      <c r="B624">
        <v>329613.2</v>
      </c>
    </row>
    <row r="625" spans="1:2" x14ac:dyDescent="0.25">
      <c r="A625" s="1">
        <v>40585</v>
      </c>
      <c r="B625">
        <v>311590.53999999998</v>
      </c>
    </row>
    <row r="626" spans="1:2" x14ac:dyDescent="0.25">
      <c r="A626" s="1">
        <v>40592</v>
      </c>
      <c r="B626">
        <v>356622.61</v>
      </c>
    </row>
    <row r="627" spans="1:2" x14ac:dyDescent="0.25">
      <c r="A627" s="1">
        <v>40599</v>
      </c>
      <c r="B627">
        <v>294659.5</v>
      </c>
    </row>
    <row r="628" spans="1:2" x14ac:dyDescent="0.25">
      <c r="A628" s="1">
        <v>40606</v>
      </c>
      <c r="B628">
        <v>329033.65999999997</v>
      </c>
    </row>
    <row r="629" spans="1:2" x14ac:dyDescent="0.25">
      <c r="A629" s="1">
        <v>40613</v>
      </c>
      <c r="B629">
        <v>293098.09999999998</v>
      </c>
    </row>
    <row r="630" spans="1:2" x14ac:dyDescent="0.25">
      <c r="A630" s="1">
        <v>40620</v>
      </c>
      <c r="B630">
        <v>312177.67</v>
      </c>
    </row>
    <row r="631" spans="1:2" x14ac:dyDescent="0.25">
      <c r="A631" s="1">
        <v>40627</v>
      </c>
      <c r="B631">
        <v>294732.5</v>
      </c>
    </row>
    <row r="632" spans="1:2" x14ac:dyDescent="0.25">
      <c r="A632" s="1">
        <v>40634</v>
      </c>
      <c r="B632">
        <v>314316.55</v>
      </c>
    </row>
    <row r="633" spans="1:2" x14ac:dyDescent="0.25">
      <c r="A633" s="1">
        <v>40641</v>
      </c>
      <c r="B633">
        <v>307333.62</v>
      </c>
    </row>
    <row r="634" spans="1:2" x14ac:dyDescent="0.25">
      <c r="A634" s="1">
        <v>40648</v>
      </c>
      <c r="B634">
        <v>307913.58</v>
      </c>
    </row>
    <row r="635" spans="1:2" x14ac:dyDescent="0.25">
      <c r="A635" s="1">
        <v>40655</v>
      </c>
      <c r="B635">
        <v>328415.44</v>
      </c>
    </row>
    <row r="636" spans="1:2" x14ac:dyDescent="0.25">
      <c r="A636" s="1">
        <v>40662</v>
      </c>
      <c r="B636">
        <v>307291.56</v>
      </c>
    </row>
    <row r="637" spans="1:2" x14ac:dyDescent="0.25">
      <c r="A637" s="1">
        <v>40669</v>
      </c>
      <c r="B637">
        <v>322904.68</v>
      </c>
    </row>
    <row r="638" spans="1:2" x14ac:dyDescent="0.25">
      <c r="A638" s="1">
        <v>40676</v>
      </c>
      <c r="B638">
        <v>290930.01</v>
      </c>
    </row>
    <row r="639" spans="1:2" x14ac:dyDescent="0.25">
      <c r="A639" s="1">
        <v>40683</v>
      </c>
      <c r="B639">
        <v>299614.33</v>
      </c>
    </row>
    <row r="640" spans="1:2" x14ac:dyDescent="0.25">
      <c r="A640" s="1">
        <v>40690</v>
      </c>
      <c r="B640">
        <v>297149.69</v>
      </c>
    </row>
    <row r="641" spans="1:2" x14ac:dyDescent="0.25">
      <c r="A641" s="1">
        <v>40697</v>
      </c>
      <c r="B641">
        <v>329183.92</v>
      </c>
    </row>
    <row r="642" spans="1:2" x14ac:dyDescent="0.25">
      <c r="A642" s="1">
        <v>40704</v>
      </c>
      <c r="B642">
        <v>304984.14</v>
      </c>
    </row>
    <row r="643" spans="1:2" x14ac:dyDescent="0.25">
      <c r="A643" s="1">
        <v>40711</v>
      </c>
      <c r="B643">
        <v>304811.82</v>
      </c>
    </row>
    <row r="644" spans="1:2" x14ac:dyDescent="0.25">
      <c r="A644" s="1">
        <v>40718</v>
      </c>
      <c r="B644">
        <v>302881.64</v>
      </c>
    </row>
    <row r="645" spans="1:2" x14ac:dyDescent="0.25">
      <c r="A645" s="1">
        <v>40725</v>
      </c>
      <c r="B645">
        <v>327093.89</v>
      </c>
    </row>
    <row r="646" spans="1:2" x14ac:dyDescent="0.25">
      <c r="A646" s="1">
        <v>40732</v>
      </c>
      <c r="B646">
        <v>310804.93</v>
      </c>
    </row>
    <row r="647" spans="1:2" x14ac:dyDescent="0.25">
      <c r="A647" s="1">
        <v>40739</v>
      </c>
      <c r="B647">
        <v>283248.62</v>
      </c>
    </row>
    <row r="648" spans="1:2" x14ac:dyDescent="0.25">
      <c r="A648" s="1">
        <v>40746</v>
      </c>
      <c r="B648">
        <v>292539.73</v>
      </c>
    </row>
    <row r="649" spans="1:2" x14ac:dyDescent="0.25">
      <c r="A649" s="1">
        <v>40753</v>
      </c>
      <c r="B649">
        <v>275142.17</v>
      </c>
    </row>
    <row r="650" spans="1:2" x14ac:dyDescent="0.25">
      <c r="A650" s="1">
        <v>40760</v>
      </c>
      <c r="B650">
        <v>317738.56</v>
      </c>
    </row>
    <row r="651" spans="1:2" x14ac:dyDescent="0.25">
      <c r="A651" s="1">
        <v>40767</v>
      </c>
      <c r="B651">
        <v>289886.15999999997</v>
      </c>
    </row>
    <row r="652" spans="1:2" x14ac:dyDescent="0.25">
      <c r="A652" s="1">
        <v>40774</v>
      </c>
      <c r="B652">
        <v>303643.84000000003</v>
      </c>
    </row>
    <row r="653" spans="1:2" x14ac:dyDescent="0.25">
      <c r="A653" s="1">
        <v>40781</v>
      </c>
      <c r="B653">
        <v>310338.17</v>
      </c>
    </row>
    <row r="654" spans="1:2" x14ac:dyDescent="0.25">
      <c r="A654" s="1">
        <v>40788</v>
      </c>
      <c r="B654">
        <v>315645.53000000003</v>
      </c>
    </row>
    <row r="655" spans="1:2" x14ac:dyDescent="0.25">
      <c r="A655" s="1">
        <v>40795</v>
      </c>
      <c r="B655">
        <v>321110.21999999997</v>
      </c>
    </row>
    <row r="656" spans="1:2" x14ac:dyDescent="0.25">
      <c r="A656" s="1">
        <v>40802</v>
      </c>
      <c r="B656">
        <v>278529.71000000002</v>
      </c>
    </row>
    <row r="657" spans="1:2" x14ac:dyDescent="0.25">
      <c r="A657" s="1">
        <v>40809</v>
      </c>
      <c r="B657">
        <v>291024.98</v>
      </c>
    </row>
    <row r="658" spans="1:2" x14ac:dyDescent="0.25">
      <c r="A658" s="1">
        <v>40816</v>
      </c>
      <c r="B658">
        <v>292315.38</v>
      </c>
    </row>
    <row r="659" spans="1:2" x14ac:dyDescent="0.25">
      <c r="A659" s="1">
        <v>40823</v>
      </c>
      <c r="B659">
        <v>309111.46999999997</v>
      </c>
    </row>
    <row r="660" spans="1:2" x14ac:dyDescent="0.25">
      <c r="A660" s="1">
        <v>40830</v>
      </c>
      <c r="B660">
        <v>286117.71999999997</v>
      </c>
    </row>
    <row r="661" spans="1:2" x14ac:dyDescent="0.25">
      <c r="A661" s="1">
        <v>40837</v>
      </c>
      <c r="B661">
        <v>306069.18</v>
      </c>
    </row>
    <row r="662" spans="1:2" x14ac:dyDescent="0.25">
      <c r="A662" s="1">
        <v>40844</v>
      </c>
      <c r="B662">
        <v>307035.11</v>
      </c>
    </row>
    <row r="663" spans="1:2" x14ac:dyDescent="0.25">
      <c r="A663" s="1">
        <v>40851</v>
      </c>
      <c r="B663">
        <v>353652.23</v>
      </c>
    </row>
    <row r="664" spans="1:2" x14ac:dyDescent="0.25">
      <c r="A664" s="1">
        <v>40858</v>
      </c>
      <c r="B664">
        <v>311906.7</v>
      </c>
    </row>
    <row r="665" spans="1:2" x14ac:dyDescent="0.25">
      <c r="A665" s="1">
        <v>40865</v>
      </c>
      <c r="B665">
        <v>307944.37</v>
      </c>
    </row>
    <row r="666" spans="1:2" x14ac:dyDescent="0.25">
      <c r="A666" s="1">
        <v>40872</v>
      </c>
      <c r="B666">
        <v>507900.07</v>
      </c>
    </row>
    <row r="667" spans="1:2" x14ac:dyDescent="0.25">
      <c r="A667" s="1">
        <v>40879</v>
      </c>
      <c r="B667">
        <v>376225.61</v>
      </c>
    </row>
    <row r="668" spans="1:2" x14ac:dyDescent="0.25">
      <c r="A668" s="1">
        <v>40886</v>
      </c>
      <c r="B668">
        <v>367433.77</v>
      </c>
    </row>
    <row r="669" spans="1:2" x14ac:dyDescent="0.25">
      <c r="A669" s="1">
        <v>40893</v>
      </c>
      <c r="B669">
        <v>379530.3</v>
      </c>
    </row>
    <row r="670" spans="1:2" x14ac:dyDescent="0.25">
      <c r="A670" s="1">
        <v>40900</v>
      </c>
      <c r="B670">
        <v>458562.24</v>
      </c>
    </row>
    <row r="671" spans="1:2" x14ac:dyDescent="0.25">
      <c r="A671" s="1">
        <v>40907</v>
      </c>
      <c r="B671">
        <v>349624.88</v>
      </c>
    </row>
    <row r="672" spans="1:2" x14ac:dyDescent="0.25">
      <c r="A672" s="1">
        <v>40914</v>
      </c>
      <c r="B672">
        <v>312078.71000000002</v>
      </c>
    </row>
    <row r="673" spans="1:2" x14ac:dyDescent="0.25">
      <c r="A673" s="1">
        <v>40921</v>
      </c>
      <c r="B673">
        <v>291454.52</v>
      </c>
    </row>
    <row r="674" spans="1:2" x14ac:dyDescent="0.25">
      <c r="A674" s="1">
        <v>40928</v>
      </c>
      <c r="B674">
        <v>287523.98</v>
      </c>
    </row>
    <row r="675" spans="1:2" x14ac:dyDescent="0.25">
      <c r="A675" s="1">
        <v>40935</v>
      </c>
      <c r="B675">
        <v>295974.21999999997</v>
      </c>
    </row>
    <row r="676" spans="1:2" x14ac:dyDescent="0.25">
      <c r="A676" s="1">
        <v>40942</v>
      </c>
      <c r="B676">
        <v>333948</v>
      </c>
    </row>
    <row r="677" spans="1:2" x14ac:dyDescent="0.25">
      <c r="A677" s="1">
        <v>40949</v>
      </c>
      <c r="B677">
        <v>349239.88</v>
      </c>
    </row>
    <row r="678" spans="1:2" x14ac:dyDescent="0.25">
      <c r="A678" s="1">
        <v>40956</v>
      </c>
      <c r="B678">
        <v>356427.98</v>
      </c>
    </row>
    <row r="679" spans="1:2" x14ac:dyDescent="0.25">
      <c r="A679" s="1">
        <v>40963</v>
      </c>
      <c r="B679">
        <v>312220.46999999997</v>
      </c>
    </row>
    <row r="680" spans="1:2" x14ac:dyDescent="0.25">
      <c r="A680" s="1">
        <v>40970</v>
      </c>
      <c r="B680">
        <v>359206.21</v>
      </c>
    </row>
    <row r="681" spans="1:2" x14ac:dyDescent="0.25">
      <c r="A681" s="1">
        <v>40977</v>
      </c>
      <c r="B681">
        <v>347295.6</v>
      </c>
    </row>
    <row r="682" spans="1:2" x14ac:dyDescent="0.25">
      <c r="A682" s="1">
        <v>40991</v>
      </c>
      <c r="B682">
        <v>321299.99</v>
      </c>
    </row>
    <row r="683" spans="1:2" x14ac:dyDescent="0.25">
      <c r="A683" s="1">
        <v>40998</v>
      </c>
      <c r="B683">
        <v>331318.73</v>
      </c>
    </row>
    <row r="684" spans="1:2" x14ac:dyDescent="0.25">
      <c r="A684" s="1">
        <v>41005</v>
      </c>
      <c r="B684">
        <v>402985.7</v>
      </c>
    </row>
    <row r="685" spans="1:2" x14ac:dyDescent="0.25">
      <c r="A685" s="1">
        <v>41012</v>
      </c>
      <c r="B685">
        <v>351832.03</v>
      </c>
    </row>
    <row r="686" spans="1:2" x14ac:dyDescent="0.25">
      <c r="A686" s="1">
        <v>41019</v>
      </c>
      <c r="B686">
        <v>330063.06</v>
      </c>
    </row>
    <row r="687" spans="1:2" x14ac:dyDescent="0.25">
      <c r="A687" s="1">
        <v>41026</v>
      </c>
      <c r="B687">
        <v>324839.74</v>
      </c>
    </row>
    <row r="688" spans="1:2" x14ac:dyDescent="0.25">
      <c r="A688" s="1">
        <v>41033</v>
      </c>
      <c r="B688">
        <v>360932.69</v>
      </c>
    </row>
    <row r="689" spans="1:2" x14ac:dyDescent="0.25">
      <c r="A689" s="1">
        <v>41040</v>
      </c>
      <c r="B689">
        <v>333870.52</v>
      </c>
    </row>
    <row r="690" spans="1:2" x14ac:dyDescent="0.25">
      <c r="A690" s="1">
        <v>41047</v>
      </c>
      <c r="B690">
        <v>336189.66</v>
      </c>
    </row>
    <row r="691" spans="1:2" x14ac:dyDescent="0.25">
      <c r="A691" s="1">
        <v>41054</v>
      </c>
      <c r="B691">
        <v>341994.48</v>
      </c>
    </row>
    <row r="692" spans="1:2" x14ac:dyDescent="0.25">
      <c r="A692" s="1">
        <v>41061</v>
      </c>
      <c r="B692">
        <v>359867.8</v>
      </c>
    </row>
    <row r="693" spans="1:2" x14ac:dyDescent="0.25">
      <c r="A693" s="1">
        <v>41068</v>
      </c>
      <c r="B693">
        <v>341704.59</v>
      </c>
    </row>
    <row r="694" spans="1:2" x14ac:dyDescent="0.25">
      <c r="A694" s="1">
        <v>41075</v>
      </c>
      <c r="B694">
        <v>327383.64</v>
      </c>
    </row>
    <row r="695" spans="1:2" x14ac:dyDescent="0.25">
      <c r="A695" s="1">
        <v>41082</v>
      </c>
      <c r="B695">
        <v>325041.68</v>
      </c>
    </row>
    <row r="696" spans="1:2" x14ac:dyDescent="0.25">
      <c r="A696" s="1">
        <v>41089</v>
      </c>
      <c r="B696">
        <v>329658.09999999998</v>
      </c>
    </row>
    <row r="697" spans="1:2" x14ac:dyDescent="0.25">
      <c r="A697" s="1">
        <v>41096</v>
      </c>
      <c r="B697">
        <v>341214.43</v>
      </c>
    </row>
    <row r="698" spans="1:2" x14ac:dyDescent="0.25">
      <c r="A698" s="1">
        <v>41103</v>
      </c>
      <c r="B698">
        <v>316203.64</v>
      </c>
    </row>
    <row r="699" spans="1:2" x14ac:dyDescent="0.25">
      <c r="A699" s="1">
        <v>41110</v>
      </c>
      <c r="B699">
        <v>321205.12</v>
      </c>
    </row>
    <row r="700" spans="1:2" x14ac:dyDescent="0.25">
      <c r="A700" s="1">
        <v>41117</v>
      </c>
      <c r="B700">
        <v>306827.36</v>
      </c>
    </row>
    <row r="701" spans="1:2" x14ac:dyDescent="0.25">
      <c r="A701" s="1">
        <v>41124</v>
      </c>
      <c r="B701">
        <v>324195.17</v>
      </c>
    </row>
    <row r="702" spans="1:2" x14ac:dyDescent="0.25">
      <c r="A702" s="1">
        <v>41131</v>
      </c>
      <c r="B702">
        <v>306759.7</v>
      </c>
    </row>
    <row r="703" spans="1:2" x14ac:dyDescent="0.25">
      <c r="A703" s="1">
        <v>41138</v>
      </c>
      <c r="B703">
        <v>314014.18</v>
      </c>
    </row>
    <row r="704" spans="1:2" x14ac:dyDescent="0.25">
      <c r="A704" s="1">
        <v>41145</v>
      </c>
      <c r="B704">
        <v>320831.35999999999</v>
      </c>
    </row>
    <row r="705" spans="1:2" x14ac:dyDescent="0.25">
      <c r="A705" s="1">
        <v>41152</v>
      </c>
      <c r="B705">
        <v>344642.01</v>
      </c>
    </row>
    <row r="706" spans="1:2" x14ac:dyDescent="0.25">
      <c r="A706" s="1">
        <v>41159</v>
      </c>
      <c r="B706">
        <v>350648.91</v>
      </c>
    </row>
    <row r="707" spans="1:2" x14ac:dyDescent="0.25">
      <c r="A707" s="1">
        <v>41166</v>
      </c>
      <c r="B707">
        <v>299800.67</v>
      </c>
    </row>
    <row r="708" spans="1:2" x14ac:dyDescent="0.25">
      <c r="A708" s="1">
        <v>41173</v>
      </c>
      <c r="B708">
        <v>307306.76</v>
      </c>
    </row>
    <row r="709" spans="1:2" x14ac:dyDescent="0.25">
      <c r="A709" s="1">
        <v>41180</v>
      </c>
      <c r="B709">
        <v>310141.68</v>
      </c>
    </row>
    <row r="710" spans="1:2" x14ac:dyDescent="0.25">
      <c r="A710" s="1">
        <v>41187</v>
      </c>
      <c r="B710">
        <v>343048.29</v>
      </c>
    </row>
    <row r="711" spans="1:2" x14ac:dyDescent="0.25">
      <c r="A711" s="1">
        <v>41194</v>
      </c>
      <c r="B711">
        <v>325345.40999999997</v>
      </c>
    </row>
    <row r="712" spans="1:2" x14ac:dyDescent="0.25">
      <c r="A712" s="1">
        <v>41201</v>
      </c>
      <c r="B712">
        <v>313358.15000000002</v>
      </c>
    </row>
    <row r="713" spans="1:2" x14ac:dyDescent="0.25">
      <c r="A713" s="1">
        <v>41208</v>
      </c>
      <c r="B713">
        <v>319550.77</v>
      </c>
    </row>
    <row r="714" spans="1:2" x14ac:dyDescent="0.25">
      <c r="A714" s="1">
        <v>40214</v>
      </c>
      <c r="B714">
        <v>1652635.1</v>
      </c>
    </row>
    <row r="715" spans="1:2" x14ac:dyDescent="0.25">
      <c r="A715" s="1">
        <v>40221</v>
      </c>
      <c r="B715">
        <v>1606283.86</v>
      </c>
    </row>
    <row r="716" spans="1:2" x14ac:dyDescent="0.25">
      <c r="A716" s="1">
        <v>40228</v>
      </c>
      <c r="B716">
        <v>1567138.07</v>
      </c>
    </row>
    <row r="717" spans="1:2" x14ac:dyDescent="0.25">
      <c r="A717" s="1">
        <v>40235</v>
      </c>
      <c r="B717">
        <v>1432953.21</v>
      </c>
    </row>
    <row r="718" spans="1:2" x14ac:dyDescent="0.25">
      <c r="A718" s="1">
        <v>40242</v>
      </c>
      <c r="B718">
        <v>1601348.82</v>
      </c>
    </row>
    <row r="719" spans="1:2" x14ac:dyDescent="0.25">
      <c r="A719" s="1">
        <v>40249</v>
      </c>
      <c r="B719">
        <v>1558621.36</v>
      </c>
    </row>
    <row r="720" spans="1:2" x14ac:dyDescent="0.25">
      <c r="A720" s="1">
        <v>40256</v>
      </c>
      <c r="B720">
        <v>1693058.91</v>
      </c>
    </row>
    <row r="721" spans="1:2" x14ac:dyDescent="0.25">
      <c r="A721" s="1">
        <v>40263</v>
      </c>
      <c r="B721">
        <v>1472033.38</v>
      </c>
    </row>
    <row r="722" spans="1:2" x14ac:dyDescent="0.25">
      <c r="A722" s="1">
        <v>40270</v>
      </c>
      <c r="B722">
        <v>1770333.9</v>
      </c>
    </row>
    <row r="723" spans="1:2" x14ac:dyDescent="0.25">
      <c r="A723" s="1">
        <v>40277</v>
      </c>
      <c r="B723">
        <v>1667181.82</v>
      </c>
    </row>
    <row r="724" spans="1:2" x14ac:dyDescent="0.25">
      <c r="A724" s="1">
        <v>40284</v>
      </c>
      <c r="B724">
        <v>1519846.36</v>
      </c>
    </row>
    <row r="725" spans="1:2" x14ac:dyDescent="0.25">
      <c r="A725" s="1">
        <v>40291</v>
      </c>
      <c r="B725">
        <v>1540435.99</v>
      </c>
    </row>
    <row r="726" spans="1:2" x14ac:dyDescent="0.25">
      <c r="A726" s="1">
        <v>40298</v>
      </c>
      <c r="B726">
        <v>1498080.16</v>
      </c>
    </row>
    <row r="727" spans="1:2" x14ac:dyDescent="0.25">
      <c r="A727" s="1">
        <v>40305</v>
      </c>
      <c r="B727">
        <v>1619920.04</v>
      </c>
    </row>
    <row r="728" spans="1:2" x14ac:dyDescent="0.25">
      <c r="A728" s="1">
        <v>40312</v>
      </c>
      <c r="B728">
        <v>1524059.4</v>
      </c>
    </row>
    <row r="729" spans="1:2" x14ac:dyDescent="0.25">
      <c r="A729" s="1">
        <v>40319</v>
      </c>
      <c r="B729">
        <v>1531938.44</v>
      </c>
    </row>
    <row r="730" spans="1:2" x14ac:dyDescent="0.25">
      <c r="A730" s="1">
        <v>40326</v>
      </c>
      <c r="B730">
        <v>1644470.66</v>
      </c>
    </row>
    <row r="731" spans="1:2" x14ac:dyDescent="0.25">
      <c r="A731" s="1">
        <v>40333</v>
      </c>
      <c r="B731">
        <v>1857380.09</v>
      </c>
    </row>
    <row r="732" spans="1:2" x14ac:dyDescent="0.25">
      <c r="A732" s="1">
        <v>40340</v>
      </c>
      <c r="B732">
        <v>1685652.35</v>
      </c>
    </row>
    <row r="733" spans="1:2" x14ac:dyDescent="0.25">
      <c r="A733" s="1">
        <v>40347</v>
      </c>
      <c r="B733">
        <v>1677248.24</v>
      </c>
    </row>
    <row r="734" spans="1:2" x14ac:dyDescent="0.25">
      <c r="A734" s="1">
        <v>40354</v>
      </c>
      <c r="B734">
        <v>1640681.88</v>
      </c>
    </row>
    <row r="735" spans="1:2" x14ac:dyDescent="0.25">
      <c r="A735" s="1">
        <v>40361</v>
      </c>
      <c r="B735">
        <v>1759777.25</v>
      </c>
    </row>
    <row r="736" spans="1:2" x14ac:dyDescent="0.25">
      <c r="A736" s="1">
        <v>40368</v>
      </c>
      <c r="B736">
        <v>1690317.99</v>
      </c>
    </row>
    <row r="737" spans="1:2" x14ac:dyDescent="0.25">
      <c r="A737" s="1">
        <v>40375</v>
      </c>
      <c r="B737">
        <v>1560120.8</v>
      </c>
    </row>
    <row r="738" spans="1:2" x14ac:dyDescent="0.25">
      <c r="A738" s="1">
        <v>40382</v>
      </c>
      <c r="B738">
        <v>1585240.92</v>
      </c>
    </row>
    <row r="739" spans="1:2" x14ac:dyDescent="0.25">
      <c r="A739" s="1">
        <v>40389</v>
      </c>
      <c r="B739">
        <v>1532308.78</v>
      </c>
    </row>
    <row r="740" spans="1:2" x14ac:dyDescent="0.25">
      <c r="A740" s="1">
        <v>40396</v>
      </c>
      <c r="B740">
        <v>1633241.59</v>
      </c>
    </row>
    <row r="741" spans="1:2" x14ac:dyDescent="0.25">
      <c r="A741" s="1">
        <v>40403</v>
      </c>
      <c r="B741">
        <v>1547654.98</v>
      </c>
    </row>
    <row r="742" spans="1:2" x14ac:dyDescent="0.25">
      <c r="A742" s="1">
        <v>40410</v>
      </c>
      <c r="B742">
        <v>1539930.5</v>
      </c>
    </row>
    <row r="743" spans="1:2" x14ac:dyDescent="0.25">
      <c r="A743" s="1">
        <v>40417</v>
      </c>
      <c r="B743">
        <v>1450766.12</v>
      </c>
    </row>
    <row r="744" spans="1:2" x14ac:dyDescent="0.25">
      <c r="A744" s="1">
        <v>40424</v>
      </c>
      <c r="B744">
        <v>1510925.32</v>
      </c>
    </row>
    <row r="745" spans="1:2" x14ac:dyDescent="0.25">
      <c r="A745" s="1">
        <v>40431</v>
      </c>
      <c r="B745">
        <v>1424225.44</v>
      </c>
    </row>
    <row r="746" spans="1:2" x14ac:dyDescent="0.25">
      <c r="A746" s="1">
        <v>40438</v>
      </c>
      <c r="B746">
        <v>1308537.75</v>
      </c>
    </row>
    <row r="747" spans="1:2" x14ac:dyDescent="0.25">
      <c r="A747" s="1">
        <v>40445</v>
      </c>
      <c r="B747">
        <v>1275591.8400000001</v>
      </c>
    </row>
    <row r="748" spans="1:2" x14ac:dyDescent="0.25">
      <c r="A748" s="1">
        <v>40452</v>
      </c>
      <c r="B748">
        <v>1328468.8899999999</v>
      </c>
    </row>
    <row r="749" spans="1:2" x14ac:dyDescent="0.25">
      <c r="A749" s="1">
        <v>40459</v>
      </c>
      <c r="B749">
        <v>1360317.9</v>
      </c>
    </row>
    <row r="750" spans="1:2" x14ac:dyDescent="0.25">
      <c r="A750" s="1">
        <v>40466</v>
      </c>
      <c r="B750">
        <v>1344580.92</v>
      </c>
    </row>
    <row r="751" spans="1:2" x14ac:dyDescent="0.25">
      <c r="A751" s="1">
        <v>40473</v>
      </c>
      <c r="B751">
        <v>1332716.53</v>
      </c>
    </row>
    <row r="752" spans="1:2" x14ac:dyDescent="0.25">
      <c r="A752" s="1">
        <v>40480</v>
      </c>
      <c r="B752">
        <v>1385323.7</v>
      </c>
    </row>
    <row r="753" spans="1:2" x14ac:dyDescent="0.25">
      <c r="A753" s="1">
        <v>40487</v>
      </c>
      <c r="B753">
        <v>1505442.15</v>
      </c>
    </row>
    <row r="754" spans="1:2" x14ac:dyDescent="0.25">
      <c r="A754" s="1">
        <v>40494</v>
      </c>
      <c r="B754">
        <v>1495536.46</v>
      </c>
    </row>
    <row r="755" spans="1:2" x14ac:dyDescent="0.25">
      <c r="A755" s="1">
        <v>40501</v>
      </c>
      <c r="B755">
        <v>1518841.45</v>
      </c>
    </row>
    <row r="756" spans="1:2" x14ac:dyDescent="0.25">
      <c r="A756" s="1">
        <v>40508</v>
      </c>
      <c r="B756">
        <v>2267452.4</v>
      </c>
    </row>
    <row r="757" spans="1:2" x14ac:dyDescent="0.25">
      <c r="A757" s="1">
        <v>40515</v>
      </c>
      <c r="B757">
        <v>1677067.24</v>
      </c>
    </row>
    <row r="758" spans="1:2" x14ac:dyDescent="0.25">
      <c r="A758" s="1">
        <v>40522</v>
      </c>
      <c r="B758">
        <v>1834737.58</v>
      </c>
    </row>
    <row r="759" spans="1:2" x14ac:dyDescent="0.25">
      <c r="A759" s="1">
        <v>40529</v>
      </c>
      <c r="B759">
        <v>2090268.95</v>
      </c>
    </row>
    <row r="760" spans="1:2" x14ac:dyDescent="0.25">
      <c r="A760" s="1">
        <v>40536</v>
      </c>
      <c r="B760">
        <v>2727575.18</v>
      </c>
    </row>
    <row r="761" spans="1:2" x14ac:dyDescent="0.25">
      <c r="A761" s="1">
        <v>40543</v>
      </c>
      <c r="B761">
        <v>1464050.02</v>
      </c>
    </row>
    <row r="762" spans="1:2" x14ac:dyDescent="0.25">
      <c r="A762" s="1">
        <v>40550</v>
      </c>
      <c r="B762">
        <v>1350441.68</v>
      </c>
    </row>
    <row r="763" spans="1:2" x14ac:dyDescent="0.25">
      <c r="A763" s="1">
        <v>40557</v>
      </c>
      <c r="B763">
        <v>1306194.55</v>
      </c>
    </row>
    <row r="764" spans="1:2" x14ac:dyDescent="0.25">
      <c r="A764" s="1">
        <v>40564</v>
      </c>
      <c r="B764">
        <v>1261253.18</v>
      </c>
    </row>
    <row r="765" spans="1:2" x14ac:dyDescent="0.25">
      <c r="A765" s="1">
        <v>40571</v>
      </c>
      <c r="B765">
        <v>1287034.7</v>
      </c>
    </row>
    <row r="766" spans="1:2" x14ac:dyDescent="0.25">
      <c r="A766" s="1">
        <v>40578</v>
      </c>
      <c r="B766">
        <v>1514999.17</v>
      </c>
    </row>
    <row r="767" spans="1:2" x14ac:dyDescent="0.25">
      <c r="A767" s="1">
        <v>40585</v>
      </c>
      <c r="B767">
        <v>1486920.17</v>
      </c>
    </row>
    <row r="768" spans="1:2" x14ac:dyDescent="0.25">
      <c r="A768" s="1">
        <v>40592</v>
      </c>
      <c r="B768">
        <v>1572117.54</v>
      </c>
    </row>
    <row r="769" spans="1:2" x14ac:dyDescent="0.25">
      <c r="A769" s="1">
        <v>40599</v>
      </c>
      <c r="B769">
        <v>1422600.43</v>
      </c>
    </row>
    <row r="770" spans="1:2" x14ac:dyDescent="0.25">
      <c r="A770" s="1">
        <v>40606</v>
      </c>
      <c r="B770">
        <v>1502617.99</v>
      </c>
    </row>
    <row r="771" spans="1:2" x14ac:dyDescent="0.25">
      <c r="A771" s="1">
        <v>40613</v>
      </c>
      <c r="B771">
        <v>1494497.39</v>
      </c>
    </row>
    <row r="772" spans="1:2" x14ac:dyDescent="0.25">
      <c r="A772" s="1">
        <v>40620</v>
      </c>
      <c r="B772">
        <v>1685375.47</v>
      </c>
    </row>
    <row r="773" spans="1:2" x14ac:dyDescent="0.25">
      <c r="A773" s="1">
        <v>40627</v>
      </c>
      <c r="B773">
        <v>1438465.81</v>
      </c>
    </row>
    <row r="774" spans="1:2" x14ac:dyDescent="0.25">
      <c r="A774" s="1">
        <v>40634</v>
      </c>
      <c r="B774">
        <v>1459276.77</v>
      </c>
    </row>
    <row r="775" spans="1:2" x14ac:dyDescent="0.25">
      <c r="A775" s="1">
        <v>40641</v>
      </c>
      <c r="B775">
        <v>1534594</v>
      </c>
    </row>
    <row r="776" spans="1:2" x14ac:dyDescent="0.25">
      <c r="A776" s="1">
        <v>40648</v>
      </c>
      <c r="B776">
        <v>1448797.02</v>
      </c>
    </row>
    <row r="777" spans="1:2" x14ac:dyDescent="0.25">
      <c r="A777" s="1">
        <v>40655</v>
      </c>
      <c r="B777">
        <v>1639358.93</v>
      </c>
    </row>
    <row r="778" spans="1:2" x14ac:dyDescent="0.25">
      <c r="A778" s="1">
        <v>40662</v>
      </c>
      <c r="B778">
        <v>1479249.9</v>
      </c>
    </row>
    <row r="779" spans="1:2" x14ac:dyDescent="0.25">
      <c r="A779" s="1">
        <v>40669</v>
      </c>
      <c r="B779">
        <v>1504651.57</v>
      </c>
    </row>
    <row r="780" spans="1:2" x14ac:dyDescent="0.25">
      <c r="A780" s="1">
        <v>40676</v>
      </c>
      <c r="B780">
        <v>1453185.65</v>
      </c>
    </row>
    <row r="781" spans="1:2" x14ac:dyDescent="0.25">
      <c r="A781" s="1">
        <v>40683</v>
      </c>
      <c r="B781">
        <v>1382783.83</v>
      </c>
    </row>
    <row r="782" spans="1:2" x14ac:dyDescent="0.25">
      <c r="A782" s="1">
        <v>40690</v>
      </c>
      <c r="B782">
        <v>1523979.11</v>
      </c>
    </row>
    <row r="783" spans="1:2" x14ac:dyDescent="0.25">
      <c r="A783" s="1">
        <v>40697</v>
      </c>
      <c r="B783">
        <v>1705506.29</v>
      </c>
    </row>
    <row r="784" spans="1:2" x14ac:dyDescent="0.25">
      <c r="A784" s="1">
        <v>40704</v>
      </c>
      <c r="B784">
        <v>1598643.65</v>
      </c>
    </row>
    <row r="785" spans="1:2" x14ac:dyDescent="0.25">
      <c r="A785" s="1">
        <v>40711</v>
      </c>
      <c r="B785">
        <v>1622150.33</v>
      </c>
    </row>
    <row r="786" spans="1:2" x14ac:dyDescent="0.25">
      <c r="A786" s="1">
        <v>40718</v>
      </c>
      <c r="B786">
        <v>1543365.9</v>
      </c>
    </row>
    <row r="787" spans="1:2" x14ac:dyDescent="0.25">
      <c r="A787" s="1">
        <v>40725</v>
      </c>
      <c r="B787">
        <v>1694551.15</v>
      </c>
    </row>
    <row r="788" spans="1:2" x14ac:dyDescent="0.25">
      <c r="A788" s="1">
        <v>40732</v>
      </c>
      <c r="B788">
        <v>1709373.62</v>
      </c>
    </row>
    <row r="789" spans="1:2" x14ac:dyDescent="0.25">
      <c r="A789" s="1">
        <v>40739</v>
      </c>
      <c r="B789">
        <v>1526801.24</v>
      </c>
    </row>
    <row r="790" spans="1:2" x14ac:dyDescent="0.25">
      <c r="A790" s="1">
        <v>40746</v>
      </c>
      <c r="B790">
        <v>1526506.08</v>
      </c>
    </row>
    <row r="791" spans="1:2" x14ac:dyDescent="0.25">
      <c r="A791" s="1">
        <v>40753</v>
      </c>
      <c r="B791">
        <v>1483991.05</v>
      </c>
    </row>
    <row r="792" spans="1:2" x14ac:dyDescent="0.25">
      <c r="A792" s="1">
        <v>40760</v>
      </c>
      <c r="B792">
        <v>1601584.57</v>
      </c>
    </row>
    <row r="793" spans="1:2" x14ac:dyDescent="0.25">
      <c r="A793" s="1">
        <v>40767</v>
      </c>
      <c r="B793">
        <v>1484995.38</v>
      </c>
    </row>
    <row r="794" spans="1:2" x14ac:dyDescent="0.25">
      <c r="A794" s="1">
        <v>40774</v>
      </c>
      <c r="B794">
        <v>1493544.04</v>
      </c>
    </row>
    <row r="795" spans="1:2" x14ac:dyDescent="0.25">
      <c r="A795" s="1">
        <v>40781</v>
      </c>
      <c r="B795">
        <v>1420405.41</v>
      </c>
    </row>
    <row r="796" spans="1:2" x14ac:dyDescent="0.25">
      <c r="A796" s="1">
        <v>40788</v>
      </c>
      <c r="B796">
        <v>1481618.74</v>
      </c>
    </row>
    <row r="797" spans="1:2" x14ac:dyDescent="0.25">
      <c r="A797" s="1">
        <v>40795</v>
      </c>
      <c r="B797">
        <v>1483574.38</v>
      </c>
    </row>
    <row r="798" spans="1:2" x14ac:dyDescent="0.25">
      <c r="A798" s="1">
        <v>40802</v>
      </c>
      <c r="B798">
        <v>1351407.79</v>
      </c>
    </row>
    <row r="799" spans="1:2" x14ac:dyDescent="0.25">
      <c r="A799" s="1">
        <v>40809</v>
      </c>
      <c r="B799">
        <v>1336044.75</v>
      </c>
    </row>
    <row r="800" spans="1:2" x14ac:dyDescent="0.25">
      <c r="A800" s="1">
        <v>40816</v>
      </c>
      <c r="B800">
        <v>1307551.92</v>
      </c>
    </row>
    <row r="801" spans="1:2" x14ac:dyDescent="0.25">
      <c r="A801" s="1">
        <v>40823</v>
      </c>
      <c r="B801">
        <v>1481739.2</v>
      </c>
    </row>
    <row r="802" spans="1:2" x14ac:dyDescent="0.25">
      <c r="A802" s="1">
        <v>40830</v>
      </c>
      <c r="B802">
        <v>1386520.99</v>
      </c>
    </row>
    <row r="803" spans="1:2" x14ac:dyDescent="0.25">
      <c r="A803" s="1">
        <v>40837</v>
      </c>
      <c r="B803">
        <v>1417922.37</v>
      </c>
    </row>
    <row r="804" spans="1:2" x14ac:dyDescent="0.25">
      <c r="A804" s="1">
        <v>40844</v>
      </c>
      <c r="B804">
        <v>1419445.12</v>
      </c>
    </row>
    <row r="805" spans="1:2" x14ac:dyDescent="0.25">
      <c r="A805" s="1">
        <v>40851</v>
      </c>
      <c r="B805">
        <v>1523420.38</v>
      </c>
    </row>
    <row r="806" spans="1:2" x14ac:dyDescent="0.25">
      <c r="A806" s="1">
        <v>40858</v>
      </c>
      <c r="B806">
        <v>1536176.54</v>
      </c>
    </row>
    <row r="807" spans="1:2" x14ac:dyDescent="0.25">
      <c r="A807" s="1">
        <v>40865</v>
      </c>
      <c r="B807">
        <v>1524390.07</v>
      </c>
    </row>
    <row r="808" spans="1:2" x14ac:dyDescent="0.25">
      <c r="A808" s="1">
        <v>40872</v>
      </c>
      <c r="B808">
        <v>2249811.5499999998</v>
      </c>
    </row>
    <row r="809" spans="1:2" x14ac:dyDescent="0.25">
      <c r="A809" s="1">
        <v>40879</v>
      </c>
      <c r="B809">
        <v>1688531.34</v>
      </c>
    </row>
    <row r="810" spans="1:2" x14ac:dyDescent="0.25">
      <c r="A810" s="1">
        <v>40886</v>
      </c>
      <c r="B810">
        <v>1903385.14</v>
      </c>
    </row>
    <row r="811" spans="1:2" x14ac:dyDescent="0.25">
      <c r="A811" s="1">
        <v>40893</v>
      </c>
      <c r="B811">
        <v>2034695.56</v>
      </c>
    </row>
    <row r="812" spans="1:2" x14ac:dyDescent="0.25">
      <c r="A812" s="1">
        <v>40900</v>
      </c>
      <c r="B812">
        <v>2644633.02</v>
      </c>
    </row>
    <row r="813" spans="1:2" x14ac:dyDescent="0.25">
      <c r="A813" s="1">
        <v>40907</v>
      </c>
      <c r="B813">
        <v>1598080.52</v>
      </c>
    </row>
    <row r="814" spans="1:2" x14ac:dyDescent="0.25">
      <c r="A814" s="1">
        <v>40914</v>
      </c>
      <c r="B814">
        <v>1395339.71</v>
      </c>
    </row>
    <row r="815" spans="1:2" x14ac:dyDescent="0.25">
      <c r="A815" s="1">
        <v>40921</v>
      </c>
      <c r="B815">
        <v>1344243.17</v>
      </c>
    </row>
    <row r="816" spans="1:2" x14ac:dyDescent="0.25">
      <c r="A816" s="1">
        <v>40928</v>
      </c>
      <c r="B816">
        <v>1326255.7</v>
      </c>
    </row>
    <row r="817" spans="1:2" x14ac:dyDescent="0.25">
      <c r="A817" s="1">
        <v>40935</v>
      </c>
      <c r="B817">
        <v>1315610.6599999999</v>
      </c>
    </row>
    <row r="818" spans="1:2" x14ac:dyDescent="0.25">
      <c r="A818" s="1">
        <v>40942</v>
      </c>
      <c r="B818">
        <v>1496305.78</v>
      </c>
    </row>
    <row r="819" spans="1:2" x14ac:dyDescent="0.25">
      <c r="A819" s="1">
        <v>40949</v>
      </c>
      <c r="B819">
        <v>1620603.92</v>
      </c>
    </row>
    <row r="820" spans="1:2" x14ac:dyDescent="0.25">
      <c r="A820" s="1">
        <v>40956</v>
      </c>
      <c r="B820">
        <v>1632616.09</v>
      </c>
    </row>
    <row r="821" spans="1:2" x14ac:dyDescent="0.25">
      <c r="A821" s="1">
        <v>40963</v>
      </c>
      <c r="B821">
        <v>1465187.71</v>
      </c>
    </row>
    <row r="822" spans="1:2" x14ac:dyDescent="0.25">
      <c r="A822" s="1">
        <v>40970</v>
      </c>
      <c r="B822">
        <v>1550385.65</v>
      </c>
    </row>
    <row r="823" spans="1:2" x14ac:dyDescent="0.25">
      <c r="A823" s="1">
        <v>40977</v>
      </c>
      <c r="B823">
        <v>1569304.4</v>
      </c>
    </row>
    <row r="824" spans="1:2" x14ac:dyDescent="0.25">
      <c r="A824" s="1">
        <v>40984</v>
      </c>
      <c r="B824">
        <v>1748010.29</v>
      </c>
    </row>
    <row r="825" spans="1:2" x14ac:dyDescent="0.25">
      <c r="A825" s="1">
        <v>40998</v>
      </c>
      <c r="B825">
        <v>1508933.26</v>
      </c>
    </row>
    <row r="826" spans="1:2" x14ac:dyDescent="0.25">
      <c r="A826" s="1">
        <v>41005</v>
      </c>
      <c r="B826">
        <v>1840131.19</v>
      </c>
    </row>
    <row r="827" spans="1:2" x14ac:dyDescent="0.25">
      <c r="A827" s="1">
        <v>41012</v>
      </c>
      <c r="B827">
        <v>1616394.45</v>
      </c>
    </row>
    <row r="828" spans="1:2" x14ac:dyDescent="0.25">
      <c r="A828" s="1">
        <v>41019</v>
      </c>
      <c r="B828">
        <v>1456073.24</v>
      </c>
    </row>
    <row r="829" spans="1:2" x14ac:dyDescent="0.25">
      <c r="A829" s="1">
        <v>41026</v>
      </c>
      <c r="B829">
        <v>1456221.1</v>
      </c>
    </row>
    <row r="830" spans="1:2" x14ac:dyDescent="0.25">
      <c r="A830" s="1">
        <v>41033</v>
      </c>
      <c r="B830">
        <v>1543461.12</v>
      </c>
    </row>
    <row r="831" spans="1:2" x14ac:dyDescent="0.25">
      <c r="A831" s="1">
        <v>41040</v>
      </c>
      <c r="B831">
        <v>1517075.67</v>
      </c>
    </row>
    <row r="832" spans="1:2" x14ac:dyDescent="0.25">
      <c r="A832" s="1">
        <v>41047</v>
      </c>
      <c r="B832">
        <v>1513635.64</v>
      </c>
    </row>
    <row r="833" spans="1:2" x14ac:dyDescent="0.25">
      <c r="A833" s="1">
        <v>41054</v>
      </c>
      <c r="B833">
        <v>1603793.42</v>
      </c>
    </row>
    <row r="834" spans="1:2" x14ac:dyDescent="0.25">
      <c r="A834" s="1">
        <v>41061</v>
      </c>
      <c r="B834">
        <v>1681121.38</v>
      </c>
    </row>
    <row r="835" spans="1:2" x14ac:dyDescent="0.25">
      <c r="A835" s="1">
        <v>41068</v>
      </c>
      <c r="B835">
        <v>1696619.52</v>
      </c>
    </row>
    <row r="836" spans="1:2" x14ac:dyDescent="0.25">
      <c r="A836" s="1">
        <v>41075</v>
      </c>
      <c r="B836">
        <v>1642247.48</v>
      </c>
    </row>
    <row r="837" spans="1:2" x14ac:dyDescent="0.25">
      <c r="A837" s="1">
        <v>41082</v>
      </c>
      <c r="B837">
        <v>1618272.25</v>
      </c>
    </row>
    <row r="838" spans="1:2" x14ac:dyDescent="0.25">
      <c r="A838" s="1">
        <v>41089</v>
      </c>
      <c r="B838">
        <v>1648863.46</v>
      </c>
    </row>
    <row r="839" spans="1:2" x14ac:dyDescent="0.25">
      <c r="A839" s="1">
        <v>41096</v>
      </c>
      <c r="B839">
        <v>1876359.39</v>
      </c>
    </row>
    <row r="840" spans="1:2" x14ac:dyDescent="0.25">
      <c r="A840" s="1">
        <v>41103</v>
      </c>
      <c r="B840">
        <v>1588142.26</v>
      </c>
    </row>
    <row r="841" spans="1:2" x14ac:dyDescent="0.25">
      <c r="A841" s="1">
        <v>41110</v>
      </c>
      <c r="B841">
        <v>1574361.97</v>
      </c>
    </row>
    <row r="842" spans="1:2" x14ac:dyDescent="0.25">
      <c r="A842" s="1">
        <v>41117</v>
      </c>
      <c r="B842">
        <v>1513229.16</v>
      </c>
    </row>
    <row r="843" spans="1:2" x14ac:dyDescent="0.25">
      <c r="A843" s="1">
        <v>41124</v>
      </c>
      <c r="B843">
        <v>1627274.93</v>
      </c>
    </row>
    <row r="844" spans="1:2" x14ac:dyDescent="0.25">
      <c r="A844" s="1">
        <v>41131</v>
      </c>
      <c r="B844">
        <v>1588380.73</v>
      </c>
    </row>
    <row r="845" spans="1:2" x14ac:dyDescent="0.25">
      <c r="A845" s="1">
        <v>41138</v>
      </c>
      <c r="B845">
        <v>1543049.52</v>
      </c>
    </row>
    <row r="846" spans="1:2" x14ac:dyDescent="0.25">
      <c r="A846" s="1">
        <v>41145</v>
      </c>
      <c r="B846">
        <v>1501095.49</v>
      </c>
    </row>
    <row r="847" spans="1:2" x14ac:dyDescent="0.25">
      <c r="A847" s="1">
        <v>41152</v>
      </c>
      <c r="B847">
        <v>1577439.81</v>
      </c>
    </row>
    <row r="848" spans="1:2" x14ac:dyDescent="0.25">
      <c r="A848" s="1">
        <v>41159</v>
      </c>
      <c r="B848">
        <v>1608077.01</v>
      </c>
    </row>
    <row r="849" spans="1:2" x14ac:dyDescent="0.25">
      <c r="A849" s="1">
        <v>41166</v>
      </c>
      <c r="B849">
        <v>1375166.86</v>
      </c>
    </row>
    <row r="850" spans="1:2" x14ac:dyDescent="0.25">
      <c r="A850" s="1">
        <v>41173</v>
      </c>
      <c r="B850">
        <v>1425603.65</v>
      </c>
    </row>
    <row r="851" spans="1:2" x14ac:dyDescent="0.25">
      <c r="A851" s="1">
        <v>41180</v>
      </c>
      <c r="B851">
        <v>1369131.46</v>
      </c>
    </row>
    <row r="852" spans="1:2" x14ac:dyDescent="0.25">
      <c r="A852" s="1">
        <v>41187</v>
      </c>
      <c r="B852">
        <v>1518177.71</v>
      </c>
    </row>
    <row r="853" spans="1:2" x14ac:dyDescent="0.25">
      <c r="A853" s="1">
        <v>41194</v>
      </c>
      <c r="B853">
        <v>1459396.84</v>
      </c>
    </row>
    <row r="854" spans="1:2" x14ac:dyDescent="0.25">
      <c r="A854" s="1">
        <v>41201</v>
      </c>
      <c r="B854">
        <v>1436883.99</v>
      </c>
    </row>
    <row r="855" spans="1:2" x14ac:dyDescent="0.25">
      <c r="A855" s="1">
        <v>41208</v>
      </c>
      <c r="B855">
        <v>1431426.34</v>
      </c>
    </row>
    <row r="856" spans="1:2" x14ac:dyDescent="0.25">
      <c r="A856" s="1">
        <v>40214</v>
      </c>
      <c r="B856">
        <v>496725.44</v>
      </c>
    </row>
    <row r="857" spans="1:2" x14ac:dyDescent="0.25">
      <c r="A857" s="1">
        <v>40221</v>
      </c>
      <c r="B857">
        <v>524104.92</v>
      </c>
    </row>
    <row r="858" spans="1:2" x14ac:dyDescent="0.25">
      <c r="A858" s="1">
        <v>40228</v>
      </c>
      <c r="B858">
        <v>506760.54</v>
      </c>
    </row>
    <row r="859" spans="1:2" x14ac:dyDescent="0.25">
      <c r="A859" s="1">
        <v>40235</v>
      </c>
      <c r="B859">
        <v>496083.24</v>
      </c>
    </row>
    <row r="860" spans="1:2" x14ac:dyDescent="0.25">
      <c r="A860" s="1">
        <v>40242</v>
      </c>
      <c r="B860">
        <v>491419.55</v>
      </c>
    </row>
    <row r="861" spans="1:2" x14ac:dyDescent="0.25">
      <c r="A861" s="1">
        <v>40249</v>
      </c>
      <c r="B861">
        <v>480452.1</v>
      </c>
    </row>
    <row r="862" spans="1:2" x14ac:dyDescent="0.25">
      <c r="A862" s="1">
        <v>40256</v>
      </c>
      <c r="B862">
        <v>574450.23</v>
      </c>
    </row>
    <row r="863" spans="1:2" x14ac:dyDescent="0.25">
      <c r="A863" s="1">
        <v>40263</v>
      </c>
      <c r="B863">
        <v>514731.6</v>
      </c>
    </row>
    <row r="864" spans="1:2" x14ac:dyDescent="0.25">
      <c r="A864" s="1">
        <v>40270</v>
      </c>
      <c r="B864">
        <v>561145.14</v>
      </c>
    </row>
    <row r="865" spans="1:2" x14ac:dyDescent="0.25">
      <c r="A865" s="1">
        <v>40277</v>
      </c>
      <c r="B865">
        <v>484263.25</v>
      </c>
    </row>
    <row r="866" spans="1:2" x14ac:dyDescent="0.25">
      <c r="A866" s="1">
        <v>40284</v>
      </c>
      <c r="B866">
        <v>406228.19</v>
      </c>
    </row>
    <row r="867" spans="1:2" x14ac:dyDescent="0.25">
      <c r="A867" s="1">
        <v>40291</v>
      </c>
      <c r="B867">
        <v>404751.25</v>
      </c>
    </row>
    <row r="868" spans="1:2" x14ac:dyDescent="0.25">
      <c r="A868" s="1">
        <v>40298</v>
      </c>
      <c r="B868">
        <v>373655.61</v>
      </c>
    </row>
    <row r="869" spans="1:2" x14ac:dyDescent="0.25">
      <c r="A869" s="1">
        <v>40305</v>
      </c>
      <c r="B869">
        <v>395453.83</v>
      </c>
    </row>
    <row r="870" spans="1:2" x14ac:dyDescent="0.25">
      <c r="A870" s="1">
        <v>40312</v>
      </c>
      <c r="B870">
        <v>372673.61</v>
      </c>
    </row>
    <row r="871" spans="1:2" x14ac:dyDescent="0.25">
      <c r="A871" s="1">
        <v>40319</v>
      </c>
      <c r="B871">
        <v>395195.65</v>
      </c>
    </row>
    <row r="872" spans="1:2" x14ac:dyDescent="0.25">
      <c r="A872" s="1">
        <v>40326</v>
      </c>
      <c r="B872">
        <v>442734.55</v>
      </c>
    </row>
    <row r="873" spans="1:2" x14ac:dyDescent="0.25">
      <c r="A873" s="1">
        <v>40333</v>
      </c>
      <c r="B873">
        <v>509183.22</v>
      </c>
    </row>
    <row r="874" spans="1:2" x14ac:dyDescent="0.25">
      <c r="A874" s="1">
        <v>40340</v>
      </c>
      <c r="B874">
        <v>498580.87</v>
      </c>
    </row>
    <row r="875" spans="1:2" x14ac:dyDescent="0.25">
      <c r="A875" s="1">
        <v>40347</v>
      </c>
      <c r="B875">
        <v>481144.09</v>
      </c>
    </row>
    <row r="876" spans="1:2" x14ac:dyDescent="0.25">
      <c r="A876" s="1">
        <v>40354</v>
      </c>
      <c r="B876">
        <v>553714.87</v>
      </c>
    </row>
    <row r="877" spans="1:2" x14ac:dyDescent="0.25">
      <c r="A877" s="1">
        <v>40361</v>
      </c>
      <c r="B877">
        <v>575570.77</v>
      </c>
    </row>
    <row r="878" spans="1:2" x14ac:dyDescent="0.25">
      <c r="A878" s="1">
        <v>40368</v>
      </c>
      <c r="B878">
        <v>593462.34</v>
      </c>
    </row>
    <row r="879" spans="1:2" x14ac:dyDescent="0.25">
      <c r="A879" s="1">
        <v>40375</v>
      </c>
      <c r="B879">
        <v>557166.35</v>
      </c>
    </row>
    <row r="880" spans="1:2" x14ac:dyDescent="0.25">
      <c r="A880" s="1">
        <v>40382</v>
      </c>
      <c r="B880">
        <v>570231.21</v>
      </c>
    </row>
    <row r="881" spans="1:2" x14ac:dyDescent="0.25">
      <c r="A881" s="1">
        <v>40389</v>
      </c>
      <c r="B881">
        <v>603547.16</v>
      </c>
    </row>
    <row r="882" spans="1:2" x14ac:dyDescent="0.25">
      <c r="A882" s="1">
        <v>40396</v>
      </c>
      <c r="B882">
        <v>643854.17000000004</v>
      </c>
    </row>
    <row r="883" spans="1:2" x14ac:dyDescent="0.25">
      <c r="A883" s="1">
        <v>40403</v>
      </c>
      <c r="B883">
        <v>598185.4</v>
      </c>
    </row>
    <row r="884" spans="1:2" x14ac:dyDescent="0.25">
      <c r="A884" s="1">
        <v>40410</v>
      </c>
      <c r="B884">
        <v>582353.17000000004</v>
      </c>
    </row>
    <row r="885" spans="1:2" x14ac:dyDescent="0.25">
      <c r="A885" s="1">
        <v>40417</v>
      </c>
      <c r="B885">
        <v>554309.24</v>
      </c>
    </row>
    <row r="886" spans="1:2" x14ac:dyDescent="0.25">
      <c r="A886" s="1">
        <v>40424</v>
      </c>
      <c r="B886">
        <v>532765.05000000005</v>
      </c>
    </row>
    <row r="887" spans="1:2" x14ac:dyDescent="0.25">
      <c r="A887" s="1">
        <v>40431</v>
      </c>
      <c r="B887">
        <v>535769.31999999995</v>
      </c>
    </row>
    <row r="888" spans="1:2" x14ac:dyDescent="0.25">
      <c r="A888" s="1">
        <v>40438</v>
      </c>
      <c r="B888">
        <v>489408.53</v>
      </c>
    </row>
    <row r="889" spans="1:2" x14ac:dyDescent="0.25">
      <c r="A889" s="1">
        <v>40445</v>
      </c>
      <c r="B889">
        <v>488008.83</v>
      </c>
    </row>
    <row r="890" spans="1:2" x14ac:dyDescent="0.25">
      <c r="A890" s="1">
        <v>40452</v>
      </c>
      <c r="B890">
        <v>448998.73</v>
      </c>
    </row>
    <row r="891" spans="1:2" x14ac:dyDescent="0.25">
      <c r="A891" s="1">
        <v>40459</v>
      </c>
      <c r="B891">
        <v>480239.88</v>
      </c>
    </row>
    <row r="892" spans="1:2" x14ac:dyDescent="0.25">
      <c r="A892" s="1">
        <v>40466</v>
      </c>
      <c r="B892">
        <v>463370.48</v>
      </c>
    </row>
    <row r="893" spans="1:2" x14ac:dyDescent="0.25">
      <c r="A893" s="1">
        <v>40473</v>
      </c>
      <c r="B893">
        <v>472450.81</v>
      </c>
    </row>
    <row r="894" spans="1:2" x14ac:dyDescent="0.25">
      <c r="A894" s="1">
        <v>40480</v>
      </c>
      <c r="B894">
        <v>465493.15</v>
      </c>
    </row>
    <row r="895" spans="1:2" x14ac:dyDescent="0.25">
      <c r="A895" s="1">
        <v>40487</v>
      </c>
      <c r="B895">
        <v>480512.44</v>
      </c>
    </row>
    <row r="896" spans="1:2" x14ac:dyDescent="0.25">
      <c r="A896" s="1">
        <v>40494</v>
      </c>
      <c r="B896">
        <v>507584.29</v>
      </c>
    </row>
    <row r="897" spans="1:2" x14ac:dyDescent="0.25">
      <c r="A897" s="1">
        <v>40501</v>
      </c>
      <c r="B897">
        <v>482528.36</v>
      </c>
    </row>
    <row r="898" spans="1:2" x14ac:dyDescent="0.25">
      <c r="A898" s="1">
        <v>40508</v>
      </c>
      <c r="B898">
        <v>835189.26</v>
      </c>
    </row>
    <row r="899" spans="1:2" x14ac:dyDescent="0.25">
      <c r="A899" s="1">
        <v>40515</v>
      </c>
      <c r="B899">
        <v>552811.62</v>
      </c>
    </row>
    <row r="900" spans="1:2" x14ac:dyDescent="0.25">
      <c r="A900" s="1">
        <v>40522</v>
      </c>
      <c r="B900">
        <v>599730.06999999995</v>
      </c>
    </row>
    <row r="901" spans="1:2" x14ac:dyDescent="0.25">
      <c r="A901" s="1">
        <v>40529</v>
      </c>
      <c r="B901">
        <v>716388.81</v>
      </c>
    </row>
    <row r="902" spans="1:2" x14ac:dyDescent="0.25">
      <c r="A902" s="1">
        <v>40536</v>
      </c>
      <c r="B902">
        <v>1045124.88</v>
      </c>
    </row>
    <row r="903" spans="1:2" x14ac:dyDescent="0.25">
      <c r="A903" s="1">
        <v>40543</v>
      </c>
      <c r="B903">
        <v>729572.08</v>
      </c>
    </row>
    <row r="904" spans="1:2" x14ac:dyDescent="0.25">
      <c r="A904" s="1">
        <v>40550</v>
      </c>
      <c r="B904">
        <v>661163.93999999994</v>
      </c>
    </row>
    <row r="905" spans="1:2" x14ac:dyDescent="0.25">
      <c r="A905" s="1">
        <v>40557</v>
      </c>
      <c r="B905">
        <v>547384.9</v>
      </c>
    </row>
    <row r="906" spans="1:2" x14ac:dyDescent="0.25">
      <c r="A906" s="1">
        <v>40564</v>
      </c>
      <c r="B906">
        <v>521539.46</v>
      </c>
    </row>
    <row r="907" spans="1:2" x14ac:dyDescent="0.25">
      <c r="A907" s="1">
        <v>40571</v>
      </c>
      <c r="B907">
        <v>513372.17</v>
      </c>
    </row>
    <row r="908" spans="1:2" x14ac:dyDescent="0.25">
      <c r="A908" s="1">
        <v>40578</v>
      </c>
      <c r="B908">
        <v>558027.77</v>
      </c>
    </row>
    <row r="909" spans="1:2" x14ac:dyDescent="0.25">
      <c r="A909" s="1">
        <v>40585</v>
      </c>
      <c r="B909">
        <v>559903.13</v>
      </c>
    </row>
    <row r="910" spans="1:2" x14ac:dyDescent="0.25">
      <c r="A910" s="1">
        <v>40592</v>
      </c>
      <c r="B910">
        <v>572387.47</v>
      </c>
    </row>
    <row r="911" spans="1:2" x14ac:dyDescent="0.25">
      <c r="A911" s="1">
        <v>40599</v>
      </c>
      <c r="B911">
        <v>546690.84</v>
      </c>
    </row>
    <row r="912" spans="1:2" x14ac:dyDescent="0.25">
      <c r="A912" s="1">
        <v>40606</v>
      </c>
      <c r="B912">
        <v>551378.39</v>
      </c>
    </row>
    <row r="913" spans="1:2" x14ac:dyDescent="0.25">
      <c r="A913" s="1">
        <v>40613</v>
      </c>
      <c r="B913">
        <v>558963.82999999996</v>
      </c>
    </row>
    <row r="914" spans="1:2" x14ac:dyDescent="0.25">
      <c r="A914" s="1">
        <v>40620</v>
      </c>
      <c r="B914">
        <v>635014.68999999994</v>
      </c>
    </row>
    <row r="915" spans="1:2" x14ac:dyDescent="0.25">
      <c r="A915" s="1">
        <v>40627</v>
      </c>
      <c r="B915">
        <v>559061.57999999996</v>
      </c>
    </row>
    <row r="916" spans="1:2" x14ac:dyDescent="0.25">
      <c r="A916" s="1">
        <v>40634</v>
      </c>
      <c r="B916">
        <v>513409.67</v>
      </c>
    </row>
    <row r="917" spans="1:2" x14ac:dyDescent="0.25">
      <c r="A917" s="1">
        <v>40641</v>
      </c>
      <c r="B917">
        <v>500552.16</v>
      </c>
    </row>
    <row r="918" spans="1:2" x14ac:dyDescent="0.25">
      <c r="A918" s="1">
        <v>40648</v>
      </c>
      <c r="B918">
        <v>423380.14</v>
      </c>
    </row>
    <row r="919" spans="1:2" x14ac:dyDescent="0.25">
      <c r="A919" s="1">
        <v>40655</v>
      </c>
      <c r="B919">
        <v>466594.89</v>
      </c>
    </row>
    <row r="920" spans="1:2" x14ac:dyDescent="0.25">
      <c r="A920" s="1">
        <v>40662</v>
      </c>
      <c r="B920">
        <v>410429.73</v>
      </c>
    </row>
    <row r="921" spans="1:2" x14ac:dyDescent="0.25">
      <c r="A921" s="1">
        <v>40669</v>
      </c>
      <c r="B921">
        <v>407012.47</v>
      </c>
    </row>
    <row r="922" spans="1:2" x14ac:dyDescent="0.25">
      <c r="A922" s="1">
        <v>40676</v>
      </c>
      <c r="B922">
        <v>414094.05</v>
      </c>
    </row>
    <row r="923" spans="1:2" x14ac:dyDescent="0.25">
      <c r="A923" s="1">
        <v>40683</v>
      </c>
      <c r="B923">
        <v>424670.98</v>
      </c>
    </row>
    <row r="924" spans="1:2" x14ac:dyDescent="0.25">
      <c r="A924" s="1">
        <v>40690</v>
      </c>
      <c r="B924">
        <v>457216.87</v>
      </c>
    </row>
    <row r="925" spans="1:2" x14ac:dyDescent="0.25">
      <c r="A925" s="1">
        <v>40697</v>
      </c>
      <c r="B925">
        <v>542295.37</v>
      </c>
    </row>
    <row r="926" spans="1:2" x14ac:dyDescent="0.25">
      <c r="A926" s="1">
        <v>40704</v>
      </c>
      <c r="B926">
        <v>621099.94999999995</v>
      </c>
    </row>
    <row r="927" spans="1:2" x14ac:dyDescent="0.25">
      <c r="A927" s="1">
        <v>40711</v>
      </c>
      <c r="B927">
        <v>610991.35</v>
      </c>
    </row>
    <row r="928" spans="1:2" x14ac:dyDescent="0.25">
      <c r="A928" s="1">
        <v>40718</v>
      </c>
      <c r="B928">
        <v>640043.97</v>
      </c>
    </row>
    <row r="929" spans="1:2" x14ac:dyDescent="0.25">
      <c r="A929" s="1">
        <v>40725</v>
      </c>
      <c r="B929">
        <v>704344.21</v>
      </c>
    </row>
    <row r="930" spans="1:2" x14ac:dyDescent="0.25">
      <c r="A930" s="1">
        <v>40732</v>
      </c>
      <c r="B930">
        <v>761793.94</v>
      </c>
    </row>
    <row r="931" spans="1:2" x14ac:dyDescent="0.25">
      <c r="A931" s="1">
        <v>40739</v>
      </c>
      <c r="B931">
        <v>642748.21</v>
      </c>
    </row>
    <row r="932" spans="1:2" x14ac:dyDescent="0.25">
      <c r="A932" s="1">
        <v>40746</v>
      </c>
      <c r="B932">
        <v>688043.96</v>
      </c>
    </row>
    <row r="933" spans="1:2" x14ac:dyDescent="0.25">
      <c r="A933" s="1">
        <v>40753</v>
      </c>
      <c r="B933">
        <v>653382.62</v>
      </c>
    </row>
    <row r="934" spans="1:2" x14ac:dyDescent="0.25">
      <c r="A934" s="1">
        <v>40760</v>
      </c>
      <c r="B934">
        <v>695392.84</v>
      </c>
    </row>
    <row r="935" spans="1:2" x14ac:dyDescent="0.25">
      <c r="A935" s="1">
        <v>40767</v>
      </c>
      <c r="B935">
        <v>670670.46</v>
      </c>
    </row>
    <row r="936" spans="1:2" x14ac:dyDescent="0.25">
      <c r="A936" s="1">
        <v>40774</v>
      </c>
      <c r="B936">
        <v>645156.21</v>
      </c>
    </row>
    <row r="937" spans="1:2" x14ac:dyDescent="0.25">
      <c r="A937" s="1">
        <v>40781</v>
      </c>
      <c r="B937">
        <v>629994.47</v>
      </c>
    </row>
    <row r="938" spans="1:2" x14ac:dyDescent="0.25">
      <c r="A938" s="1">
        <v>40788</v>
      </c>
      <c r="B938">
        <v>592355.24</v>
      </c>
    </row>
    <row r="939" spans="1:2" x14ac:dyDescent="0.25">
      <c r="A939" s="1">
        <v>40795</v>
      </c>
      <c r="B939">
        <v>613135.23</v>
      </c>
    </row>
    <row r="940" spans="1:2" x14ac:dyDescent="0.25">
      <c r="A940" s="1">
        <v>40802</v>
      </c>
      <c r="B940">
        <v>558981.44999999995</v>
      </c>
    </row>
    <row r="941" spans="1:2" x14ac:dyDescent="0.25">
      <c r="A941" s="1">
        <v>40809</v>
      </c>
      <c r="B941">
        <v>536144.81000000006</v>
      </c>
    </row>
    <row r="942" spans="1:2" x14ac:dyDescent="0.25">
      <c r="A942" s="1">
        <v>40816</v>
      </c>
      <c r="B942">
        <v>488880.26</v>
      </c>
    </row>
    <row r="943" spans="1:2" x14ac:dyDescent="0.25">
      <c r="A943" s="1">
        <v>40823</v>
      </c>
      <c r="B943">
        <v>525866.36</v>
      </c>
    </row>
    <row r="944" spans="1:2" x14ac:dyDescent="0.25">
      <c r="A944" s="1">
        <v>40830</v>
      </c>
      <c r="B944">
        <v>501959.19</v>
      </c>
    </row>
    <row r="945" spans="1:2" x14ac:dyDescent="0.25">
      <c r="A945" s="1">
        <v>40837</v>
      </c>
      <c r="B945">
        <v>558691.43000000005</v>
      </c>
    </row>
    <row r="946" spans="1:2" x14ac:dyDescent="0.25">
      <c r="A946" s="1">
        <v>40844</v>
      </c>
      <c r="B946">
        <v>527339.52000000002</v>
      </c>
    </row>
    <row r="947" spans="1:2" x14ac:dyDescent="0.25">
      <c r="A947" s="1">
        <v>40851</v>
      </c>
      <c r="B947">
        <v>564536.01</v>
      </c>
    </row>
    <row r="948" spans="1:2" x14ac:dyDescent="0.25">
      <c r="A948" s="1">
        <v>40858</v>
      </c>
      <c r="B948">
        <v>556015.59</v>
      </c>
    </row>
    <row r="949" spans="1:2" x14ac:dyDescent="0.25">
      <c r="A949" s="1">
        <v>40865</v>
      </c>
      <c r="B949">
        <v>539826.56000000006</v>
      </c>
    </row>
    <row r="950" spans="1:2" x14ac:dyDescent="0.25">
      <c r="A950" s="1">
        <v>40872</v>
      </c>
      <c r="B950">
        <v>949075.87</v>
      </c>
    </row>
    <row r="951" spans="1:2" x14ac:dyDescent="0.25">
      <c r="A951" s="1">
        <v>40879</v>
      </c>
      <c r="B951">
        <v>591907.88</v>
      </c>
    </row>
    <row r="952" spans="1:2" x14ac:dyDescent="0.25">
      <c r="A952" s="1">
        <v>40886</v>
      </c>
      <c r="B952">
        <v>653845.44999999995</v>
      </c>
    </row>
    <row r="953" spans="1:2" x14ac:dyDescent="0.25">
      <c r="A953" s="1">
        <v>40893</v>
      </c>
      <c r="B953">
        <v>720242.19</v>
      </c>
    </row>
    <row r="954" spans="1:2" x14ac:dyDescent="0.25">
      <c r="A954" s="1">
        <v>40900</v>
      </c>
      <c r="B954">
        <v>1059715.27</v>
      </c>
    </row>
    <row r="955" spans="1:2" x14ac:dyDescent="0.25">
      <c r="A955" s="1">
        <v>40907</v>
      </c>
      <c r="B955">
        <v>815915.52000000002</v>
      </c>
    </row>
    <row r="956" spans="1:2" x14ac:dyDescent="0.25">
      <c r="A956" s="1">
        <v>40914</v>
      </c>
      <c r="B956">
        <v>713117.66</v>
      </c>
    </row>
    <row r="957" spans="1:2" x14ac:dyDescent="0.25">
      <c r="A957" s="1">
        <v>40921</v>
      </c>
      <c r="B957">
        <v>593875.46</v>
      </c>
    </row>
    <row r="958" spans="1:2" x14ac:dyDescent="0.25">
      <c r="A958" s="1">
        <v>40928</v>
      </c>
      <c r="B958">
        <v>578002.85</v>
      </c>
    </row>
    <row r="959" spans="1:2" x14ac:dyDescent="0.25">
      <c r="A959" s="1">
        <v>40935</v>
      </c>
      <c r="B959">
        <v>541037.98</v>
      </c>
    </row>
    <row r="960" spans="1:2" x14ac:dyDescent="0.25">
      <c r="A960" s="1">
        <v>40942</v>
      </c>
      <c r="B960">
        <v>580453.31999999995</v>
      </c>
    </row>
    <row r="961" spans="1:2" x14ac:dyDescent="0.25">
      <c r="A961" s="1">
        <v>40949</v>
      </c>
      <c r="B961">
        <v>563460.77</v>
      </c>
    </row>
    <row r="962" spans="1:2" x14ac:dyDescent="0.25">
      <c r="A962" s="1">
        <v>40956</v>
      </c>
      <c r="B962">
        <v>620908.18000000005</v>
      </c>
    </row>
    <row r="963" spans="1:2" x14ac:dyDescent="0.25">
      <c r="A963" s="1">
        <v>40963</v>
      </c>
      <c r="B963">
        <v>603041.14</v>
      </c>
    </row>
    <row r="964" spans="1:2" x14ac:dyDescent="0.25">
      <c r="A964" s="1">
        <v>40970</v>
      </c>
      <c r="B964">
        <v>551058.13</v>
      </c>
    </row>
    <row r="965" spans="1:2" x14ac:dyDescent="0.25">
      <c r="A965" s="1">
        <v>40977</v>
      </c>
      <c r="B965">
        <v>579166.5</v>
      </c>
    </row>
    <row r="966" spans="1:2" x14ac:dyDescent="0.25">
      <c r="A966" s="1">
        <v>40984</v>
      </c>
      <c r="B966">
        <v>669205.73</v>
      </c>
    </row>
    <row r="967" spans="1:2" x14ac:dyDescent="0.25">
      <c r="A967" s="1">
        <v>40991</v>
      </c>
      <c r="B967">
        <v>615997.29</v>
      </c>
    </row>
    <row r="968" spans="1:2" x14ac:dyDescent="0.25">
      <c r="A968" s="1">
        <v>40998</v>
      </c>
      <c r="B968">
        <v>583322.19999999995</v>
      </c>
    </row>
    <row r="969" spans="1:2" x14ac:dyDescent="0.25">
      <c r="A969" s="1">
        <v>41005</v>
      </c>
      <c r="B969">
        <v>621425.98</v>
      </c>
    </row>
    <row r="970" spans="1:2" x14ac:dyDescent="0.25">
      <c r="A970" s="1">
        <v>41012</v>
      </c>
      <c r="B970">
        <v>517420.23</v>
      </c>
    </row>
    <row r="971" spans="1:2" x14ac:dyDescent="0.25">
      <c r="A971" s="1">
        <v>41019</v>
      </c>
      <c r="B971">
        <v>457340.06</v>
      </c>
    </row>
    <row r="972" spans="1:2" x14ac:dyDescent="0.25">
      <c r="A972" s="1">
        <v>41026</v>
      </c>
      <c r="B972">
        <v>467827.75</v>
      </c>
    </row>
    <row r="973" spans="1:2" x14ac:dyDescent="0.25">
      <c r="A973" s="1">
        <v>41033</v>
      </c>
      <c r="B973">
        <v>465198.89</v>
      </c>
    </row>
    <row r="974" spans="1:2" x14ac:dyDescent="0.25">
      <c r="A974" s="1">
        <v>41040</v>
      </c>
      <c r="B974">
        <v>460397.41</v>
      </c>
    </row>
    <row r="975" spans="1:2" x14ac:dyDescent="0.25">
      <c r="A975" s="1">
        <v>41047</v>
      </c>
      <c r="B975">
        <v>468428.3</v>
      </c>
    </row>
    <row r="976" spans="1:2" x14ac:dyDescent="0.25">
      <c r="A976" s="1">
        <v>41054</v>
      </c>
      <c r="B976">
        <v>532739.77</v>
      </c>
    </row>
    <row r="977" spans="1:2" x14ac:dyDescent="0.25">
      <c r="A977" s="1">
        <v>41061</v>
      </c>
      <c r="B977">
        <v>598495.02</v>
      </c>
    </row>
    <row r="978" spans="1:2" x14ac:dyDescent="0.25">
      <c r="A978" s="1">
        <v>41068</v>
      </c>
      <c r="B978">
        <v>642963.75</v>
      </c>
    </row>
    <row r="979" spans="1:2" x14ac:dyDescent="0.25">
      <c r="A979" s="1">
        <v>41075</v>
      </c>
      <c r="B979">
        <v>666942.02</v>
      </c>
    </row>
    <row r="980" spans="1:2" x14ac:dyDescent="0.25">
      <c r="A980" s="1">
        <v>41082</v>
      </c>
      <c r="B980">
        <v>687344.68</v>
      </c>
    </row>
    <row r="981" spans="1:2" x14ac:dyDescent="0.25">
      <c r="A981" s="1">
        <v>41089</v>
      </c>
      <c r="B981">
        <v>704335.41</v>
      </c>
    </row>
    <row r="982" spans="1:2" x14ac:dyDescent="0.25">
      <c r="A982" s="1">
        <v>41096</v>
      </c>
      <c r="B982">
        <v>805642.61</v>
      </c>
    </row>
    <row r="983" spans="1:2" x14ac:dyDescent="0.25">
      <c r="A983" s="1">
        <v>41103</v>
      </c>
      <c r="B983">
        <v>694150.89</v>
      </c>
    </row>
    <row r="984" spans="1:2" x14ac:dyDescent="0.25">
      <c r="A984" s="1">
        <v>41110</v>
      </c>
      <c r="B984">
        <v>686345.69</v>
      </c>
    </row>
    <row r="985" spans="1:2" x14ac:dyDescent="0.25">
      <c r="A985" s="1">
        <v>41117</v>
      </c>
      <c r="B985">
        <v>686365.4</v>
      </c>
    </row>
    <row r="986" spans="1:2" x14ac:dyDescent="0.25">
      <c r="A986" s="1">
        <v>41124</v>
      </c>
      <c r="B986">
        <v>680954.81</v>
      </c>
    </row>
    <row r="987" spans="1:2" x14ac:dyDescent="0.25">
      <c r="A987" s="1">
        <v>41131</v>
      </c>
      <c r="B987">
        <v>675926.3</v>
      </c>
    </row>
    <row r="988" spans="1:2" x14ac:dyDescent="0.25">
      <c r="A988" s="1">
        <v>41138</v>
      </c>
      <c r="B988">
        <v>642450.4</v>
      </c>
    </row>
    <row r="989" spans="1:2" x14ac:dyDescent="0.25">
      <c r="A989" s="1">
        <v>41145</v>
      </c>
      <c r="B989">
        <v>609099.37</v>
      </c>
    </row>
    <row r="990" spans="1:2" x14ac:dyDescent="0.25">
      <c r="A990" s="1">
        <v>41152</v>
      </c>
      <c r="B990">
        <v>586467.16</v>
      </c>
    </row>
    <row r="991" spans="1:2" x14ac:dyDescent="0.25">
      <c r="A991" s="1">
        <v>41159</v>
      </c>
      <c r="B991">
        <v>597876.55000000005</v>
      </c>
    </row>
    <row r="992" spans="1:2" x14ac:dyDescent="0.25">
      <c r="A992" s="1">
        <v>41166</v>
      </c>
      <c r="B992">
        <v>541120.19999999995</v>
      </c>
    </row>
    <row r="993" spans="1:2" x14ac:dyDescent="0.25">
      <c r="A993" s="1">
        <v>41173</v>
      </c>
      <c r="B993">
        <v>530842.25</v>
      </c>
    </row>
    <row r="994" spans="1:2" x14ac:dyDescent="0.25">
      <c r="A994" s="1">
        <v>41180</v>
      </c>
      <c r="B994">
        <v>525545.76</v>
      </c>
    </row>
    <row r="995" spans="1:2" x14ac:dyDescent="0.25">
      <c r="A995" s="1">
        <v>41187</v>
      </c>
      <c r="B995">
        <v>505830.56</v>
      </c>
    </row>
    <row r="996" spans="1:2" x14ac:dyDescent="0.25">
      <c r="A996" s="1">
        <v>41194</v>
      </c>
      <c r="B996">
        <v>503463.93</v>
      </c>
    </row>
    <row r="997" spans="1:2" x14ac:dyDescent="0.25">
      <c r="A997" s="1">
        <v>41201</v>
      </c>
      <c r="B997">
        <v>516424.83</v>
      </c>
    </row>
    <row r="998" spans="1:2" x14ac:dyDescent="0.25">
      <c r="A998" s="1">
        <v>41208</v>
      </c>
      <c r="B998">
        <v>495543.28</v>
      </c>
    </row>
    <row r="999" spans="1:2" x14ac:dyDescent="0.25">
      <c r="A999" s="1">
        <v>40214</v>
      </c>
      <c r="B999">
        <v>1004137.09</v>
      </c>
    </row>
    <row r="1000" spans="1:2" x14ac:dyDescent="0.25">
      <c r="A1000" s="1">
        <v>40221</v>
      </c>
      <c r="B1000">
        <v>994801.4</v>
      </c>
    </row>
    <row r="1001" spans="1:2" x14ac:dyDescent="0.25">
      <c r="A1001" s="1">
        <v>40228</v>
      </c>
      <c r="B1001">
        <v>963960.37</v>
      </c>
    </row>
    <row r="1002" spans="1:2" x14ac:dyDescent="0.25">
      <c r="A1002" s="1">
        <v>40235</v>
      </c>
      <c r="B1002">
        <v>847592.11</v>
      </c>
    </row>
    <row r="1003" spans="1:2" x14ac:dyDescent="0.25">
      <c r="A1003" s="1">
        <v>40242</v>
      </c>
      <c r="B1003">
        <v>881503.95</v>
      </c>
    </row>
    <row r="1004" spans="1:2" x14ac:dyDescent="0.25">
      <c r="A1004" s="1">
        <v>40249</v>
      </c>
      <c r="B1004">
        <v>860336.16</v>
      </c>
    </row>
    <row r="1005" spans="1:2" x14ac:dyDescent="0.25">
      <c r="A1005" s="1">
        <v>40256</v>
      </c>
      <c r="B1005">
        <v>839911</v>
      </c>
    </row>
    <row r="1006" spans="1:2" x14ac:dyDescent="0.25">
      <c r="A1006" s="1">
        <v>40263</v>
      </c>
      <c r="B1006">
        <v>772539.12</v>
      </c>
    </row>
    <row r="1007" spans="1:2" x14ac:dyDescent="0.25">
      <c r="A1007" s="1">
        <v>40270</v>
      </c>
      <c r="B1007">
        <v>914500.91</v>
      </c>
    </row>
    <row r="1008" spans="1:2" x14ac:dyDescent="0.25">
      <c r="A1008" s="1">
        <v>40277</v>
      </c>
      <c r="B1008">
        <v>916033.92</v>
      </c>
    </row>
    <row r="1009" spans="1:2" x14ac:dyDescent="0.25">
      <c r="A1009" s="1">
        <v>40284</v>
      </c>
      <c r="B1009">
        <v>882917.12</v>
      </c>
    </row>
    <row r="1010" spans="1:2" x14ac:dyDescent="0.25">
      <c r="A1010" s="1">
        <v>40291</v>
      </c>
      <c r="B1010">
        <v>850440.26</v>
      </c>
    </row>
    <row r="1011" spans="1:2" x14ac:dyDescent="0.25">
      <c r="A1011" s="1">
        <v>40298</v>
      </c>
      <c r="B1011">
        <v>778672.64000000001</v>
      </c>
    </row>
    <row r="1012" spans="1:2" x14ac:dyDescent="0.25">
      <c r="A1012" s="1">
        <v>40305</v>
      </c>
      <c r="B1012">
        <v>916820.96</v>
      </c>
    </row>
    <row r="1013" spans="1:2" x14ac:dyDescent="0.25">
      <c r="A1013" s="1">
        <v>40312</v>
      </c>
      <c r="B1013">
        <v>873337.84</v>
      </c>
    </row>
    <row r="1014" spans="1:2" x14ac:dyDescent="0.25">
      <c r="A1014" s="1">
        <v>40319</v>
      </c>
      <c r="B1014">
        <v>818333.21</v>
      </c>
    </row>
    <row r="1015" spans="1:2" x14ac:dyDescent="0.25">
      <c r="A1015" s="1">
        <v>40326</v>
      </c>
      <c r="B1015">
        <v>868041.56</v>
      </c>
    </row>
    <row r="1016" spans="1:2" x14ac:dyDescent="0.25">
      <c r="A1016" s="1">
        <v>40333</v>
      </c>
      <c r="B1016">
        <v>958225.41</v>
      </c>
    </row>
    <row r="1017" spans="1:2" x14ac:dyDescent="0.25">
      <c r="A1017" s="1">
        <v>40340</v>
      </c>
      <c r="B1017">
        <v>914835.86</v>
      </c>
    </row>
    <row r="1018" spans="1:2" x14ac:dyDescent="0.25">
      <c r="A1018" s="1">
        <v>40347</v>
      </c>
      <c r="B1018">
        <v>869922.56</v>
      </c>
    </row>
    <row r="1019" spans="1:2" x14ac:dyDescent="0.25">
      <c r="A1019" s="1">
        <v>40354</v>
      </c>
      <c r="B1019">
        <v>814919.11</v>
      </c>
    </row>
    <row r="1020" spans="1:2" x14ac:dyDescent="0.25">
      <c r="A1020" s="1">
        <v>40361</v>
      </c>
      <c r="B1020">
        <v>852333.75</v>
      </c>
    </row>
    <row r="1021" spans="1:2" x14ac:dyDescent="0.25">
      <c r="A1021" s="1">
        <v>40368</v>
      </c>
      <c r="B1021">
        <v>845289.77</v>
      </c>
    </row>
    <row r="1022" spans="1:2" x14ac:dyDescent="0.25">
      <c r="A1022" s="1">
        <v>40375</v>
      </c>
      <c r="B1022">
        <v>848630.57</v>
      </c>
    </row>
    <row r="1023" spans="1:2" x14ac:dyDescent="0.25">
      <c r="A1023" s="1">
        <v>40382</v>
      </c>
      <c r="B1023">
        <v>785515.88</v>
      </c>
    </row>
    <row r="1024" spans="1:2" x14ac:dyDescent="0.25">
      <c r="A1024" s="1">
        <v>40389</v>
      </c>
      <c r="B1024">
        <v>787295.09</v>
      </c>
    </row>
    <row r="1025" spans="1:2" x14ac:dyDescent="0.25">
      <c r="A1025" s="1">
        <v>40396</v>
      </c>
      <c r="B1025">
        <v>893399.77</v>
      </c>
    </row>
    <row r="1026" spans="1:2" x14ac:dyDescent="0.25">
      <c r="A1026" s="1">
        <v>40403</v>
      </c>
      <c r="B1026">
        <v>867919.21</v>
      </c>
    </row>
    <row r="1027" spans="1:2" x14ac:dyDescent="0.25">
      <c r="A1027" s="1">
        <v>40410</v>
      </c>
      <c r="B1027">
        <v>870676.44</v>
      </c>
    </row>
    <row r="1028" spans="1:2" x14ac:dyDescent="0.25">
      <c r="A1028" s="1">
        <v>40417</v>
      </c>
      <c r="B1028">
        <v>888816.78</v>
      </c>
    </row>
    <row r="1029" spans="1:2" x14ac:dyDescent="0.25">
      <c r="A1029" s="1">
        <v>40424</v>
      </c>
      <c r="B1029">
        <v>899036.47</v>
      </c>
    </row>
    <row r="1030" spans="1:2" x14ac:dyDescent="0.25">
      <c r="A1030" s="1">
        <v>40431</v>
      </c>
      <c r="B1030">
        <v>831425.2</v>
      </c>
    </row>
    <row r="1031" spans="1:2" x14ac:dyDescent="0.25">
      <c r="A1031" s="1">
        <v>40438</v>
      </c>
      <c r="B1031">
        <v>836707.85</v>
      </c>
    </row>
    <row r="1032" spans="1:2" x14ac:dyDescent="0.25">
      <c r="A1032" s="1">
        <v>40445</v>
      </c>
      <c r="B1032">
        <v>773725.08</v>
      </c>
    </row>
    <row r="1033" spans="1:2" x14ac:dyDescent="0.25">
      <c r="A1033" s="1">
        <v>40452</v>
      </c>
      <c r="B1033">
        <v>804105.49</v>
      </c>
    </row>
    <row r="1034" spans="1:2" x14ac:dyDescent="0.25">
      <c r="A1034" s="1">
        <v>40459</v>
      </c>
      <c r="B1034">
        <v>870349.86</v>
      </c>
    </row>
    <row r="1035" spans="1:2" x14ac:dyDescent="0.25">
      <c r="A1035" s="1">
        <v>40466</v>
      </c>
      <c r="B1035">
        <v>826546.96</v>
      </c>
    </row>
    <row r="1036" spans="1:2" x14ac:dyDescent="0.25">
      <c r="A1036" s="1">
        <v>40473</v>
      </c>
      <c r="B1036">
        <v>836419.14</v>
      </c>
    </row>
    <row r="1037" spans="1:2" x14ac:dyDescent="0.25">
      <c r="A1037" s="1">
        <v>40480</v>
      </c>
      <c r="B1037">
        <v>830756.76</v>
      </c>
    </row>
    <row r="1038" spans="1:2" x14ac:dyDescent="0.25">
      <c r="A1038" s="1">
        <v>40487</v>
      </c>
      <c r="B1038">
        <v>927266.34</v>
      </c>
    </row>
    <row r="1039" spans="1:2" x14ac:dyDescent="0.25">
      <c r="A1039" s="1">
        <v>40494</v>
      </c>
      <c r="B1039">
        <v>911538.98</v>
      </c>
    </row>
    <row r="1040" spans="1:2" x14ac:dyDescent="0.25">
      <c r="A1040" s="1">
        <v>40501</v>
      </c>
      <c r="B1040">
        <v>885608.04</v>
      </c>
    </row>
    <row r="1041" spans="1:2" x14ac:dyDescent="0.25">
      <c r="A1041" s="1">
        <v>40508</v>
      </c>
      <c r="B1041">
        <v>1261693.1599999999</v>
      </c>
    </row>
    <row r="1042" spans="1:2" x14ac:dyDescent="0.25">
      <c r="A1042" s="1">
        <v>40515</v>
      </c>
      <c r="B1042">
        <v>952766.93</v>
      </c>
    </row>
    <row r="1043" spans="1:2" x14ac:dyDescent="0.25">
      <c r="A1043" s="1">
        <v>40522</v>
      </c>
      <c r="B1043">
        <v>1069061.6299999999</v>
      </c>
    </row>
    <row r="1044" spans="1:2" x14ac:dyDescent="0.25">
      <c r="A1044" s="1">
        <v>40529</v>
      </c>
      <c r="B1044">
        <v>1220579.55</v>
      </c>
    </row>
    <row r="1045" spans="1:2" x14ac:dyDescent="0.25">
      <c r="A1045" s="1">
        <v>40536</v>
      </c>
      <c r="B1045">
        <v>1511641.09</v>
      </c>
    </row>
    <row r="1046" spans="1:2" x14ac:dyDescent="0.25">
      <c r="A1046" s="1">
        <v>40543</v>
      </c>
      <c r="B1046">
        <v>773586.49</v>
      </c>
    </row>
    <row r="1047" spans="1:2" x14ac:dyDescent="0.25">
      <c r="A1047" s="1">
        <v>40550</v>
      </c>
      <c r="B1047">
        <v>873065.23</v>
      </c>
    </row>
    <row r="1048" spans="1:2" x14ac:dyDescent="0.25">
      <c r="A1048" s="1">
        <v>40557</v>
      </c>
      <c r="B1048">
        <v>809646.66</v>
      </c>
    </row>
    <row r="1049" spans="1:2" x14ac:dyDescent="0.25">
      <c r="A1049" s="1">
        <v>40564</v>
      </c>
      <c r="B1049">
        <v>822668.23</v>
      </c>
    </row>
    <row r="1050" spans="1:2" x14ac:dyDescent="0.25">
      <c r="A1050" s="1">
        <v>40571</v>
      </c>
      <c r="B1050">
        <v>782256.66</v>
      </c>
    </row>
    <row r="1051" spans="1:2" x14ac:dyDescent="0.25">
      <c r="A1051" s="1">
        <v>40578</v>
      </c>
      <c r="B1051">
        <v>944594.78</v>
      </c>
    </row>
    <row r="1052" spans="1:2" x14ac:dyDescent="0.25">
      <c r="A1052" s="1">
        <v>40585</v>
      </c>
      <c r="B1052">
        <v>996147.39</v>
      </c>
    </row>
    <row r="1053" spans="1:2" x14ac:dyDescent="0.25">
      <c r="A1053" s="1">
        <v>40592</v>
      </c>
      <c r="B1053">
        <v>1065108.6399999999</v>
      </c>
    </row>
    <row r="1054" spans="1:2" x14ac:dyDescent="0.25">
      <c r="A1054" s="1">
        <v>40599</v>
      </c>
      <c r="B1054">
        <v>917317.15</v>
      </c>
    </row>
    <row r="1055" spans="1:2" x14ac:dyDescent="0.25">
      <c r="A1055" s="1">
        <v>40606</v>
      </c>
      <c r="B1055">
        <v>935266.43</v>
      </c>
    </row>
    <row r="1056" spans="1:2" x14ac:dyDescent="0.25">
      <c r="A1056" s="1">
        <v>40613</v>
      </c>
      <c r="B1056">
        <v>900387.29</v>
      </c>
    </row>
    <row r="1057" spans="1:2" x14ac:dyDescent="0.25">
      <c r="A1057" s="1">
        <v>40620</v>
      </c>
      <c r="B1057">
        <v>898289.14</v>
      </c>
    </row>
    <row r="1058" spans="1:2" x14ac:dyDescent="0.25">
      <c r="A1058" s="1">
        <v>40627</v>
      </c>
      <c r="B1058">
        <v>827968.36</v>
      </c>
    </row>
    <row r="1059" spans="1:2" x14ac:dyDescent="0.25">
      <c r="A1059" s="1">
        <v>40634</v>
      </c>
      <c r="B1059">
        <v>878762.3</v>
      </c>
    </row>
    <row r="1060" spans="1:2" x14ac:dyDescent="0.25">
      <c r="A1060" s="1">
        <v>40641</v>
      </c>
      <c r="B1060">
        <v>949825.83</v>
      </c>
    </row>
    <row r="1061" spans="1:2" x14ac:dyDescent="0.25">
      <c r="A1061" s="1">
        <v>40648</v>
      </c>
      <c r="B1061">
        <v>908278.74</v>
      </c>
    </row>
    <row r="1062" spans="1:2" x14ac:dyDescent="0.25">
      <c r="A1062" s="1">
        <v>40655</v>
      </c>
      <c r="B1062">
        <v>937473.13</v>
      </c>
    </row>
    <row r="1063" spans="1:2" x14ac:dyDescent="0.25">
      <c r="A1063" s="1">
        <v>40662</v>
      </c>
      <c r="B1063">
        <v>855014.77</v>
      </c>
    </row>
    <row r="1064" spans="1:2" x14ac:dyDescent="0.25">
      <c r="A1064" s="1">
        <v>40669</v>
      </c>
      <c r="B1064">
        <v>941457.34</v>
      </c>
    </row>
    <row r="1065" spans="1:2" x14ac:dyDescent="0.25">
      <c r="A1065" s="1">
        <v>40676</v>
      </c>
      <c r="B1065">
        <v>895763.41</v>
      </c>
    </row>
    <row r="1066" spans="1:2" x14ac:dyDescent="0.25">
      <c r="A1066" s="1">
        <v>40683</v>
      </c>
      <c r="B1066">
        <v>836049.89</v>
      </c>
    </row>
    <row r="1067" spans="1:2" x14ac:dyDescent="0.25">
      <c r="A1067" s="1">
        <v>40690</v>
      </c>
      <c r="B1067">
        <v>857939.41</v>
      </c>
    </row>
    <row r="1068" spans="1:2" x14ac:dyDescent="0.25">
      <c r="A1068" s="1">
        <v>40697</v>
      </c>
      <c r="B1068">
        <v>929222.16</v>
      </c>
    </row>
    <row r="1069" spans="1:2" x14ac:dyDescent="0.25">
      <c r="A1069" s="1">
        <v>40704</v>
      </c>
      <c r="B1069">
        <v>897309.41</v>
      </c>
    </row>
    <row r="1070" spans="1:2" x14ac:dyDescent="0.25">
      <c r="A1070" s="1">
        <v>40711</v>
      </c>
      <c r="B1070">
        <v>922048.41</v>
      </c>
    </row>
    <row r="1071" spans="1:2" x14ac:dyDescent="0.25">
      <c r="A1071" s="1">
        <v>40718</v>
      </c>
      <c r="B1071">
        <v>864881.24</v>
      </c>
    </row>
    <row r="1072" spans="1:2" x14ac:dyDescent="0.25">
      <c r="A1072" s="1">
        <v>40725</v>
      </c>
      <c r="B1072">
        <v>883683.35</v>
      </c>
    </row>
    <row r="1073" spans="1:2" x14ac:dyDescent="0.25">
      <c r="A1073" s="1">
        <v>40732</v>
      </c>
      <c r="B1073">
        <v>861965.12</v>
      </c>
    </row>
    <row r="1074" spans="1:2" x14ac:dyDescent="0.25">
      <c r="A1074" s="1">
        <v>40739</v>
      </c>
      <c r="B1074">
        <v>849925.37</v>
      </c>
    </row>
    <row r="1075" spans="1:2" x14ac:dyDescent="0.25">
      <c r="A1075" s="1">
        <v>40746</v>
      </c>
      <c r="B1075">
        <v>829902.42</v>
      </c>
    </row>
    <row r="1076" spans="1:2" x14ac:dyDescent="0.25">
      <c r="A1076" s="1">
        <v>40753</v>
      </c>
      <c r="B1076">
        <v>807082.19</v>
      </c>
    </row>
    <row r="1077" spans="1:2" x14ac:dyDescent="0.25">
      <c r="A1077" s="1">
        <v>40760</v>
      </c>
      <c r="B1077">
        <v>892393.77</v>
      </c>
    </row>
    <row r="1078" spans="1:2" x14ac:dyDescent="0.25">
      <c r="A1078" s="1">
        <v>40767</v>
      </c>
      <c r="B1078">
        <v>856796.1</v>
      </c>
    </row>
    <row r="1079" spans="1:2" x14ac:dyDescent="0.25">
      <c r="A1079" s="1">
        <v>40774</v>
      </c>
      <c r="B1079">
        <v>895066.5</v>
      </c>
    </row>
    <row r="1080" spans="1:2" x14ac:dyDescent="0.25">
      <c r="A1080" s="1">
        <v>40781</v>
      </c>
      <c r="B1080">
        <v>912542.82</v>
      </c>
    </row>
    <row r="1081" spans="1:2" x14ac:dyDescent="0.25">
      <c r="A1081" s="1">
        <v>40788</v>
      </c>
      <c r="B1081">
        <v>891387.14</v>
      </c>
    </row>
    <row r="1082" spans="1:2" x14ac:dyDescent="0.25">
      <c r="A1082" s="1">
        <v>40795</v>
      </c>
      <c r="B1082">
        <v>848358.09</v>
      </c>
    </row>
    <row r="1083" spans="1:2" x14ac:dyDescent="0.25">
      <c r="A1083" s="1">
        <v>40802</v>
      </c>
      <c r="B1083">
        <v>870971.82</v>
      </c>
    </row>
    <row r="1084" spans="1:2" x14ac:dyDescent="0.25">
      <c r="A1084" s="1">
        <v>40809</v>
      </c>
      <c r="B1084">
        <v>806444.29</v>
      </c>
    </row>
    <row r="1085" spans="1:2" x14ac:dyDescent="0.25">
      <c r="A1085" s="1">
        <v>40816</v>
      </c>
      <c r="B1085">
        <v>809049.37</v>
      </c>
    </row>
    <row r="1086" spans="1:2" x14ac:dyDescent="0.25">
      <c r="A1086" s="1">
        <v>40823</v>
      </c>
      <c r="B1086">
        <v>929976.55</v>
      </c>
    </row>
    <row r="1087" spans="1:2" x14ac:dyDescent="0.25">
      <c r="A1087" s="1">
        <v>40830</v>
      </c>
      <c r="B1087">
        <v>863188.26</v>
      </c>
    </row>
    <row r="1088" spans="1:2" x14ac:dyDescent="0.25">
      <c r="A1088" s="1">
        <v>40837</v>
      </c>
      <c r="B1088">
        <v>905984.49</v>
      </c>
    </row>
    <row r="1089" spans="1:2" x14ac:dyDescent="0.25">
      <c r="A1089" s="1">
        <v>40844</v>
      </c>
      <c r="B1089">
        <v>876712.31</v>
      </c>
    </row>
    <row r="1090" spans="1:2" x14ac:dyDescent="0.25">
      <c r="A1090" s="1">
        <v>40851</v>
      </c>
      <c r="B1090">
        <v>947815.05</v>
      </c>
    </row>
    <row r="1091" spans="1:2" x14ac:dyDescent="0.25">
      <c r="A1091" s="1">
        <v>40858</v>
      </c>
      <c r="B1091">
        <v>917088.48</v>
      </c>
    </row>
    <row r="1092" spans="1:2" x14ac:dyDescent="0.25">
      <c r="A1092" s="1">
        <v>40865</v>
      </c>
      <c r="B1092">
        <v>897032.19</v>
      </c>
    </row>
    <row r="1093" spans="1:2" x14ac:dyDescent="0.25">
      <c r="A1093" s="1">
        <v>40872</v>
      </c>
      <c r="B1093">
        <v>1235163.8600000001</v>
      </c>
    </row>
    <row r="1094" spans="1:2" x14ac:dyDescent="0.25">
      <c r="A1094" s="1">
        <v>40879</v>
      </c>
      <c r="B1094">
        <v>986601.46</v>
      </c>
    </row>
    <row r="1095" spans="1:2" x14ac:dyDescent="0.25">
      <c r="A1095" s="1">
        <v>40886</v>
      </c>
      <c r="B1095">
        <v>1051922.95</v>
      </c>
    </row>
    <row r="1096" spans="1:2" x14ac:dyDescent="0.25">
      <c r="A1096" s="1">
        <v>40893</v>
      </c>
      <c r="B1096">
        <v>1118163.94</v>
      </c>
    </row>
    <row r="1097" spans="1:2" x14ac:dyDescent="0.25">
      <c r="A1097" s="1">
        <v>40900</v>
      </c>
      <c r="B1097">
        <v>1462254.05</v>
      </c>
    </row>
    <row r="1098" spans="1:2" x14ac:dyDescent="0.25">
      <c r="A1098" s="1">
        <v>40907</v>
      </c>
      <c r="B1098">
        <v>858572.22</v>
      </c>
    </row>
    <row r="1099" spans="1:2" x14ac:dyDescent="0.25">
      <c r="A1099" s="1">
        <v>40914</v>
      </c>
      <c r="B1099">
        <v>872113.23</v>
      </c>
    </row>
    <row r="1100" spans="1:2" x14ac:dyDescent="0.25">
      <c r="A1100" s="1">
        <v>40921</v>
      </c>
      <c r="B1100">
        <v>817661.76</v>
      </c>
    </row>
    <row r="1101" spans="1:2" x14ac:dyDescent="0.25">
      <c r="A1101" s="1">
        <v>40928</v>
      </c>
      <c r="B1101">
        <v>813954.82</v>
      </c>
    </row>
    <row r="1102" spans="1:2" x14ac:dyDescent="0.25">
      <c r="A1102" s="1">
        <v>40935</v>
      </c>
      <c r="B1102">
        <v>778178.53</v>
      </c>
    </row>
    <row r="1103" spans="1:2" x14ac:dyDescent="0.25">
      <c r="A1103" s="1">
        <v>40942</v>
      </c>
      <c r="B1103">
        <v>927610.69</v>
      </c>
    </row>
    <row r="1104" spans="1:2" x14ac:dyDescent="0.25">
      <c r="A1104" s="1">
        <v>40949</v>
      </c>
      <c r="B1104">
        <v>1021400.42</v>
      </c>
    </row>
    <row r="1105" spans="1:2" x14ac:dyDescent="0.25">
      <c r="A1105" s="1">
        <v>40956</v>
      </c>
      <c r="B1105">
        <v>1096232.8899999999</v>
      </c>
    </row>
    <row r="1106" spans="1:2" x14ac:dyDescent="0.25">
      <c r="A1106" s="1">
        <v>40963</v>
      </c>
      <c r="B1106">
        <v>928537.54</v>
      </c>
    </row>
    <row r="1107" spans="1:2" x14ac:dyDescent="0.25">
      <c r="A1107" s="1">
        <v>40970</v>
      </c>
      <c r="B1107">
        <v>952264.91</v>
      </c>
    </row>
    <row r="1108" spans="1:2" x14ac:dyDescent="0.25">
      <c r="A1108" s="1">
        <v>40977</v>
      </c>
      <c r="B1108">
        <v>960115.56</v>
      </c>
    </row>
    <row r="1109" spans="1:2" x14ac:dyDescent="0.25">
      <c r="A1109" s="1">
        <v>40984</v>
      </c>
      <c r="B1109">
        <v>921178.39</v>
      </c>
    </row>
    <row r="1110" spans="1:2" x14ac:dyDescent="0.25">
      <c r="A1110" s="1">
        <v>40991</v>
      </c>
      <c r="B1110">
        <v>874223.25</v>
      </c>
    </row>
    <row r="1111" spans="1:2" x14ac:dyDescent="0.25">
      <c r="A1111" s="1">
        <v>40998</v>
      </c>
      <c r="B1111">
        <v>905935.29</v>
      </c>
    </row>
    <row r="1112" spans="1:2" x14ac:dyDescent="0.25">
      <c r="A1112" s="1">
        <v>41005</v>
      </c>
      <c r="B1112">
        <v>1046816.59</v>
      </c>
    </row>
    <row r="1113" spans="1:2" x14ac:dyDescent="0.25">
      <c r="A1113" s="1">
        <v>41012</v>
      </c>
      <c r="B1113">
        <v>909989.45</v>
      </c>
    </row>
    <row r="1114" spans="1:2" x14ac:dyDescent="0.25">
      <c r="A1114" s="1">
        <v>41019</v>
      </c>
      <c r="B1114">
        <v>872288.46</v>
      </c>
    </row>
    <row r="1115" spans="1:2" x14ac:dyDescent="0.25">
      <c r="A1115" s="1">
        <v>41026</v>
      </c>
      <c r="B1115">
        <v>879448.25</v>
      </c>
    </row>
    <row r="1116" spans="1:2" x14ac:dyDescent="0.25">
      <c r="A1116" s="1">
        <v>41033</v>
      </c>
      <c r="B1116">
        <v>937232.09</v>
      </c>
    </row>
    <row r="1117" spans="1:2" x14ac:dyDescent="0.25">
      <c r="A1117" s="1">
        <v>41040</v>
      </c>
      <c r="B1117">
        <v>920128.89</v>
      </c>
    </row>
    <row r="1118" spans="1:2" x14ac:dyDescent="0.25">
      <c r="A1118" s="1">
        <v>41047</v>
      </c>
      <c r="B1118">
        <v>913922.01</v>
      </c>
    </row>
    <row r="1119" spans="1:2" x14ac:dyDescent="0.25">
      <c r="A1119" s="1">
        <v>41054</v>
      </c>
      <c r="B1119">
        <v>895157.44</v>
      </c>
    </row>
    <row r="1120" spans="1:2" x14ac:dyDescent="0.25">
      <c r="A1120" s="1">
        <v>41061</v>
      </c>
      <c r="B1120">
        <v>921161.2</v>
      </c>
    </row>
    <row r="1121" spans="1:2" x14ac:dyDescent="0.25">
      <c r="A1121" s="1">
        <v>41068</v>
      </c>
      <c r="B1121">
        <v>928820</v>
      </c>
    </row>
    <row r="1122" spans="1:2" x14ac:dyDescent="0.25">
      <c r="A1122" s="1">
        <v>41075</v>
      </c>
      <c r="B1122">
        <v>916918.7</v>
      </c>
    </row>
    <row r="1123" spans="1:2" x14ac:dyDescent="0.25">
      <c r="A1123" s="1">
        <v>41082</v>
      </c>
      <c r="B1123">
        <v>899449.65</v>
      </c>
    </row>
    <row r="1124" spans="1:2" x14ac:dyDescent="0.25">
      <c r="A1124" s="1">
        <v>41089</v>
      </c>
      <c r="B1124">
        <v>878298.22</v>
      </c>
    </row>
    <row r="1125" spans="1:2" x14ac:dyDescent="0.25">
      <c r="A1125" s="1">
        <v>41096</v>
      </c>
      <c r="B1125">
        <v>936205.5</v>
      </c>
    </row>
    <row r="1126" spans="1:2" x14ac:dyDescent="0.25">
      <c r="A1126" s="1">
        <v>41103</v>
      </c>
      <c r="B1126">
        <v>890488.01</v>
      </c>
    </row>
    <row r="1127" spans="1:2" x14ac:dyDescent="0.25">
      <c r="A1127" s="1">
        <v>41110</v>
      </c>
      <c r="B1127">
        <v>888834.07</v>
      </c>
    </row>
    <row r="1128" spans="1:2" x14ac:dyDescent="0.25">
      <c r="A1128" s="1">
        <v>41117</v>
      </c>
      <c r="B1128">
        <v>838227.52</v>
      </c>
    </row>
    <row r="1129" spans="1:2" x14ac:dyDescent="0.25">
      <c r="A1129" s="1">
        <v>41124</v>
      </c>
      <c r="B1129">
        <v>897076.73</v>
      </c>
    </row>
    <row r="1130" spans="1:2" x14ac:dyDescent="0.25">
      <c r="A1130" s="1">
        <v>41131</v>
      </c>
      <c r="B1130">
        <v>930745.69</v>
      </c>
    </row>
    <row r="1131" spans="1:2" x14ac:dyDescent="0.25">
      <c r="A1131" s="1">
        <v>41138</v>
      </c>
      <c r="B1131">
        <v>896613.19</v>
      </c>
    </row>
    <row r="1132" spans="1:2" x14ac:dyDescent="0.25">
      <c r="A1132" s="1">
        <v>41145</v>
      </c>
      <c r="B1132">
        <v>936373.65</v>
      </c>
    </row>
    <row r="1133" spans="1:2" x14ac:dyDescent="0.25">
      <c r="A1133" s="1">
        <v>41152</v>
      </c>
      <c r="B1133">
        <v>976137.73</v>
      </c>
    </row>
    <row r="1134" spans="1:2" x14ac:dyDescent="0.25">
      <c r="A1134" s="1">
        <v>41159</v>
      </c>
      <c r="B1134">
        <v>932160.37</v>
      </c>
    </row>
    <row r="1135" spans="1:2" x14ac:dyDescent="0.25">
      <c r="A1135" s="1">
        <v>41166</v>
      </c>
      <c r="B1135">
        <v>883569.38</v>
      </c>
    </row>
    <row r="1136" spans="1:2" x14ac:dyDescent="0.25">
      <c r="A1136" s="1">
        <v>41173</v>
      </c>
      <c r="B1136">
        <v>857796.45</v>
      </c>
    </row>
    <row r="1137" spans="1:2" x14ac:dyDescent="0.25">
      <c r="A1137" s="1">
        <v>41180</v>
      </c>
      <c r="B1137">
        <v>884724.41</v>
      </c>
    </row>
    <row r="1138" spans="1:2" x14ac:dyDescent="0.25">
      <c r="A1138" s="1">
        <v>41187</v>
      </c>
      <c r="B1138">
        <v>976436.02</v>
      </c>
    </row>
    <row r="1139" spans="1:2" x14ac:dyDescent="0.25">
      <c r="A1139" s="1">
        <v>41194</v>
      </c>
      <c r="B1139">
        <v>927511.99</v>
      </c>
    </row>
    <row r="1140" spans="1:2" x14ac:dyDescent="0.25">
      <c r="A1140" s="1">
        <v>41201</v>
      </c>
      <c r="B1140">
        <v>900309.75</v>
      </c>
    </row>
    <row r="1141" spans="1:2" x14ac:dyDescent="0.25">
      <c r="A1141" s="1">
        <v>41208</v>
      </c>
      <c r="B1141">
        <v>891671.44</v>
      </c>
    </row>
    <row r="1142" spans="1:2" x14ac:dyDescent="0.25">
      <c r="A1142" s="1">
        <v>40214</v>
      </c>
      <c r="B1142">
        <v>549505.55000000005</v>
      </c>
    </row>
    <row r="1143" spans="1:2" x14ac:dyDescent="0.25">
      <c r="A1143" s="1">
        <v>40221</v>
      </c>
      <c r="B1143">
        <v>552677.48</v>
      </c>
    </row>
    <row r="1144" spans="1:2" x14ac:dyDescent="0.25">
      <c r="A1144" s="1">
        <v>40228</v>
      </c>
      <c r="B1144">
        <v>511327.9</v>
      </c>
    </row>
    <row r="1145" spans="1:2" x14ac:dyDescent="0.25">
      <c r="A1145" s="1">
        <v>40235</v>
      </c>
      <c r="B1145">
        <v>473773.27</v>
      </c>
    </row>
    <row r="1146" spans="1:2" x14ac:dyDescent="0.25">
      <c r="A1146" s="1">
        <v>40242</v>
      </c>
      <c r="B1146">
        <v>507297.88</v>
      </c>
    </row>
    <row r="1147" spans="1:2" x14ac:dyDescent="0.25">
      <c r="A1147" s="1">
        <v>40249</v>
      </c>
      <c r="B1147">
        <v>494145.8</v>
      </c>
    </row>
    <row r="1148" spans="1:2" x14ac:dyDescent="0.25">
      <c r="A1148" s="1">
        <v>40256</v>
      </c>
      <c r="B1148">
        <v>485744.61</v>
      </c>
    </row>
    <row r="1149" spans="1:2" x14ac:dyDescent="0.25">
      <c r="A1149" s="1">
        <v>40263</v>
      </c>
      <c r="B1149">
        <v>484946.56</v>
      </c>
    </row>
    <row r="1150" spans="1:2" x14ac:dyDescent="0.25">
      <c r="A1150" s="1">
        <v>40270</v>
      </c>
      <c r="B1150">
        <v>545206.31999999995</v>
      </c>
    </row>
    <row r="1151" spans="1:2" x14ac:dyDescent="0.25">
      <c r="A1151" s="1">
        <v>40277</v>
      </c>
      <c r="B1151">
        <v>529384.31000000006</v>
      </c>
    </row>
    <row r="1152" spans="1:2" x14ac:dyDescent="0.25">
      <c r="A1152" s="1">
        <v>40284</v>
      </c>
      <c r="B1152">
        <v>485764.32</v>
      </c>
    </row>
    <row r="1153" spans="1:2" x14ac:dyDescent="0.25">
      <c r="A1153" s="1">
        <v>40291</v>
      </c>
      <c r="B1153">
        <v>488683.57</v>
      </c>
    </row>
    <row r="1154" spans="1:2" x14ac:dyDescent="0.25">
      <c r="A1154" s="1">
        <v>40298</v>
      </c>
      <c r="B1154">
        <v>491723.42</v>
      </c>
    </row>
    <row r="1155" spans="1:2" x14ac:dyDescent="0.25">
      <c r="A1155" s="1">
        <v>40305</v>
      </c>
      <c r="B1155">
        <v>526128.61</v>
      </c>
    </row>
    <row r="1156" spans="1:2" x14ac:dyDescent="0.25">
      <c r="A1156" s="1">
        <v>40312</v>
      </c>
      <c r="B1156">
        <v>492792.8</v>
      </c>
    </row>
    <row r="1157" spans="1:2" x14ac:dyDescent="0.25">
      <c r="A1157" s="1">
        <v>40319</v>
      </c>
      <c r="B1157">
        <v>506274.94</v>
      </c>
    </row>
    <row r="1158" spans="1:2" x14ac:dyDescent="0.25">
      <c r="A1158" s="1">
        <v>40326</v>
      </c>
      <c r="B1158">
        <v>558143.53</v>
      </c>
    </row>
    <row r="1159" spans="1:2" x14ac:dyDescent="0.25">
      <c r="A1159" s="1">
        <v>40333</v>
      </c>
      <c r="B1159">
        <v>586061.46</v>
      </c>
    </row>
    <row r="1160" spans="1:2" x14ac:dyDescent="0.25">
      <c r="A1160" s="1">
        <v>40340</v>
      </c>
      <c r="B1160">
        <v>522715.68</v>
      </c>
    </row>
    <row r="1161" spans="1:2" x14ac:dyDescent="0.25">
      <c r="A1161" s="1">
        <v>40347</v>
      </c>
      <c r="B1161">
        <v>513073.87</v>
      </c>
    </row>
    <row r="1162" spans="1:2" x14ac:dyDescent="0.25">
      <c r="A1162" s="1">
        <v>40354</v>
      </c>
      <c r="B1162">
        <v>509263.28</v>
      </c>
    </row>
    <row r="1163" spans="1:2" x14ac:dyDescent="0.25">
      <c r="A1163" s="1">
        <v>40361</v>
      </c>
      <c r="B1163">
        <v>528832.54</v>
      </c>
    </row>
    <row r="1164" spans="1:2" x14ac:dyDescent="0.25">
      <c r="A1164" s="1">
        <v>40368</v>
      </c>
      <c r="B1164">
        <v>485389.15</v>
      </c>
    </row>
    <row r="1165" spans="1:2" x14ac:dyDescent="0.25">
      <c r="A1165" s="1">
        <v>40375</v>
      </c>
      <c r="B1165">
        <v>474030.51</v>
      </c>
    </row>
    <row r="1166" spans="1:2" x14ac:dyDescent="0.25">
      <c r="A1166" s="1">
        <v>40382</v>
      </c>
      <c r="B1166">
        <v>462676.5</v>
      </c>
    </row>
    <row r="1167" spans="1:2" x14ac:dyDescent="0.25">
      <c r="A1167" s="1">
        <v>40389</v>
      </c>
      <c r="B1167">
        <v>468675.19</v>
      </c>
    </row>
    <row r="1168" spans="1:2" x14ac:dyDescent="0.25">
      <c r="A1168" s="1">
        <v>40396</v>
      </c>
      <c r="B1168">
        <v>522815.45</v>
      </c>
    </row>
    <row r="1169" spans="1:2" x14ac:dyDescent="0.25">
      <c r="A1169" s="1">
        <v>40403</v>
      </c>
      <c r="B1169">
        <v>481897.98</v>
      </c>
    </row>
    <row r="1170" spans="1:2" x14ac:dyDescent="0.25">
      <c r="A1170" s="1">
        <v>40410</v>
      </c>
      <c r="B1170">
        <v>499325.38</v>
      </c>
    </row>
    <row r="1171" spans="1:2" x14ac:dyDescent="0.25">
      <c r="A1171" s="1">
        <v>40417</v>
      </c>
      <c r="B1171">
        <v>506789.66</v>
      </c>
    </row>
    <row r="1172" spans="1:2" x14ac:dyDescent="0.25">
      <c r="A1172" s="1">
        <v>40424</v>
      </c>
      <c r="B1172">
        <v>511049.06</v>
      </c>
    </row>
    <row r="1173" spans="1:2" x14ac:dyDescent="0.25">
      <c r="A1173" s="1">
        <v>40431</v>
      </c>
      <c r="B1173">
        <v>484835.2</v>
      </c>
    </row>
    <row r="1174" spans="1:2" x14ac:dyDescent="0.25">
      <c r="A1174" s="1">
        <v>40438</v>
      </c>
      <c r="B1174">
        <v>463448.59</v>
      </c>
    </row>
    <row r="1175" spans="1:2" x14ac:dyDescent="0.25">
      <c r="A1175" s="1">
        <v>40445</v>
      </c>
      <c r="B1175">
        <v>452905.22</v>
      </c>
    </row>
    <row r="1176" spans="1:2" x14ac:dyDescent="0.25">
      <c r="A1176" s="1">
        <v>40452</v>
      </c>
      <c r="B1176">
        <v>495692.19</v>
      </c>
    </row>
    <row r="1177" spans="1:2" x14ac:dyDescent="0.25">
      <c r="A1177" s="1">
        <v>40459</v>
      </c>
      <c r="B1177">
        <v>505069.21</v>
      </c>
    </row>
    <row r="1178" spans="1:2" x14ac:dyDescent="0.25">
      <c r="A1178" s="1">
        <v>40466</v>
      </c>
      <c r="B1178">
        <v>454769.68</v>
      </c>
    </row>
    <row r="1179" spans="1:2" x14ac:dyDescent="0.25">
      <c r="A1179" s="1">
        <v>40473</v>
      </c>
      <c r="B1179">
        <v>466322.76</v>
      </c>
    </row>
    <row r="1180" spans="1:2" x14ac:dyDescent="0.25">
      <c r="A1180" s="1">
        <v>40480</v>
      </c>
      <c r="B1180">
        <v>508801.61</v>
      </c>
    </row>
    <row r="1181" spans="1:2" x14ac:dyDescent="0.25">
      <c r="A1181" s="1">
        <v>40487</v>
      </c>
      <c r="B1181">
        <v>517869.97</v>
      </c>
    </row>
    <row r="1182" spans="1:2" x14ac:dyDescent="0.25">
      <c r="A1182" s="1">
        <v>40494</v>
      </c>
      <c r="B1182">
        <v>520846.68</v>
      </c>
    </row>
    <row r="1183" spans="1:2" x14ac:dyDescent="0.25">
      <c r="A1183" s="1">
        <v>40501</v>
      </c>
      <c r="B1183">
        <v>519823.3</v>
      </c>
    </row>
    <row r="1184" spans="1:2" x14ac:dyDescent="0.25">
      <c r="A1184" s="1">
        <v>40508</v>
      </c>
      <c r="B1184">
        <v>768070.53</v>
      </c>
    </row>
    <row r="1185" spans="1:2" x14ac:dyDescent="0.25">
      <c r="A1185" s="1">
        <v>40515</v>
      </c>
      <c r="B1185">
        <v>578164.81999999995</v>
      </c>
    </row>
    <row r="1186" spans="1:2" x14ac:dyDescent="0.25">
      <c r="A1186" s="1">
        <v>40522</v>
      </c>
      <c r="B1186">
        <v>618121.81999999995</v>
      </c>
    </row>
    <row r="1187" spans="1:2" x14ac:dyDescent="0.25">
      <c r="A1187" s="1">
        <v>40529</v>
      </c>
      <c r="B1187">
        <v>685243.2</v>
      </c>
    </row>
    <row r="1188" spans="1:2" x14ac:dyDescent="0.25">
      <c r="A1188" s="1">
        <v>40536</v>
      </c>
      <c r="B1188">
        <v>873347.55</v>
      </c>
    </row>
    <row r="1189" spans="1:2" x14ac:dyDescent="0.25">
      <c r="A1189" s="1">
        <v>40543</v>
      </c>
      <c r="B1189">
        <v>459770.85</v>
      </c>
    </row>
    <row r="1190" spans="1:2" x14ac:dyDescent="0.25">
      <c r="A1190" s="1">
        <v>40550</v>
      </c>
      <c r="B1190">
        <v>490981.78</v>
      </c>
    </row>
    <row r="1191" spans="1:2" x14ac:dyDescent="0.25">
      <c r="A1191" s="1">
        <v>40557</v>
      </c>
      <c r="B1191">
        <v>458086.69</v>
      </c>
    </row>
    <row r="1192" spans="1:2" x14ac:dyDescent="0.25">
      <c r="A1192" s="1">
        <v>40564</v>
      </c>
      <c r="B1192">
        <v>454021.69</v>
      </c>
    </row>
    <row r="1193" spans="1:2" x14ac:dyDescent="0.25">
      <c r="A1193" s="1">
        <v>40571</v>
      </c>
      <c r="B1193">
        <v>463561.48</v>
      </c>
    </row>
    <row r="1194" spans="1:2" x14ac:dyDescent="0.25">
      <c r="A1194" s="1">
        <v>40578</v>
      </c>
      <c r="B1194">
        <v>544612.28</v>
      </c>
    </row>
    <row r="1195" spans="1:2" x14ac:dyDescent="0.25">
      <c r="A1195" s="1">
        <v>40585</v>
      </c>
      <c r="B1195">
        <v>555279.02</v>
      </c>
    </row>
    <row r="1196" spans="1:2" x14ac:dyDescent="0.25">
      <c r="A1196" s="1">
        <v>40592</v>
      </c>
      <c r="B1196">
        <v>610985.56000000006</v>
      </c>
    </row>
    <row r="1197" spans="1:2" x14ac:dyDescent="0.25">
      <c r="A1197" s="1">
        <v>40599</v>
      </c>
      <c r="B1197">
        <v>513107.20000000001</v>
      </c>
    </row>
    <row r="1198" spans="1:2" x14ac:dyDescent="0.25">
      <c r="A1198" s="1">
        <v>40606</v>
      </c>
      <c r="B1198">
        <v>542016.18000000005</v>
      </c>
    </row>
    <row r="1199" spans="1:2" x14ac:dyDescent="0.25">
      <c r="A1199" s="1">
        <v>40613</v>
      </c>
      <c r="B1199">
        <v>517783.5</v>
      </c>
    </row>
    <row r="1200" spans="1:2" x14ac:dyDescent="0.25">
      <c r="A1200" s="1">
        <v>40620</v>
      </c>
      <c r="B1200">
        <v>515226.11</v>
      </c>
    </row>
    <row r="1201" spans="1:2" x14ac:dyDescent="0.25">
      <c r="A1201" s="1">
        <v>40627</v>
      </c>
      <c r="B1201">
        <v>497488.4</v>
      </c>
    </row>
    <row r="1202" spans="1:2" x14ac:dyDescent="0.25">
      <c r="A1202" s="1">
        <v>40634</v>
      </c>
      <c r="B1202">
        <v>520962.14</v>
      </c>
    </row>
    <row r="1203" spans="1:2" x14ac:dyDescent="0.25">
      <c r="A1203" s="1">
        <v>40641</v>
      </c>
      <c r="B1203">
        <v>561625.92000000004</v>
      </c>
    </row>
    <row r="1204" spans="1:2" x14ac:dyDescent="0.25">
      <c r="A1204" s="1">
        <v>40648</v>
      </c>
      <c r="B1204">
        <v>528420.28</v>
      </c>
    </row>
    <row r="1205" spans="1:2" x14ac:dyDescent="0.25">
      <c r="A1205" s="1">
        <v>40655</v>
      </c>
      <c r="B1205">
        <v>549502.11</v>
      </c>
    </row>
    <row r="1206" spans="1:2" x14ac:dyDescent="0.25">
      <c r="A1206" s="1">
        <v>40662</v>
      </c>
      <c r="B1206">
        <v>532226.19999999995</v>
      </c>
    </row>
    <row r="1207" spans="1:2" x14ac:dyDescent="0.25">
      <c r="A1207" s="1">
        <v>40669</v>
      </c>
      <c r="B1207">
        <v>545251.1</v>
      </c>
    </row>
    <row r="1208" spans="1:2" x14ac:dyDescent="0.25">
      <c r="A1208" s="1">
        <v>40676</v>
      </c>
      <c r="B1208">
        <v>539126</v>
      </c>
    </row>
    <row r="1209" spans="1:2" x14ac:dyDescent="0.25">
      <c r="A1209" s="1">
        <v>40683</v>
      </c>
      <c r="B1209">
        <v>518266.9</v>
      </c>
    </row>
    <row r="1210" spans="1:2" x14ac:dyDescent="0.25">
      <c r="A1210" s="1">
        <v>40690</v>
      </c>
      <c r="B1210">
        <v>553834.04</v>
      </c>
    </row>
    <row r="1211" spans="1:2" x14ac:dyDescent="0.25">
      <c r="A1211" s="1">
        <v>40697</v>
      </c>
      <c r="B1211">
        <v>587004.29</v>
      </c>
    </row>
    <row r="1212" spans="1:2" x14ac:dyDescent="0.25">
      <c r="A1212" s="1">
        <v>40704</v>
      </c>
      <c r="B1212">
        <v>550076.31999999995</v>
      </c>
    </row>
    <row r="1213" spans="1:2" x14ac:dyDescent="0.25">
      <c r="A1213" s="1">
        <v>40711</v>
      </c>
      <c r="B1213">
        <v>558671.14</v>
      </c>
    </row>
    <row r="1214" spans="1:2" x14ac:dyDescent="0.25">
      <c r="A1214" s="1">
        <v>40718</v>
      </c>
      <c r="B1214">
        <v>538745.93000000005</v>
      </c>
    </row>
    <row r="1215" spans="1:2" x14ac:dyDescent="0.25">
      <c r="A1215" s="1">
        <v>40725</v>
      </c>
      <c r="B1215">
        <v>537064.03</v>
      </c>
    </row>
    <row r="1216" spans="1:2" x14ac:dyDescent="0.25">
      <c r="A1216" s="1">
        <v>40732</v>
      </c>
      <c r="B1216">
        <v>535983.13</v>
      </c>
    </row>
    <row r="1217" spans="1:2" x14ac:dyDescent="0.25">
      <c r="A1217" s="1">
        <v>40739</v>
      </c>
      <c r="B1217">
        <v>512834.04</v>
      </c>
    </row>
    <row r="1218" spans="1:2" x14ac:dyDescent="0.25">
      <c r="A1218" s="1">
        <v>40746</v>
      </c>
      <c r="B1218">
        <v>491449.94</v>
      </c>
    </row>
    <row r="1219" spans="1:2" x14ac:dyDescent="0.25">
      <c r="A1219" s="1">
        <v>40753</v>
      </c>
      <c r="B1219">
        <v>471449.98</v>
      </c>
    </row>
    <row r="1220" spans="1:2" x14ac:dyDescent="0.25">
      <c r="A1220" s="1">
        <v>40760</v>
      </c>
      <c r="B1220">
        <v>554879.67000000004</v>
      </c>
    </row>
    <row r="1221" spans="1:2" x14ac:dyDescent="0.25">
      <c r="A1221" s="1">
        <v>40767</v>
      </c>
      <c r="B1221">
        <v>520284.79</v>
      </c>
    </row>
    <row r="1222" spans="1:2" x14ac:dyDescent="0.25">
      <c r="A1222" s="1">
        <v>40774</v>
      </c>
      <c r="B1222">
        <v>540819.43999999994</v>
      </c>
    </row>
    <row r="1223" spans="1:2" x14ac:dyDescent="0.25">
      <c r="A1223" s="1">
        <v>40781</v>
      </c>
      <c r="B1223">
        <v>542663.53</v>
      </c>
    </row>
    <row r="1224" spans="1:2" x14ac:dyDescent="0.25">
      <c r="A1224" s="1">
        <v>40788</v>
      </c>
      <c r="B1224">
        <v>544643.32999999996</v>
      </c>
    </row>
    <row r="1225" spans="1:2" x14ac:dyDescent="0.25">
      <c r="A1225" s="1">
        <v>40795</v>
      </c>
      <c r="B1225">
        <v>528784.86</v>
      </c>
    </row>
    <row r="1226" spans="1:2" x14ac:dyDescent="0.25">
      <c r="A1226" s="1">
        <v>40802</v>
      </c>
      <c r="B1226">
        <v>500274.03</v>
      </c>
    </row>
    <row r="1227" spans="1:2" x14ac:dyDescent="0.25">
      <c r="A1227" s="1">
        <v>40809</v>
      </c>
      <c r="B1227">
        <v>506743.78</v>
      </c>
    </row>
    <row r="1228" spans="1:2" x14ac:dyDescent="0.25">
      <c r="A1228" s="1">
        <v>40816</v>
      </c>
      <c r="B1228">
        <v>508567.03999999998</v>
      </c>
    </row>
    <row r="1229" spans="1:2" x14ac:dyDescent="0.25">
      <c r="A1229" s="1">
        <v>40823</v>
      </c>
      <c r="B1229">
        <v>553836.98</v>
      </c>
    </row>
    <row r="1230" spans="1:2" x14ac:dyDescent="0.25">
      <c r="A1230" s="1">
        <v>40830</v>
      </c>
      <c r="B1230">
        <v>529515.66</v>
      </c>
    </row>
    <row r="1231" spans="1:2" x14ac:dyDescent="0.25">
      <c r="A1231" s="1">
        <v>40837</v>
      </c>
      <c r="B1231">
        <v>557075.21</v>
      </c>
    </row>
    <row r="1232" spans="1:2" x14ac:dyDescent="0.25">
      <c r="A1232" s="1">
        <v>40844</v>
      </c>
      <c r="B1232">
        <v>548527.49</v>
      </c>
    </row>
    <row r="1233" spans="1:2" x14ac:dyDescent="0.25">
      <c r="A1233" s="1">
        <v>40851</v>
      </c>
      <c r="B1233">
        <v>597855.06999999995</v>
      </c>
    </row>
    <row r="1234" spans="1:2" x14ac:dyDescent="0.25">
      <c r="A1234" s="1">
        <v>40858</v>
      </c>
      <c r="B1234">
        <v>594574.12</v>
      </c>
    </row>
    <row r="1235" spans="1:2" x14ac:dyDescent="0.25">
      <c r="A1235" s="1">
        <v>40865</v>
      </c>
      <c r="B1235">
        <v>542414.27</v>
      </c>
    </row>
    <row r="1236" spans="1:2" x14ac:dyDescent="0.25">
      <c r="A1236" s="1">
        <v>40872</v>
      </c>
      <c r="B1236">
        <v>814753.5</v>
      </c>
    </row>
    <row r="1237" spans="1:2" x14ac:dyDescent="0.25">
      <c r="A1237" s="1">
        <v>40879</v>
      </c>
      <c r="B1237">
        <v>613115.21</v>
      </c>
    </row>
    <row r="1238" spans="1:2" x14ac:dyDescent="0.25">
      <c r="A1238" s="1">
        <v>40886</v>
      </c>
      <c r="B1238">
        <v>630327.28</v>
      </c>
    </row>
    <row r="1239" spans="1:2" x14ac:dyDescent="0.25">
      <c r="A1239" s="1">
        <v>40893</v>
      </c>
      <c r="B1239">
        <v>705557.97</v>
      </c>
    </row>
    <row r="1240" spans="1:2" x14ac:dyDescent="0.25">
      <c r="A1240" s="1">
        <v>40900</v>
      </c>
      <c r="B1240">
        <v>905324.68</v>
      </c>
    </row>
    <row r="1241" spans="1:2" x14ac:dyDescent="0.25">
      <c r="A1241" s="1">
        <v>40907</v>
      </c>
      <c r="B1241">
        <v>549788.36</v>
      </c>
    </row>
    <row r="1242" spans="1:2" x14ac:dyDescent="0.25">
      <c r="A1242" s="1">
        <v>40914</v>
      </c>
      <c r="B1242">
        <v>519585.67</v>
      </c>
    </row>
    <row r="1243" spans="1:2" x14ac:dyDescent="0.25">
      <c r="A1243" s="1">
        <v>40921</v>
      </c>
      <c r="B1243">
        <v>474964.6</v>
      </c>
    </row>
    <row r="1244" spans="1:2" x14ac:dyDescent="0.25">
      <c r="A1244" s="1">
        <v>40928</v>
      </c>
      <c r="B1244">
        <v>480130.04</v>
      </c>
    </row>
    <row r="1245" spans="1:2" x14ac:dyDescent="0.25">
      <c r="A1245" s="1">
        <v>40935</v>
      </c>
      <c r="B1245">
        <v>482451.21</v>
      </c>
    </row>
    <row r="1246" spans="1:2" x14ac:dyDescent="0.25">
      <c r="A1246" s="1">
        <v>40942</v>
      </c>
      <c r="B1246">
        <v>549967.89</v>
      </c>
    </row>
    <row r="1247" spans="1:2" x14ac:dyDescent="0.25">
      <c r="A1247" s="1">
        <v>40949</v>
      </c>
      <c r="B1247">
        <v>609736.12</v>
      </c>
    </row>
    <row r="1248" spans="1:2" x14ac:dyDescent="0.25">
      <c r="A1248" s="1">
        <v>40956</v>
      </c>
      <c r="B1248">
        <v>658965.05000000005</v>
      </c>
    </row>
    <row r="1249" spans="1:2" x14ac:dyDescent="0.25">
      <c r="A1249" s="1">
        <v>40963</v>
      </c>
      <c r="B1249">
        <v>563578.79</v>
      </c>
    </row>
    <row r="1250" spans="1:2" x14ac:dyDescent="0.25">
      <c r="A1250" s="1">
        <v>40970</v>
      </c>
      <c r="B1250">
        <v>619498.28</v>
      </c>
    </row>
    <row r="1251" spans="1:2" x14ac:dyDescent="0.25">
      <c r="A1251" s="1">
        <v>40977</v>
      </c>
      <c r="B1251">
        <v>574955.94999999995</v>
      </c>
    </row>
    <row r="1252" spans="1:2" x14ac:dyDescent="0.25">
      <c r="A1252" s="1">
        <v>40984</v>
      </c>
      <c r="B1252">
        <v>550373.56999999995</v>
      </c>
    </row>
    <row r="1253" spans="1:2" x14ac:dyDescent="0.25">
      <c r="A1253" s="1">
        <v>40991</v>
      </c>
      <c r="B1253">
        <v>550791.31999999995</v>
      </c>
    </row>
    <row r="1254" spans="1:2" x14ac:dyDescent="0.25">
      <c r="A1254" s="1">
        <v>40998</v>
      </c>
      <c r="B1254">
        <v>574985.37</v>
      </c>
    </row>
    <row r="1255" spans="1:2" x14ac:dyDescent="0.25">
      <c r="A1255" s="1">
        <v>41005</v>
      </c>
      <c r="B1255">
        <v>677885.99</v>
      </c>
    </row>
    <row r="1256" spans="1:2" x14ac:dyDescent="0.25">
      <c r="A1256" s="1">
        <v>41012</v>
      </c>
      <c r="B1256">
        <v>578539.86</v>
      </c>
    </row>
    <row r="1257" spans="1:2" x14ac:dyDescent="0.25">
      <c r="A1257" s="1">
        <v>41019</v>
      </c>
      <c r="B1257">
        <v>542819.03</v>
      </c>
    </row>
    <row r="1258" spans="1:2" x14ac:dyDescent="0.25">
      <c r="A1258" s="1">
        <v>41026</v>
      </c>
      <c r="B1258">
        <v>550414.99</v>
      </c>
    </row>
    <row r="1259" spans="1:2" x14ac:dyDescent="0.25">
      <c r="A1259" s="1">
        <v>41033</v>
      </c>
      <c r="B1259">
        <v>586289.07999999996</v>
      </c>
    </row>
    <row r="1260" spans="1:2" x14ac:dyDescent="0.25">
      <c r="A1260" s="1">
        <v>41040</v>
      </c>
      <c r="B1260">
        <v>592572.30000000005</v>
      </c>
    </row>
    <row r="1261" spans="1:2" x14ac:dyDescent="0.25">
      <c r="A1261" s="1">
        <v>41047</v>
      </c>
      <c r="B1261">
        <v>571463.93000000005</v>
      </c>
    </row>
    <row r="1262" spans="1:2" x14ac:dyDescent="0.25">
      <c r="A1262" s="1">
        <v>41054</v>
      </c>
      <c r="B1262">
        <v>547226</v>
      </c>
    </row>
    <row r="1263" spans="1:2" x14ac:dyDescent="0.25">
      <c r="A1263" s="1">
        <v>41061</v>
      </c>
      <c r="B1263">
        <v>583648.59</v>
      </c>
    </row>
    <row r="1264" spans="1:2" x14ac:dyDescent="0.25">
      <c r="A1264" s="1">
        <v>41068</v>
      </c>
      <c r="B1264">
        <v>582525.42000000004</v>
      </c>
    </row>
    <row r="1265" spans="1:2" x14ac:dyDescent="0.25">
      <c r="A1265" s="1">
        <v>41075</v>
      </c>
      <c r="B1265">
        <v>564606.1</v>
      </c>
    </row>
    <row r="1266" spans="1:2" x14ac:dyDescent="0.25">
      <c r="A1266" s="1">
        <v>41082</v>
      </c>
      <c r="B1266">
        <v>562173.12</v>
      </c>
    </row>
    <row r="1267" spans="1:2" x14ac:dyDescent="0.25">
      <c r="A1267" s="1">
        <v>41089</v>
      </c>
      <c r="B1267">
        <v>544770.69999999995</v>
      </c>
    </row>
    <row r="1268" spans="1:2" x14ac:dyDescent="0.25">
      <c r="A1268" s="1">
        <v>41096</v>
      </c>
      <c r="B1268">
        <v>578790.36</v>
      </c>
    </row>
    <row r="1269" spans="1:2" x14ac:dyDescent="0.25">
      <c r="A1269" s="1">
        <v>41103</v>
      </c>
      <c r="B1269">
        <v>536537.64</v>
      </c>
    </row>
    <row r="1270" spans="1:2" x14ac:dyDescent="0.25">
      <c r="A1270" s="1">
        <v>41110</v>
      </c>
      <c r="B1270">
        <v>513991.57</v>
      </c>
    </row>
    <row r="1271" spans="1:2" x14ac:dyDescent="0.25">
      <c r="A1271" s="1">
        <v>41117</v>
      </c>
      <c r="B1271">
        <v>495951</v>
      </c>
    </row>
    <row r="1272" spans="1:2" x14ac:dyDescent="0.25">
      <c r="A1272" s="1">
        <v>41124</v>
      </c>
      <c r="B1272">
        <v>533887.54</v>
      </c>
    </row>
    <row r="1273" spans="1:2" x14ac:dyDescent="0.25">
      <c r="A1273" s="1">
        <v>41131</v>
      </c>
      <c r="B1273">
        <v>538713.47</v>
      </c>
    </row>
    <row r="1274" spans="1:2" x14ac:dyDescent="0.25">
      <c r="A1274" s="1">
        <v>41138</v>
      </c>
      <c r="B1274">
        <v>535153.47</v>
      </c>
    </row>
    <row r="1275" spans="1:2" x14ac:dyDescent="0.25">
      <c r="A1275" s="1">
        <v>41145</v>
      </c>
      <c r="B1275">
        <v>572887.78</v>
      </c>
    </row>
    <row r="1276" spans="1:2" x14ac:dyDescent="0.25">
      <c r="A1276" s="1">
        <v>41152</v>
      </c>
      <c r="B1276">
        <v>576879.15</v>
      </c>
    </row>
    <row r="1277" spans="1:2" x14ac:dyDescent="0.25">
      <c r="A1277" s="1">
        <v>41159</v>
      </c>
      <c r="B1277">
        <v>565812.29</v>
      </c>
    </row>
    <row r="1278" spans="1:2" x14ac:dyDescent="0.25">
      <c r="A1278" s="1">
        <v>41166</v>
      </c>
      <c r="B1278">
        <v>523427.35</v>
      </c>
    </row>
    <row r="1279" spans="1:2" x14ac:dyDescent="0.25">
      <c r="A1279" s="1">
        <v>41173</v>
      </c>
      <c r="B1279">
        <v>533756.88</v>
      </c>
    </row>
    <row r="1280" spans="1:2" x14ac:dyDescent="0.25">
      <c r="A1280" s="1">
        <v>41180</v>
      </c>
      <c r="B1280">
        <v>516361.06</v>
      </c>
    </row>
    <row r="1281" spans="1:2" x14ac:dyDescent="0.25">
      <c r="A1281" s="1">
        <v>41187</v>
      </c>
      <c r="B1281">
        <v>606755.30000000005</v>
      </c>
    </row>
    <row r="1282" spans="1:2" x14ac:dyDescent="0.25">
      <c r="A1282" s="1">
        <v>41194</v>
      </c>
      <c r="B1282">
        <v>558464.80000000005</v>
      </c>
    </row>
    <row r="1283" spans="1:2" x14ac:dyDescent="0.25">
      <c r="A1283" s="1">
        <v>41201</v>
      </c>
      <c r="B1283">
        <v>542009.46</v>
      </c>
    </row>
    <row r="1284" spans="1:2" x14ac:dyDescent="0.25">
      <c r="A1284" s="1">
        <v>41208</v>
      </c>
      <c r="B1284">
        <v>549731.49</v>
      </c>
    </row>
    <row r="1285" spans="1:2" x14ac:dyDescent="0.25">
      <c r="A1285" s="1">
        <v>40214</v>
      </c>
      <c r="B1285">
        <v>2193048.75</v>
      </c>
    </row>
    <row r="1286" spans="1:2" x14ac:dyDescent="0.25">
      <c r="A1286" s="1">
        <v>40221</v>
      </c>
      <c r="B1286">
        <v>2176028.52</v>
      </c>
    </row>
    <row r="1287" spans="1:2" x14ac:dyDescent="0.25">
      <c r="A1287" s="1">
        <v>40228</v>
      </c>
      <c r="B1287">
        <v>2113432.58</v>
      </c>
    </row>
    <row r="1288" spans="1:2" x14ac:dyDescent="0.25">
      <c r="A1288" s="1">
        <v>40235</v>
      </c>
      <c r="B1288">
        <v>2006774.96</v>
      </c>
    </row>
    <row r="1289" spans="1:2" x14ac:dyDescent="0.25">
      <c r="A1289" s="1">
        <v>40242</v>
      </c>
      <c r="B1289">
        <v>1987090.09</v>
      </c>
    </row>
    <row r="1290" spans="1:2" x14ac:dyDescent="0.25">
      <c r="A1290" s="1">
        <v>40249</v>
      </c>
      <c r="B1290">
        <v>1941346.13</v>
      </c>
    </row>
    <row r="1291" spans="1:2" x14ac:dyDescent="0.25">
      <c r="A1291" s="1">
        <v>40256</v>
      </c>
      <c r="B1291">
        <v>1946875.06</v>
      </c>
    </row>
    <row r="1292" spans="1:2" x14ac:dyDescent="0.25">
      <c r="A1292" s="1">
        <v>40263</v>
      </c>
      <c r="B1292">
        <v>1893532.46</v>
      </c>
    </row>
    <row r="1293" spans="1:2" x14ac:dyDescent="0.25">
      <c r="A1293" s="1">
        <v>40270</v>
      </c>
      <c r="B1293">
        <v>2138651.9700000002</v>
      </c>
    </row>
    <row r="1294" spans="1:2" x14ac:dyDescent="0.25">
      <c r="A1294" s="1">
        <v>40277</v>
      </c>
      <c r="B1294">
        <v>2041069.37</v>
      </c>
    </row>
    <row r="1295" spans="1:2" x14ac:dyDescent="0.25">
      <c r="A1295" s="1">
        <v>40284</v>
      </c>
      <c r="B1295">
        <v>1826241.44</v>
      </c>
    </row>
    <row r="1296" spans="1:2" x14ac:dyDescent="0.25">
      <c r="A1296" s="1">
        <v>40291</v>
      </c>
      <c r="B1296">
        <v>1829521.83</v>
      </c>
    </row>
    <row r="1297" spans="1:2" x14ac:dyDescent="0.25">
      <c r="A1297" s="1">
        <v>40298</v>
      </c>
      <c r="B1297">
        <v>1790694.59</v>
      </c>
    </row>
    <row r="1298" spans="1:2" x14ac:dyDescent="0.25">
      <c r="A1298" s="1">
        <v>40305</v>
      </c>
      <c r="B1298">
        <v>1921432.16</v>
      </c>
    </row>
    <row r="1299" spans="1:2" x14ac:dyDescent="0.25">
      <c r="A1299" s="1">
        <v>40312</v>
      </c>
      <c r="B1299">
        <v>1808056.41</v>
      </c>
    </row>
    <row r="1300" spans="1:2" x14ac:dyDescent="0.25">
      <c r="A1300" s="1">
        <v>40319</v>
      </c>
      <c r="B1300">
        <v>1847613.58</v>
      </c>
    </row>
    <row r="1301" spans="1:2" x14ac:dyDescent="0.25">
      <c r="A1301" s="1">
        <v>40326</v>
      </c>
      <c r="B1301">
        <v>1904618.17</v>
      </c>
    </row>
    <row r="1302" spans="1:2" x14ac:dyDescent="0.25">
      <c r="A1302" s="1">
        <v>40333</v>
      </c>
      <c r="B1302">
        <v>1931406.28</v>
      </c>
    </row>
    <row r="1303" spans="1:2" x14ac:dyDescent="0.25">
      <c r="A1303" s="1">
        <v>40340</v>
      </c>
      <c r="B1303">
        <v>1827521.71</v>
      </c>
    </row>
    <row r="1304" spans="1:2" x14ac:dyDescent="0.25">
      <c r="A1304" s="1">
        <v>40347</v>
      </c>
      <c r="B1304">
        <v>1837636.24</v>
      </c>
    </row>
    <row r="1305" spans="1:2" x14ac:dyDescent="0.25">
      <c r="A1305" s="1">
        <v>40354</v>
      </c>
      <c r="B1305">
        <v>1768172.31</v>
      </c>
    </row>
    <row r="1306" spans="1:2" x14ac:dyDescent="0.25">
      <c r="A1306" s="1">
        <v>40361</v>
      </c>
      <c r="B1306">
        <v>1845893.87</v>
      </c>
    </row>
    <row r="1307" spans="1:2" x14ac:dyDescent="0.25">
      <c r="A1307" s="1">
        <v>40368</v>
      </c>
      <c r="B1307">
        <v>1769793.37</v>
      </c>
    </row>
    <row r="1308" spans="1:2" x14ac:dyDescent="0.25">
      <c r="A1308" s="1">
        <v>40375</v>
      </c>
      <c r="B1308">
        <v>1828052.47</v>
      </c>
    </row>
    <row r="1309" spans="1:2" x14ac:dyDescent="0.25">
      <c r="A1309" s="1">
        <v>40382</v>
      </c>
      <c r="B1309">
        <v>1831676.03</v>
      </c>
    </row>
    <row r="1310" spans="1:2" x14ac:dyDescent="0.25">
      <c r="A1310" s="1">
        <v>40389</v>
      </c>
      <c r="B1310">
        <v>1832664.03</v>
      </c>
    </row>
    <row r="1311" spans="1:2" x14ac:dyDescent="0.25">
      <c r="A1311" s="1">
        <v>40396</v>
      </c>
      <c r="B1311">
        <v>1949236.09</v>
      </c>
    </row>
    <row r="1312" spans="1:2" x14ac:dyDescent="0.25">
      <c r="A1312" s="1">
        <v>40403</v>
      </c>
      <c r="B1312">
        <v>1962996.7</v>
      </c>
    </row>
    <row r="1313" spans="1:2" x14ac:dyDescent="0.25">
      <c r="A1313" s="1">
        <v>40410</v>
      </c>
      <c r="B1313">
        <v>1983190.56</v>
      </c>
    </row>
    <row r="1314" spans="1:2" x14ac:dyDescent="0.25">
      <c r="A1314" s="1">
        <v>40417</v>
      </c>
      <c r="B1314">
        <v>1727565.42</v>
      </c>
    </row>
    <row r="1315" spans="1:2" x14ac:dyDescent="0.25">
      <c r="A1315" s="1">
        <v>40424</v>
      </c>
      <c r="B1315">
        <v>1766331.45</v>
      </c>
    </row>
    <row r="1316" spans="1:2" x14ac:dyDescent="0.25">
      <c r="A1316" s="1">
        <v>40431</v>
      </c>
      <c r="B1316">
        <v>1720530.23</v>
      </c>
    </row>
    <row r="1317" spans="1:2" x14ac:dyDescent="0.25">
      <c r="A1317" s="1">
        <v>40438</v>
      </c>
      <c r="B1317">
        <v>1716755.78</v>
      </c>
    </row>
    <row r="1318" spans="1:2" x14ac:dyDescent="0.25">
      <c r="A1318" s="1">
        <v>40445</v>
      </c>
      <c r="B1318">
        <v>1655036.75</v>
      </c>
    </row>
    <row r="1319" spans="1:2" x14ac:dyDescent="0.25">
      <c r="A1319" s="1">
        <v>40452</v>
      </c>
      <c r="B1319">
        <v>1645892.97</v>
      </c>
    </row>
    <row r="1320" spans="1:2" x14ac:dyDescent="0.25">
      <c r="A1320" s="1">
        <v>40459</v>
      </c>
      <c r="B1320">
        <v>1772192.42</v>
      </c>
    </row>
    <row r="1321" spans="1:2" x14ac:dyDescent="0.25">
      <c r="A1321" s="1">
        <v>40466</v>
      </c>
      <c r="B1321">
        <v>1703850.25</v>
      </c>
    </row>
    <row r="1322" spans="1:2" x14ac:dyDescent="0.25">
      <c r="A1322" s="1">
        <v>40473</v>
      </c>
      <c r="B1322">
        <v>1740234.06</v>
      </c>
    </row>
    <row r="1323" spans="1:2" x14ac:dyDescent="0.25">
      <c r="A1323" s="1">
        <v>40480</v>
      </c>
      <c r="B1323">
        <v>1741308.56</v>
      </c>
    </row>
    <row r="1324" spans="1:2" x14ac:dyDescent="0.25">
      <c r="A1324" s="1">
        <v>40487</v>
      </c>
      <c r="B1324">
        <v>1832211.96</v>
      </c>
    </row>
    <row r="1325" spans="1:2" x14ac:dyDescent="0.25">
      <c r="A1325" s="1">
        <v>40494</v>
      </c>
      <c r="B1325">
        <v>1895901.59</v>
      </c>
    </row>
    <row r="1326" spans="1:2" x14ac:dyDescent="0.25">
      <c r="A1326" s="1">
        <v>40501</v>
      </c>
      <c r="B1326">
        <v>1949177.13</v>
      </c>
    </row>
    <row r="1327" spans="1:2" x14ac:dyDescent="0.25">
      <c r="A1327" s="1">
        <v>40508</v>
      </c>
      <c r="B1327">
        <v>2939946.38</v>
      </c>
    </row>
    <row r="1328" spans="1:2" x14ac:dyDescent="0.25">
      <c r="A1328" s="1">
        <v>40515</v>
      </c>
      <c r="B1328">
        <v>2251206.64</v>
      </c>
    </row>
    <row r="1329" spans="1:2" x14ac:dyDescent="0.25">
      <c r="A1329" s="1">
        <v>40522</v>
      </c>
      <c r="B1329">
        <v>2411790.21</v>
      </c>
    </row>
    <row r="1330" spans="1:2" x14ac:dyDescent="0.25">
      <c r="A1330" s="1">
        <v>40529</v>
      </c>
      <c r="B1330">
        <v>2811646.85</v>
      </c>
    </row>
    <row r="1331" spans="1:2" x14ac:dyDescent="0.25">
      <c r="A1331" s="1">
        <v>40536</v>
      </c>
      <c r="B1331">
        <v>3749057.69</v>
      </c>
    </row>
    <row r="1332" spans="1:2" x14ac:dyDescent="0.25">
      <c r="A1332" s="1">
        <v>40543</v>
      </c>
      <c r="B1332">
        <v>1707298.14</v>
      </c>
    </row>
    <row r="1333" spans="1:2" x14ac:dyDescent="0.25">
      <c r="A1333" s="1">
        <v>40550</v>
      </c>
      <c r="B1333">
        <v>1714309.9</v>
      </c>
    </row>
    <row r="1334" spans="1:2" x14ac:dyDescent="0.25">
      <c r="A1334" s="1">
        <v>40557</v>
      </c>
      <c r="B1334">
        <v>1710803.59</v>
      </c>
    </row>
    <row r="1335" spans="1:2" x14ac:dyDescent="0.25">
      <c r="A1335" s="1">
        <v>40564</v>
      </c>
      <c r="B1335">
        <v>1677556.18</v>
      </c>
    </row>
    <row r="1336" spans="1:2" x14ac:dyDescent="0.25">
      <c r="A1336" s="1">
        <v>40571</v>
      </c>
      <c r="B1336">
        <v>1715769.05</v>
      </c>
    </row>
    <row r="1337" spans="1:2" x14ac:dyDescent="0.25">
      <c r="A1337" s="1">
        <v>40578</v>
      </c>
      <c r="B1337">
        <v>1968045.91</v>
      </c>
    </row>
    <row r="1338" spans="1:2" x14ac:dyDescent="0.25">
      <c r="A1338" s="1">
        <v>40585</v>
      </c>
      <c r="B1338">
        <v>2115408.31</v>
      </c>
    </row>
    <row r="1339" spans="1:2" x14ac:dyDescent="0.25">
      <c r="A1339" s="1">
        <v>40592</v>
      </c>
      <c r="B1339">
        <v>2106934.5499999998</v>
      </c>
    </row>
    <row r="1340" spans="1:2" x14ac:dyDescent="0.25">
      <c r="A1340" s="1">
        <v>40599</v>
      </c>
      <c r="B1340">
        <v>1967996.71</v>
      </c>
    </row>
    <row r="1341" spans="1:2" x14ac:dyDescent="0.25">
      <c r="A1341" s="1">
        <v>40606</v>
      </c>
      <c r="B1341">
        <v>1958003.19</v>
      </c>
    </row>
    <row r="1342" spans="1:2" x14ac:dyDescent="0.25">
      <c r="A1342" s="1">
        <v>40613</v>
      </c>
      <c r="B1342">
        <v>1933469.15</v>
      </c>
    </row>
    <row r="1343" spans="1:2" x14ac:dyDescent="0.25">
      <c r="A1343" s="1">
        <v>40620</v>
      </c>
      <c r="B1343">
        <v>1884734.31</v>
      </c>
    </row>
    <row r="1344" spans="1:2" x14ac:dyDescent="0.25">
      <c r="A1344" s="1">
        <v>40627</v>
      </c>
      <c r="B1344">
        <v>1815798.85</v>
      </c>
    </row>
    <row r="1345" spans="1:2" x14ac:dyDescent="0.25">
      <c r="A1345" s="1">
        <v>40634</v>
      </c>
      <c r="B1345">
        <v>1827733.18</v>
      </c>
    </row>
    <row r="1346" spans="1:2" x14ac:dyDescent="0.25">
      <c r="A1346" s="1">
        <v>40641</v>
      </c>
      <c r="B1346">
        <v>1870720.73</v>
      </c>
    </row>
    <row r="1347" spans="1:2" x14ac:dyDescent="0.25">
      <c r="A1347" s="1">
        <v>40648</v>
      </c>
      <c r="B1347">
        <v>1781767.22</v>
      </c>
    </row>
    <row r="1348" spans="1:2" x14ac:dyDescent="0.25">
      <c r="A1348" s="1">
        <v>40655</v>
      </c>
      <c r="B1348">
        <v>2004831.14</v>
      </c>
    </row>
    <row r="1349" spans="1:2" x14ac:dyDescent="0.25">
      <c r="A1349" s="1">
        <v>40662</v>
      </c>
      <c r="B1349">
        <v>1873646.34</v>
      </c>
    </row>
    <row r="1350" spans="1:2" x14ac:dyDescent="0.25">
      <c r="A1350" s="1">
        <v>40669</v>
      </c>
      <c r="B1350">
        <v>1841369.99</v>
      </c>
    </row>
    <row r="1351" spans="1:2" x14ac:dyDescent="0.25">
      <c r="A1351" s="1">
        <v>40676</v>
      </c>
      <c r="B1351">
        <v>1712995.44</v>
      </c>
    </row>
    <row r="1352" spans="1:2" x14ac:dyDescent="0.25">
      <c r="A1352" s="1">
        <v>40683</v>
      </c>
      <c r="B1352">
        <v>1720908.01</v>
      </c>
    </row>
    <row r="1353" spans="1:2" x14ac:dyDescent="0.25">
      <c r="A1353" s="1">
        <v>40690</v>
      </c>
      <c r="B1353">
        <v>1743000.38</v>
      </c>
    </row>
    <row r="1354" spans="1:2" x14ac:dyDescent="0.25">
      <c r="A1354" s="1">
        <v>40697</v>
      </c>
      <c r="B1354">
        <v>1792210.89</v>
      </c>
    </row>
    <row r="1355" spans="1:2" x14ac:dyDescent="0.25">
      <c r="A1355" s="1">
        <v>40704</v>
      </c>
      <c r="B1355">
        <v>1740063.1</v>
      </c>
    </row>
    <row r="1356" spans="1:2" x14ac:dyDescent="0.25">
      <c r="A1356" s="1">
        <v>40711</v>
      </c>
      <c r="B1356">
        <v>1817934.76</v>
      </c>
    </row>
    <row r="1357" spans="1:2" x14ac:dyDescent="0.25">
      <c r="A1357" s="1">
        <v>40718</v>
      </c>
      <c r="B1357">
        <v>1711813.13</v>
      </c>
    </row>
    <row r="1358" spans="1:2" x14ac:dyDescent="0.25">
      <c r="A1358" s="1">
        <v>40725</v>
      </c>
      <c r="B1358">
        <v>1751369.75</v>
      </c>
    </row>
    <row r="1359" spans="1:2" x14ac:dyDescent="0.25">
      <c r="A1359" s="1">
        <v>40732</v>
      </c>
      <c r="B1359">
        <v>1699708.38</v>
      </c>
    </row>
    <row r="1360" spans="1:2" x14ac:dyDescent="0.25">
      <c r="A1360" s="1">
        <v>40739</v>
      </c>
      <c r="B1360">
        <v>1775068.4</v>
      </c>
    </row>
    <row r="1361" spans="1:2" x14ac:dyDescent="0.25">
      <c r="A1361" s="1">
        <v>40746</v>
      </c>
      <c r="B1361">
        <v>1774342.61</v>
      </c>
    </row>
    <row r="1362" spans="1:2" x14ac:dyDescent="0.25">
      <c r="A1362" s="1">
        <v>40753</v>
      </c>
      <c r="B1362">
        <v>1745841.33</v>
      </c>
    </row>
    <row r="1363" spans="1:2" x14ac:dyDescent="0.25">
      <c r="A1363" s="1">
        <v>40760</v>
      </c>
      <c r="B1363">
        <v>1886299.98</v>
      </c>
    </row>
    <row r="1364" spans="1:2" x14ac:dyDescent="0.25">
      <c r="A1364" s="1">
        <v>40767</v>
      </c>
      <c r="B1364">
        <v>1917397.63</v>
      </c>
    </row>
    <row r="1365" spans="1:2" x14ac:dyDescent="0.25">
      <c r="A1365" s="1">
        <v>40774</v>
      </c>
      <c r="B1365">
        <v>1954849.68</v>
      </c>
    </row>
    <row r="1366" spans="1:2" x14ac:dyDescent="0.25">
      <c r="A1366" s="1">
        <v>40781</v>
      </c>
      <c r="B1366">
        <v>1728399.07</v>
      </c>
    </row>
    <row r="1367" spans="1:2" x14ac:dyDescent="0.25">
      <c r="A1367" s="1">
        <v>40788</v>
      </c>
      <c r="B1367">
        <v>1758587.35</v>
      </c>
    </row>
    <row r="1368" spans="1:2" x14ac:dyDescent="0.25">
      <c r="A1368" s="1">
        <v>40795</v>
      </c>
      <c r="B1368">
        <v>1670579.82</v>
      </c>
    </row>
    <row r="1369" spans="1:2" x14ac:dyDescent="0.25">
      <c r="A1369" s="1">
        <v>40802</v>
      </c>
      <c r="B1369">
        <v>1650894.3</v>
      </c>
    </row>
    <row r="1370" spans="1:2" x14ac:dyDescent="0.25">
      <c r="A1370" s="1">
        <v>40809</v>
      </c>
      <c r="B1370">
        <v>1685910.53</v>
      </c>
    </row>
    <row r="1371" spans="1:2" x14ac:dyDescent="0.25">
      <c r="A1371" s="1">
        <v>40816</v>
      </c>
      <c r="B1371">
        <v>1627707.31</v>
      </c>
    </row>
    <row r="1372" spans="1:2" x14ac:dyDescent="0.25">
      <c r="A1372" s="1">
        <v>40823</v>
      </c>
      <c r="B1372">
        <v>1788227.6</v>
      </c>
    </row>
    <row r="1373" spans="1:2" x14ac:dyDescent="0.25">
      <c r="A1373" s="1">
        <v>40830</v>
      </c>
      <c r="B1373">
        <v>1704753.02</v>
      </c>
    </row>
    <row r="1374" spans="1:2" x14ac:dyDescent="0.25">
      <c r="A1374" s="1">
        <v>40837</v>
      </c>
      <c r="B1374">
        <v>1745928.56</v>
      </c>
    </row>
    <row r="1375" spans="1:2" x14ac:dyDescent="0.25">
      <c r="A1375" s="1">
        <v>40844</v>
      </c>
      <c r="B1375">
        <v>1771792.97</v>
      </c>
    </row>
    <row r="1376" spans="1:2" x14ac:dyDescent="0.25">
      <c r="A1376" s="1">
        <v>40851</v>
      </c>
      <c r="B1376">
        <v>1904438.59</v>
      </c>
    </row>
    <row r="1377" spans="1:2" x14ac:dyDescent="0.25">
      <c r="A1377" s="1">
        <v>40858</v>
      </c>
      <c r="B1377">
        <v>2076570.84</v>
      </c>
    </row>
    <row r="1378" spans="1:2" x14ac:dyDescent="0.25">
      <c r="A1378" s="1">
        <v>40865</v>
      </c>
      <c r="B1378">
        <v>1869087.85</v>
      </c>
    </row>
    <row r="1379" spans="1:2" x14ac:dyDescent="0.25">
      <c r="A1379" s="1">
        <v>40872</v>
      </c>
      <c r="B1379">
        <v>2950198.64</v>
      </c>
    </row>
    <row r="1380" spans="1:2" x14ac:dyDescent="0.25">
      <c r="A1380" s="1">
        <v>40879</v>
      </c>
      <c r="B1380">
        <v>2068097.18</v>
      </c>
    </row>
    <row r="1381" spans="1:2" x14ac:dyDescent="0.25">
      <c r="A1381" s="1">
        <v>40886</v>
      </c>
      <c r="B1381">
        <v>2429310.9</v>
      </c>
    </row>
    <row r="1382" spans="1:2" x14ac:dyDescent="0.25">
      <c r="A1382" s="1">
        <v>40893</v>
      </c>
      <c r="B1382">
        <v>2555031.1800000002</v>
      </c>
    </row>
    <row r="1383" spans="1:2" x14ac:dyDescent="0.25">
      <c r="A1383" s="1">
        <v>40900</v>
      </c>
      <c r="B1383">
        <v>3487986.89</v>
      </c>
    </row>
    <row r="1384" spans="1:2" x14ac:dyDescent="0.25">
      <c r="A1384" s="1">
        <v>40907</v>
      </c>
      <c r="B1384">
        <v>1930690.37</v>
      </c>
    </row>
    <row r="1385" spans="1:2" x14ac:dyDescent="0.25">
      <c r="A1385" s="1">
        <v>40914</v>
      </c>
      <c r="B1385">
        <v>1683401.78</v>
      </c>
    </row>
    <row r="1386" spans="1:2" x14ac:dyDescent="0.25">
      <c r="A1386" s="1">
        <v>40921</v>
      </c>
      <c r="B1386">
        <v>1711562.73</v>
      </c>
    </row>
    <row r="1387" spans="1:2" x14ac:dyDescent="0.25">
      <c r="A1387" s="1">
        <v>40928</v>
      </c>
      <c r="B1387">
        <v>1675562.94</v>
      </c>
    </row>
    <row r="1388" spans="1:2" x14ac:dyDescent="0.25">
      <c r="A1388" s="1">
        <v>40935</v>
      </c>
      <c r="B1388">
        <v>1632406</v>
      </c>
    </row>
    <row r="1389" spans="1:2" x14ac:dyDescent="0.25">
      <c r="A1389" s="1">
        <v>40942</v>
      </c>
      <c r="B1389">
        <v>1867403.01</v>
      </c>
    </row>
    <row r="1390" spans="1:2" x14ac:dyDescent="0.25">
      <c r="A1390" s="1">
        <v>40949</v>
      </c>
      <c r="B1390">
        <v>2218595.7999999998</v>
      </c>
    </row>
    <row r="1391" spans="1:2" x14ac:dyDescent="0.25">
      <c r="A1391" s="1">
        <v>40956</v>
      </c>
      <c r="B1391">
        <v>2168709.7599999998</v>
      </c>
    </row>
    <row r="1392" spans="1:2" x14ac:dyDescent="0.25">
      <c r="A1392" s="1">
        <v>40963</v>
      </c>
      <c r="B1392">
        <v>2039415.74</v>
      </c>
    </row>
    <row r="1393" spans="1:2" x14ac:dyDescent="0.25">
      <c r="A1393" s="1">
        <v>40970</v>
      </c>
      <c r="B1393">
        <v>1990371.02</v>
      </c>
    </row>
    <row r="1394" spans="1:2" x14ac:dyDescent="0.25">
      <c r="A1394" s="1">
        <v>40977</v>
      </c>
      <c r="B1394">
        <v>1917483.1</v>
      </c>
    </row>
    <row r="1395" spans="1:2" x14ac:dyDescent="0.25">
      <c r="A1395" s="1">
        <v>40984</v>
      </c>
      <c r="B1395">
        <v>1930814.66</v>
      </c>
    </row>
    <row r="1396" spans="1:2" x14ac:dyDescent="0.25">
      <c r="A1396" s="1">
        <v>40991</v>
      </c>
      <c r="B1396">
        <v>1837457.69</v>
      </c>
    </row>
    <row r="1397" spans="1:2" x14ac:dyDescent="0.25">
      <c r="A1397" s="1">
        <v>40998</v>
      </c>
      <c r="B1397">
        <v>1815760.42</v>
      </c>
    </row>
    <row r="1398" spans="1:2" x14ac:dyDescent="0.25">
      <c r="A1398" s="1">
        <v>41005</v>
      </c>
      <c r="B1398">
        <v>2163384.17</v>
      </c>
    </row>
    <row r="1399" spans="1:2" x14ac:dyDescent="0.25">
      <c r="A1399" s="1">
        <v>41012</v>
      </c>
      <c r="B1399">
        <v>1974687.51</v>
      </c>
    </row>
    <row r="1400" spans="1:2" x14ac:dyDescent="0.25">
      <c r="A1400" s="1">
        <v>41019</v>
      </c>
      <c r="B1400">
        <v>1777166.53</v>
      </c>
    </row>
    <row r="1401" spans="1:2" x14ac:dyDescent="0.25">
      <c r="A1401" s="1">
        <v>41026</v>
      </c>
      <c r="B1401">
        <v>1712987.56</v>
      </c>
    </row>
    <row r="1402" spans="1:2" x14ac:dyDescent="0.25">
      <c r="A1402" s="1">
        <v>41033</v>
      </c>
      <c r="B1402">
        <v>1821364.42</v>
      </c>
    </row>
    <row r="1403" spans="1:2" x14ac:dyDescent="0.25">
      <c r="A1403" s="1">
        <v>41040</v>
      </c>
      <c r="B1403">
        <v>1792345.3</v>
      </c>
    </row>
    <row r="1404" spans="1:2" x14ac:dyDescent="0.25">
      <c r="A1404" s="1">
        <v>41047</v>
      </c>
      <c r="B1404">
        <v>1795152.73</v>
      </c>
    </row>
    <row r="1405" spans="1:2" x14ac:dyDescent="0.25">
      <c r="A1405" s="1">
        <v>41054</v>
      </c>
      <c r="B1405">
        <v>1830939.1</v>
      </c>
    </row>
    <row r="1406" spans="1:2" x14ac:dyDescent="0.25">
      <c r="A1406" s="1">
        <v>41061</v>
      </c>
      <c r="B1406">
        <v>1767471.48</v>
      </c>
    </row>
    <row r="1407" spans="1:2" x14ac:dyDescent="0.25">
      <c r="A1407" s="1">
        <v>41068</v>
      </c>
      <c r="B1407">
        <v>1840491.41</v>
      </c>
    </row>
    <row r="1408" spans="1:2" x14ac:dyDescent="0.25">
      <c r="A1408" s="1">
        <v>41075</v>
      </c>
      <c r="B1408">
        <v>1811562.88</v>
      </c>
    </row>
    <row r="1409" spans="1:2" x14ac:dyDescent="0.25">
      <c r="A1409" s="1">
        <v>41082</v>
      </c>
      <c r="B1409">
        <v>1755334.18</v>
      </c>
    </row>
    <row r="1410" spans="1:2" x14ac:dyDescent="0.25">
      <c r="A1410" s="1">
        <v>41089</v>
      </c>
      <c r="B1410">
        <v>1707481.9</v>
      </c>
    </row>
    <row r="1411" spans="1:2" x14ac:dyDescent="0.25">
      <c r="A1411" s="1">
        <v>41096</v>
      </c>
      <c r="B1411">
        <v>1805999.79</v>
      </c>
    </row>
    <row r="1412" spans="1:2" x14ac:dyDescent="0.25">
      <c r="A1412" s="1">
        <v>41103</v>
      </c>
      <c r="B1412">
        <v>1765571.91</v>
      </c>
    </row>
    <row r="1413" spans="1:2" x14ac:dyDescent="0.25">
      <c r="A1413" s="1">
        <v>41110</v>
      </c>
      <c r="B1413">
        <v>1869967.03</v>
      </c>
    </row>
    <row r="1414" spans="1:2" x14ac:dyDescent="0.25">
      <c r="A1414" s="1">
        <v>41117</v>
      </c>
      <c r="B1414">
        <v>1817603.66</v>
      </c>
    </row>
    <row r="1415" spans="1:2" x14ac:dyDescent="0.25">
      <c r="A1415" s="1">
        <v>41124</v>
      </c>
      <c r="B1415">
        <v>1939440.09</v>
      </c>
    </row>
    <row r="1416" spans="1:2" x14ac:dyDescent="0.25">
      <c r="A1416" s="1">
        <v>41131</v>
      </c>
      <c r="B1416">
        <v>1880436.94</v>
      </c>
    </row>
    <row r="1417" spans="1:2" x14ac:dyDescent="0.25">
      <c r="A1417" s="1">
        <v>41138</v>
      </c>
      <c r="B1417">
        <v>1827797.4</v>
      </c>
    </row>
    <row r="1418" spans="1:2" x14ac:dyDescent="0.25">
      <c r="A1418" s="1">
        <v>41145</v>
      </c>
      <c r="B1418">
        <v>1764984.15</v>
      </c>
    </row>
    <row r="1419" spans="1:2" x14ac:dyDescent="0.25">
      <c r="A1419" s="1">
        <v>41152</v>
      </c>
      <c r="B1419">
        <v>1650285.54</v>
      </c>
    </row>
    <row r="1420" spans="1:2" x14ac:dyDescent="0.25">
      <c r="A1420" s="1">
        <v>41159</v>
      </c>
      <c r="B1420">
        <v>1708283.28</v>
      </c>
    </row>
    <row r="1421" spans="1:2" x14ac:dyDescent="0.25">
      <c r="A1421" s="1">
        <v>41166</v>
      </c>
      <c r="B1421">
        <v>1640168.99</v>
      </c>
    </row>
    <row r="1422" spans="1:2" x14ac:dyDescent="0.25">
      <c r="A1422" s="1">
        <v>41173</v>
      </c>
      <c r="B1422">
        <v>1671857.57</v>
      </c>
    </row>
    <row r="1423" spans="1:2" x14ac:dyDescent="0.25">
      <c r="A1423" s="1">
        <v>41180</v>
      </c>
      <c r="B1423">
        <v>1694862.41</v>
      </c>
    </row>
    <row r="1424" spans="1:2" x14ac:dyDescent="0.25">
      <c r="A1424" s="1">
        <v>41187</v>
      </c>
      <c r="B1424">
        <v>1758971.38</v>
      </c>
    </row>
    <row r="1425" spans="1:2" x14ac:dyDescent="0.25">
      <c r="A1425" s="1">
        <v>41194</v>
      </c>
      <c r="B1425">
        <v>1713889.11</v>
      </c>
    </row>
    <row r="1426" spans="1:2" x14ac:dyDescent="0.25">
      <c r="A1426" s="1">
        <v>41201</v>
      </c>
      <c r="B1426">
        <v>1734834.82</v>
      </c>
    </row>
    <row r="1427" spans="1:2" x14ac:dyDescent="0.25">
      <c r="A1427" s="1">
        <v>41208</v>
      </c>
      <c r="B1427">
        <v>1744349.05</v>
      </c>
    </row>
    <row r="1428" spans="1:2" x14ac:dyDescent="0.25">
      <c r="A1428" s="1">
        <v>40214</v>
      </c>
      <c r="B1428">
        <v>1528008.64</v>
      </c>
    </row>
    <row r="1429" spans="1:2" x14ac:dyDescent="0.25">
      <c r="A1429" s="1">
        <v>40221</v>
      </c>
      <c r="B1429">
        <v>1574684.08</v>
      </c>
    </row>
    <row r="1430" spans="1:2" x14ac:dyDescent="0.25">
      <c r="A1430" s="1">
        <v>40228</v>
      </c>
      <c r="B1430">
        <v>1503298.7</v>
      </c>
    </row>
    <row r="1431" spans="1:2" x14ac:dyDescent="0.25">
      <c r="A1431" s="1">
        <v>40235</v>
      </c>
      <c r="B1431">
        <v>1336404.6499999999</v>
      </c>
    </row>
    <row r="1432" spans="1:2" x14ac:dyDescent="0.25">
      <c r="A1432" s="1">
        <v>40242</v>
      </c>
      <c r="B1432">
        <v>1426622.65</v>
      </c>
    </row>
    <row r="1433" spans="1:2" x14ac:dyDescent="0.25">
      <c r="A1433" s="1">
        <v>40249</v>
      </c>
      <c r="B1433">
        <v>1331883.1599999999</v>
      </c>
    </row>
    <row r="1434" spans="1:2" x14ac:dyDescent="0.25">
      <c r="A1434" s="1">
        <v>40256</v>
      </c>
      <c r="B1434">
        <v>1364207</v>
      </c>
    </row>
    <row r="1435" spans="1:2" x14ac:dyDescent="0.25">
      <c r="A1435" s="1">
        <v>40263</v>
      </c>
      <c r="B1435">
        <v>1245624.27</v>
      </c>
    </row>
    <row r="1436" spans="1:2" x14ac:dyDescent="0.25">
      <c r="A1436" s="1">
        <v>40270</v>
      </c>
      <c r="B1436">
        <v>1446210.26</v>
      </c>
    </row>
    <row r="1437" spans="1:2" x14ac:dyDescent="0.25">
      <c r="A1437" s="1">
        <v>40277</v>
      </c>
      <c r="B1437">
        <v>1470308.32</v>
      </c>
    </row>
    <row r="1438" spans="1:2" x14ac:dyDescent="0.25">
      <c r="A1438" s="1">
        <v>40284</v>
      </c>
      <c r="B1438">
        <v>1323243.3500000001</v>
      </c>
    </row>
    <row r="1439" spans="1:2" x14ac:dyDescent="0.25">
      <c r="A1439" s="1">
        <v>40291</v>
      </c>
      <c r="B1439">
        <v>1283766.55</v>
      </c>
    </row>
    <row r="1440" spans="1:2" x14ac:dyDescent="0.25">
      <c r="A1440" s="1">
        <v>40298</v>
      </c>
      <c r="B1440">
        <v>1239766.8899999999</v>
      </c>
    </row>
    <row r="1441" spans="1:2" x14ac:dyDescent="0.25">
      <c r="A1441" s="1">
        <v>40305</v>
      </c>
      <c r="B1441">
        <v>1312329.78</v>
      </c>
    </row>
    <row r="1442" spans="1:2" x14ac:dyDescent="0.25">
      <c r="A1442" s="1">
        <v>40312</v>
      </c>
      <c r="B1442">
        <v>1266796.1299999999</v>
      </c>
    </row>
    <row r="1443" spans="1:2" x14ac:dyDescent="0.25">
      <c r="A1443" s="1">
        <v>40319</v>
      </c>
      <c r="B1443">
        <v>1271646.6200000001</v>
      </c>
    </row>
    <row r="1444" spans="1:2" x14ac:dyDescent="0.25">
      <c r="A1444" s="1">
        <v>40326</v>
      </c>
      <c r="B1444">
        <v>1264272.52</v>
      </c>
    </row>
    <row r="1445" spans="1:2" x14ac:dyDescent="0.25">
      <c r="A1445" s="1">
        <v>40333</v>
      </c>
      <c r="B1445">
        <v>1396322.19</v>
      </c>
    </row>
    <row r="1446" spans="1:2" x14ac:dyDescent="0.25">
      <c r="A1446" s="1">
        <v>40340</v>
      </c>
      <c r="B1446">
        <v>1339570.8500000001</v>
      </c>
    </row>
    <row r="1447" spans="1:2" x14ac:dyDescent="0.25">
      <c r="A1447" s="1">
        <v>40347</v>
      </c>
      <c r="B1447">
        <v>1336522.92</v>
      </c>
    </row>
    <row r="1448" spans="1:2" x14ac:dyDescent="0.25">
      <c r="A1448" s="1">
        <v>40354</v>
      </c>
      <c r="B1448">
        <v>1262025.08</v>
      </c>
    </row>
    <row r="1449" spans="1:2" x14ac:dyDescent="0.25">
      <c r="A1449" s="1">
        <v>40361</v>
      </c>
      <c r="B1449">
        <v>1302600.1399999999</v>
      </c>
    </row>
    <row r="1450" spans="1:2" x14ac:dyDescent="0.25">
      <c r="A1450" s="1">
        <v>40368</v>
      </c>
      <c r="B1450">
        <v>1280156.47</v>
      </c>
    </row>
    <row r="1451" spans="1:2" x14ac:dyDescent="0.25">
      <c r="A1451" s="1">
        <v>40375</v>
      </c>
      <c r="B1451">
        <v>1290609.54</v>
      </c>
    </row>
    <row r="1452" spans="1:2" x14ac:dyDescent="0.25">
      <c r="A1452" s="1">
        <v>40382</v>
      </c>
      <c r="B1452">
        <v>1244390.03</v>
      </c>
    </row>
    <row r="1453" spans="1:2" x14ac:dyDescent="0.25">
      <c r="A1453" s="1">
        <v>40389</v>
      </c>
      <c r="B1453">
        <v>1250178.8899999999</v>
      </c>
    </row>
    <row r="1454" spans="1:2" x14ac:dyDescent="0.25">
      <c r="A1454" s="1">
        <v>40396</v>
      </c>
      <c r="B1454">
        <v>1369634.92</v>
      </c>
    </row>
    <row r="1455" spans="1:2" x14ac:dyDescent="0.25">
      <c r="A1455" s="1">
        <v>40403</v>
      </c>
      <c r="B1455">
        <v>1384339.1</v>
      </c>
    </row>
    <row r="1456" spans="1:2" x14ac:dyDescent="0.25">
      <c r="A1456" s="1">
        <v>40410</v>
      </c>
      <c r="B1456">
        <v>1430192.37</v>
      </c>
    </row>
    <row r="1457" spans="1:2" x14ac:dyDescent="0.25">
      <c r="A1457" s="1">
        <v>40417</v>
      </c>
      <c r="B1457">
        <v>1311263.07</v>
      </c>
    </row>
    <row r="1458" spans="1:2" x14ac:dyDescent="0.25">
      <c r="A1458" s="1">
        <v>40424</v>
      </c>
      <c r="B1458">
        <v>1303914.27</v>
      </c>
    </row>
    <row r="1459" spans="1:2" x14ac:dyDescent="0.25">
      <c r="A1459" s="1">
        <v>40431</v>
      </c>
      <c r="B1459">
        <v>1231428.46</v>
      </c>
    </row>
    <row r="1460" spans="1:2" x14ac:dyDescent="0.25">
      <c r="A1460" s="1">
        <v>40438</v>
      </c>
      <c r="B1460">
        <v>1215676.31</v>
      </c>
    </row>
    <row r="1461" spans="1:2" x14ac:dyDescent="0.25">
      <c r="A1461" s="1">
        <v>40445</v>
      </c>
      <c r="B1461">
        <v>1170103.25</v>
      </c>
    </row>
    <row r="1462" spans="1:2" x14ac:dyDescent="0.25">
      <c r="A1462" s="1">
        <v>40452</v>
      </c>
      <c r="B1462">
        <v>1182490.46</v>
      </c>
    </row>
    <row r="1463" spans="1:2" x14ac:dyDescent="0.25">
      <c r="A1463" s="1">
        <v>40459</v>
      </c>
      <c r="B1463">
        <v>1293472.8</v>
      </c>
    </row>
    <row r="1464" spans="1:2" x14ac:dyDescent="0.25">
      <c r="A1464" s="1">
        <v>40466</v>
      </c>
      <c r="B1464">
        <v>1175003.67</v>
      </c>
    </row>
    <row r="1465" spans="1:2" x14ac:dyDescent="0.25">
      <c r="A1465" s="1">
        <v>40473</v>
      </c>
      <c r="B1465">
        <v>1169831.3799999999</v>
      </c>
    </row>
    <row r="1466" spans="1:2" x14ac:dyDescent="0.25">
      <c r="A1466" s="1">
        <v>40480</v>
      </c>
      <c r="B1466">
        <v>1195036</v>
      </c>
    </row>
    <row r="1467" spans="1:2" x14ac:dyDescent="0.25">
      <c r="A1467" s="1">
        <v>40487</v>
      </c>
      <c r="B1467">
        <v>1332759.1299999999</v>
      </c>
    </row>
    <row r="1468" spans="1:2" x14ac:dyDescent="0.25">
      <c r="A1468" s="1">
        <v>40494</v>
      </c>
      <c r="B1468">
        <v>1281675.6000000001</v>
      </c>
    </row>
    <row r="1469" spans="1:2" x14ac:dyDescent="0.25">
      <c r="A1469" s="1">
        <v>40501</v>
      </c>
      <c r="B1469">
        <v>1292346.57</v>
      </c>
    </row>
    <row r="1470" spans="1:2" x14ac:dyDescent="0.25">
      <c r="A1470" s="1">
        <v>40508</v>
      </c>
      <c r="B1470">
        <v>1757242.51</v>
      </c>
    </row>
    <row r="1471" spans="1:2" x14ac:dyDescent="0.25">
      <c r="A1471" s="1">
        <v>40515</v>
      </c>
      <c r="B1471">
        <v>1380522.64</v>
      </c>
    </row>
    <row r="1472" spans="1:2" x14ac:dyDescent="0.25">
      <c r="A1472" s="1">
        <v>40522</v>
      </c>
      <c r="B1472">
        <v>1564516.43</v>
      </c>
    </row>
    <row r="1473" spans="1:2" x14ac:dyDescent="0.25">
      <c r="A1473" s="1">
        <v>40529</v>
      </c>
      <c r="B1473">
        <v>1843971.15</v>
      </c>
    </row>
    <row r="1474" spans="1:2" x14ac:dyDescent="0.25">
      <c r="A1474" s="1">
        <v>40536</v>
      </c>
      <c r="B1474">
        <v>2306265.36</v>
      </c>
    </row>
    <row r="1475" spans="1:2" x14ac:dyDescent="0.25">
      <c r="A1475" s="1">
        <v>40543</v>
      </c>
      <c r="B1475">
        <v>1172003.1000000001</v>
      </c>
    </row>
    <row r="1476" spans="1:2" x14ac:dyDescent="0.25">
      <c r="A1476" s="1">
        <v>40550</v>
      </c>
      <c r="B1476">
        <v>1178905.44</v>
      </c>
    </row>
    <row r="1477" spans="1:2" x14ac:dyDescent="0.25">
      <c r="A1477" s="1">
        <v>40557</v>
      </c>
      <c r="B1477">
        <v>1194449.78</v>
      </c>
    </row>
    <row r="1478" spans="1:2" x14ac:dyDescent="0.25">
      <c r="A1478" s="1">
        <v>40564</v>
      </c>
      <c r="B1478">
        <v>1187776.19</v>
      </c>
    </row>
    <row r="1479" spans="1:2" x14ac:dyDescent="0.25">
      <c r="A1479" s="1">
        <v>40571</v>
      </c>
      <c r="B1479">
        <v>1100418.69</v>
      </c>
    </row>
    <row r="1480" spans="1:2" x14ac:dyDescent="0.25">
      <c r="A1480" s="1">
        <v>40578</v>
      </c>
      <c r="B1480">
        <v>1422546.05</v>
      </c>
    </row>
    <row r="1481" spans="1:2" x14ac:dyDescent="0.25">
      <c r="A1481" s="1">
        <v>40585</v>
      </c>
      <c r="B1481">
        <v>1419236.9</v>
      </c>
    </row>
    <row r="1482" spans="1:2" x14ac:dyDescent="0.25">
      <c r="A1482" s="1">
        <v>40592</v>
      </c>
      <c r="B1482">
        <v>1554747.15</v>
      </c>
    </row>
    <row r="1483" spans="1:2" x14ac:dyDescent="0.25">
      <c r="A1483" s="1">
        <v>40599</v>
      </c>
      <c r="B1483">
        <v>1323999.3600000001</v>
      </c>
    </row>
    <row r="1484" spans="1:2" x14ac:dyDescent="0.25">
      <c r="A1484" s="1">
        <v>40606</v>
      </c>
      <c r="B1484">
        <v>1399456.99</v>
      </c>
    </row>
    <row r="1485" spans="1:2" x14ac:dyDescent="0.25">
      <c r="A1485" s="1">
        <v>40613</v>
      </c>
      <c r="B1485">
        <v>1314557.31</v>
      </c>
    </row>
    <row r="1486" spans="1:2" x14ac:dyDescent="0.25">
      <c r="A1486" s="1">
        <v>40620</v>
      </c>
      <c r="B1486">
        <v>1391813.69</v>
      </c>
    </row>
    <row r="1487" spans="1:2" x14ac:dyDescent="0.25">
      <c r="A1487" s="1">
        <v>40627</v>
      </c>
      <c r="B1487">
        <v>1229777.24</v>
      </c>
    </row>
    <row r="1488" spans="1:2" x14ac:dyDescent="0.25">
      <c r="A1488" s="1">
        <v>40634</v>
      </c>
      <c r="B1488">
        <v>1258674.1200000001</v>
      </c>
    </row>
    <row r="1489" spans="1:2" x14ac:dyDescent="0.25">
      <c r="A1489" s="1">
        <v>40641</v>
      </c>
      <c r="B1489">
        <v>1327401.06</v>
      </c>
    </row>
    <row r="1490" spans="1:2" x14ac:dyDescent="0.25">
      <c r="A1490" s="1">
        <v>40648</v>
      </c>
      <c r="B1490">
        <v>1312905.8</v>
      </c>
    </row>
    <row r="1491" spans="1:2" x14ac:dyDescent="0.25">
      <c r="A1491" s="1">
        <v>40655</v>
      </c>
      <c r="B1491">
        <v>1388118.53</v>
      </c>
    </row>
    <row r="1492" spans="1:2" x14ac:dyDescent="0.25">
      <c r="A1492" s="1">
        <v>40662</v>
      </c>
      <c r="B1492">
        <v>1357589.89</v>
      </c>
    </row>
    <row r="1493" spans="1:2" x14ac:dyDescent="0.25">
      <c r="A1493" s="1">
        <v>40669</v>
      </c>
      <c r="B1493">
        <v>1331453.4099999999</v>
      </c>
    </row>
    <row r="1494" spans="1:2" x14ac:dyDescent="0.25">
      <c r="A1494" s="1">
        <v>40676</v>
      </c>
      <c r="B1494">
        <v>1277959.42</v>
      </c>
    </row>
    <row r="1495" spans="1:2" x14ac:dyDescent="0.25">
      <c r="A1495" s="1">
        <v>40683</v>
      </c>
      <c r="B1495">
        <v>1239466.97</v>
      </c>
    </row>
    <row r="1496" spans="1:2" x14ac:dyDescent="0.25">
      <c r="A1496" s="1">
        <v>40690</v>
      </c>
      <c r="B1496">
        <v>1216876.52</v>
      </c>
    </row>
    <row r="1497" spans="1:2" x14ac:dyDescent="0.25">
      <c r="A1497" s="1">
        <v>40697</v>
      </c>
      <c r="B1497">
        <v>1343637</v>
      </c>
    </row>
    <row r="1498" spans="1:2" x14ac:dyDescent="0.25">
      <c r="A1498" s="1">
        <v>40704</v>
      </c>
      <c r="B1498">
        <v>1314626.75</v>
      </c>
    </row>
    <row r="1499" spans="1:2" x14ac:dyDescent="0.25">
      <c r="A1499" s="1">
        <v>40711</v>
      </c>
      <c r="B1499">
        <v>1337506.74</v>
      </c>
    </row>
    <row r="1500" spans="1:2" x14ac:dyDescent="0.25">
      <c r="A1500" s="1">
        <v>40718</v>
      </c>
      <c r="B1500">
        <v>1254587.8400000001</v>
      </c>
    </row>
    <row r="1501" spans="1:2" x14ac:dyDescent="0.25">
      <c r="A1501" s="1">
        <v>40725</v>
      </c>
      <c r="B1501">
        <v>1297472.06</v>
      </c>
    </row>
    <row r="1502" spans="1:2" x14ac:dyDescent="0.25">
      <c r="A1502" s="1">
        <v>40732</v>
      </c>
      <c r="B1502">
        <v>1334627.96</v>
      </c>
    </row>
    <row r="1503" spans="1:2" x14ac:dyDescent="0.25">
      <c r="A1503" s="1">
        <v>40739</v>
      </c>
      <c r="B1503">
        <v>1266546.73</v>
      </c>
    </row>
    <row r="1504" spans="1:2" x14ac:dyDescent="0.25">
      <c r="A1504" s="1">
        <v>40746</v>
      </c>
      <c r="B1504">
        <v>1290576.44</v>
      </c>
    </row>
    <row r="1505" spans="1:2" x14ac:dyDescent="0.25">
      <c r="A1505" s="1">
        <v>40753</v>
      </c>
      <c r="B1505">
        <v>1212938.67</v>
      </c>
    </row>
    <row r="1506" spans="1:2" x14ac:dyDescent="0.25">
      <c r="A1506" s="1">
        <v>40760</v>
      </c>
      <c r="B1506">
        <v>1403198.94</v>
      </c>
    </row>
    <row r="1507" spans="1:2" x14ac:dyDescent="0.25">
      <c r="A1507" s="1">
        <v>40767</v>
      </c>
      <c r="B1507">
        <v>1354188.43</v>
      </c>
    </row>
    <row r="1508" spans="1:2" x14ac:dyDescent="0.25">
      <c r="A1508" s="1">
        <v>40774</v>
      </c>
      <c r="B1508">
        <v>1484169.74</v>
      </c>
    </row>
    <row r="1509" spans="1:2" x14ac:dyDescent="0.25">
      <c r="A1509" s="1">
        <v>40781</v>
      </c>
      <c r="B1509">
        <v>1304706.75</v>
      </c>
    </row>
    <row r="1510" spans="1:2" x14ac:dyDescent="0.25">
      <c r="A1510" s="1">
        <v>40788</v>
      </c>
      <c r="B1510">
        <v>1297792.4099999999</v>
      </c>
    </row>
    <row r="1511" spans="1:2" x14ac:dyDescent="0.25">
      <c r="A1511" s="1">
        <v>40795</v>
      </c>
      <c r="B1511">
        <v>1249439.95</v>
      </c>
    </row>
    <row r="1512" spans="1:2" x14ac:dyDescent="0.25">
      <c r="A1512" s="1">
        <v>40802</v>
      </c>
      <c r="B1512">
        <v>1270816.01</v>
      </c>
    </row>
    <row r="1513" spans="1:2" x14ac:dyDescent="0.25">
      <c r="A1513" s="1">
        <v>40809</v>
      </c>
      <c r="B1513">
        <v>1235775.1499999999</v>
      </c>
    </row>
    <row r="1514" spans="1:2" x14ac:dyDescent="0.25">
      <c r="A1514" s="1">
        <v>40816</v>
      </c>
      <c r="B1514">
        <v>1190515.83</v>
      </c>
    </row>
    <row r="1515" spans="1:2" x14ac:dyDescent="0.25">
      <c r="A1515" s="1">
        <v>40823</v>
      </c>
      <c r="B1515">
        <v>1346271.06</v>
      </c>
    </row>
    <row r="1516" spans="1:2" x14ac:dyDescent="0.25">
      <c r="A1516" s="1">
        <v>40830</v>
      </c>
      <c r="B1516">
        <v>1286388.96</v>
      </c>
    </row>
    <row r="1517" spans="1:2" x14ac:dyDescent="0.25">
      <c r="A1517" s="1">
        <v>40837</v>
      </c>
      <c r="B1517">
        <v>1325107.53</v>
      </c>
    </row>
    <row r="1518" spans="1:2" x14ac:dyDescent="0.25">
      <c r="A1518" s="1">
        <v>40844</v>
      </c>
      <c r="B1518">
        <v>1310684.1000000001</v>
      </c>
    </row>
    <row r="1519" spans="1:2" x14ac:dyDescent="0.25">
      <c r="A1519" s="1">
        <v>40851</v>
      </c>
      <c r="B1519">
        <v>1458287.38</v>
      </c>
    </row>
    <row r="1520" spans="1:2" x14ac:dyDescent="0.25">
      <c r="A1520" s="1">
        <v>40858</v>
      </c>
      <c r="B1520">
        <v>1366053.69</v>
      </c>
    </row>
    <row r="1521" spans="1:2" x14ac:dyDescent="0.25">
      <c r="A1521" s="1">
        <v>40865</v>
      </c>
      <c r="B1521">
        <v>1315091.6299999999</v>
      </c>
    </row>
    <row r="1522" spans="1:2" x14ac:dyDescent="0.25">
      <c r="A1522" s="1">
        <v>40872</v>
      </c>
      <c r="B1522">
        <v>1848953.48</v>
      </c>
    </row>
    <row r="1523" spans="1:2" x14ac:dyDescent="0.25">
      <c r="A1523" s="1">
        <v>40879</v>
      </c>
      <c r="B1523">
        <v>1399322.44</v>
      </c>
    </row>
    <row r="1524" spans="1:2" x14ac:dyDescent="0.25">
      <c r="A1524" s="1">
        <v>40886</v>
      </c>
      <c r="B1524">
        <v>1646655.94</v>
      </c>
    </row>
    <row r="1525" spans="1:2" x14ac:dyDescent="0.25">
      <c r="A1525" s="1">
        <v>40893</v>
      </c>
      <c r="B1525">
        <v>1783910.06</v>
      </c>
    </row>
    <row r="1526" spans="1:2" x14ac:dyDescent="0.25">
      <c r="A1526" s="1">
        <v>40900</v>
      </c>
      <c r="B1526">
        <v>2213518.5</v>
      </c>
    </row>
    <row r="1527" spans="1:2" x14ac:dyDescent="0.25">
      <c r="A1527" s="1">
        <v>40907</v>
      </c>
      <c r="B1527">
        <v>1352084.21</v>
      </c>
    </row>
    <row r="1528" spans="1:2" x14ac:dyDescent="0.25">
      <c r="A1528" s="1">
        <v>40914</v>
      </c>
      <c r="B1528">
        <v>1283885.55</v>
      </c>
    </row>
    <row r="1529" spans="1:2" x14ac:dyDescent="0.25">
      <c r="A1529" s="1">
        <v>40921</v>
      </c>
      <c r="B1529">
        <v>1264736.5900000001</v>
      </c>
    </row>
    <row r="1530" spans="1:2" x14ac:dyDescent="0.25">
      <c r="A1530" s="1">
        <v>40928</v>
      </c>
      <c r="B1530">
        <v>1207303.29</v>
      </c>
    </row>
    <row r="1531" spans="1:2" x14ac:dyDescent="0.25">
      <c r="A1531" s="1">
        <v>40935</v>
      </c>
      <c r="B1531">
        <v>1162675.8500000001</v>
      </c>
    </row>
    <row r="1532" spans="1:2" x14ac:dyDescent="0.25">
      <c r="A1532" s="1">
        <v>40942</v>
      </c>
      <c r="B1532">
        <v>1376732.18</v>
      </c>
    </row>
    <row r="1533" spans="1:2" x14ac:dyDescent="0.25">
      <c r="A1533" s="1">
        <v>40949</v>
      </c>
      <c r="B1533">
        <v>1574287.76</v>
      </c>
    </row>
    <row r="1534" spans="1:2" x14ac:dyDescent="0.25">
      <c r="A1534" s="1">
        <v>40956</v>
      </c>
      <c r="B1534">
        <v>1569607.94</v>
      </c>
    </row>
    <row r="1535" spans="1:2" x14ac:dyDescent="0.25">
      <c r="A1535" s="1">
        <v>40963</v>
      </c>
      <c r="B1535">
        <v>1379473.03</v>
      </c>
    </row>
    <row r="1536" spans="1:2" x14ac:dyDescent="0.25">
      <c r="A1536" s="1">
        <v>40970</v>
      </c>
      <c r="B1536">
        <v>1438383.44</v>
      </c>
    </row>
    <row r="1537" spans="1:2" x14ac:dyDescent="0.25">
      <c r="A1537" s="1">
        <v>40977</v>
      </c>
      <c r="B1537">
        <v>1413382.76</v>
      </c>
    </row>
    <row r="1538" spans="1:2" x14ac:dyDescent="0.25">
      <c r="A1538" s="1">
        <v>40984</v>
      </c>
      <c r="B1538">
        <v>1441884.28</v>
      </c>
    </row>
    <row r="1539" spans="1:2" x14ac:dyDescent="0.25">
      <c r="A1539" s="1">
        <v>40991</v>
      </c>
      <c r="B1539">
        <v>1300593.6100000001</v>
      </c>
    </row>
    <row r="1540" spans="1:2" x14ac:dyDescent="0.25">
      <c r="A1540" s="1">
        <v>40998</v>
      </c>
      <c r="B1540">
        <v>1300104.03</v>
      </c>
    </row>
    <row r="1541" spans="1:2" x14ac:dyDescent="0.25">
      <c r="A1541" s="1">
        <v>41005</v>
      </c>
      <c r="B1541">
        <v>1596325.01</v>
      </c>
    </row>
    <row r="1542" spans="1:2" x14ac:dyDescent="0.25">
      <c r="A1542" s="1">
        <v>41012</v>
      </c>
      <c r="B1542">
        <v>1472752.01</v>
      </c>
    </row>
    <row r="1543" spans="1:2" x14ac:dyDescent="0.25">
      <c r="A1543" s="1">
        <v>41019</v>
      </c>
      <c r="B1543">
        <v>1315356.99</v>
      </c>
    </row>
    <row r="1544" spans="1:2" x14ac:dyDescent="0.25">
      <c r="A1544" s="1">
        <v>41026</v>
      </c>
      <c r="B1544">
        <v>1236238.29</v>
      </c>
    </row>
    <row r="1545" spans="1:2" x14ac:dyDescent="0.25">
      <c r="A1545" s="1">
        <v>41033</v>
      </c>
      <c r="B1545">
        <v>1370251.22</v>
      </c>
    </row>
    <row r="1546" spans="1:2" x14ac:dyDescent="0.25">
      <c r="A1546" s="1">
        <v>41040</v>
      </c>
      <c r="B1546">
        <v>1300147.07</v>
      </c>
    </row>
    <row r="1547" spans="1:2" x14ac:dyDescent="0.25">
      <c r="A1547" s="1">
        <v>41047</v>
      </c>
      <c r="B1547">
        <v>1352442.31</v>
      </c>
    </row>
    <row r="1548" spans="1:2" x14ac:dyDescent="0.25">
      <c r="A1548" s="1">
        <v>41054</v>
      </c>
      <c r="B1548">
        <v>1297335.8700000001</v>
      </c>
    </row>
    <row r="1549" spans="1:2" x14ac:dyDescent="0.25">
      <c r="A1549" s="1">
        <v>41061</v>
      </c>
      <c r="B1549">
        <v>1361595.33</v>
      </c>
    </row>
    <row r="1550" spans="1:2" x14ac:dyDescent="0.25">
      <c r="A1550" s="1">
        <v>41068</v>
      </c>
      <c r="B1550">
        <v>1414343.53</v>
      </c>
    </row>
    <row r="1551" spans="1:2" x14ac:dyDescent="0.25">
      <c r="A1551" s="1">
        <v>41075</v>
      </c>
      <c r="B1551">
        <v>1417875.42</v>
      </c>
    </row>
    <row r="1552" spans="1:2" x14ac:dyDescent="0.25">
      <c r="A1552" s="1">
        <v>41082</v>
      </c>
      <c r="B1552">
        <v>1355680.3</v>
      </c>
    </row>
    <row r="1553" spans="1:2" x14ac:dyDescent="0.25">
      <c r="A1553" s="1">
        <v>41089</v>
      </c>
      <c r="B1553">
        <v>1297028.6000000001</v>
      </c>
    </row>
    <row r="1554" spans="1:2" x14ac:dyDescent="0.25">
      <c r="A1554" s="1">
        <v>41096</v>
      </c>
      <c r="B1554">
        <v>1461129.94</v>
      </c>
    </row>
    <row r="1555" spans="1:2" x14ac:dyDescent="0.25">
      <c r="A1555" s="1">
        <v>41103</v>
      </c>
      <c r="B1555">
        <v>1320239.51</v>
      </c>
    </row>
    <row r="1556" spans="1:2" x14ac:dyDescent="0.25">
      <c r="A1556" s="1">
        <v>41110</v>
      </c>
      <c r="B1556">
        <v>1344483.81</v>
      </c>
    </row>
    <row r="1557" spans="1:2" x14ac:dyDescent="0.25">
      <c r="A1557" s="1">
        <v>41117</v>
      </c>
      <c r="B1557">
        <v>1272395.02</v>
      </c>
    </row>
    <row r="1558" spans="1:2" x14ac:dyDescent="0.25">
      <c r="A1558" s="1">
        <v>41124</v>
      </c>
      <c r="B1558">
        <v>1399341.07</v>
      </c>
    </row>
    <row r="1559" spans="1:2" x14ac:dyDescent="0.25">
      <c r="A1559" s="1">
        <v>41131</v>
      </c>
      <c r="B1559">
        <v>1388973.65</v>
      </c>
    </row>
    <row r="1560" spans="1:2" x14ac:dyDescent="0.25">
      <c r="A1560" s="1">
        <v>41138</v>
      </c>
      <c r="B1560">
        <v>1421307.2</v>
      </c>
    </row>
    <row r="1561" spans="1:2" x14ac:dyDescent="0.25">
      <c r="A1561" s="1">
        <v>41145</v>
      </c>
      <c r="B1561">
        <v>1409515.73</v>
      </c>
    </row>
    <row r="1562" spans="1:2" x14ac:dyDescent="0.25">
      <c r="A1562" s="1">
        <v>41152</v>
      </c>
      <c r="B1562">
        <v>1372872.35</v>
      </c>
    </row>
    <row r="1563" spans="1:2" x14ac:dyDescent="0.25">
      <c r="A1563" s="1">
        <v>41159</v>
      </c>
      <c r="B1563">
        <v>1304584.3999999999</v>
      </c>
    </row>
    <row r="1564" spans="1:2" x14ac:dyDescent="0.25">
      <c r="A1564" s="1">
        <v>41166</v>
      </c>
      <c r="B1564">
        <v>1267675.05</v>
      </c>
    </row>
    <row r="1565" spans="1:2" x14ac:dyDescent="0.25">
      <c r="A1565" s="1">
        <v>41173</v>
      </c>
      <c r="B1565">
        <v>1326132.98</v>
      </c>
    </row>
    <row r="1566" spans="1:2" x14ac:dyDescent="0.25">
      <c r="A1566" s="1">
        <v>41180</v>
      </c>
      <c r="B1566">
        <v>1227430.73</v>
      </c>
    </row>
    <row r="1567" spans="1:2" x14ac:dyDescent="0.25">
      <c r="A1567" s="1">
        <v>41187</v>
      </c>
      <c r="B1567">
        <v>1422794.26</v>
      </c>
    </row>
    <row r="1568" spans="1:2" x14ac:dyDescent="0.25">
      <c r="A1568" s="1">
        <v>41194</v>
      </c>
      <c r="B1568">
        <v>1311965.0900000001</v>
      </c>
    </row>
    <row r="1569" spans="1:2" x14ac:dyDescent="0.25">
      <c r="A1569" s="1">
        <v>41201</v>
      </c>
      <c r="B1569">
        <v>1232073.18</v>
      </c>
    </row>
    <row r="1570" spans="1:2" x14ac:dyDescent="0.25">
      <c r="A1570" s="1">
        <v>41208</v>
      </c>
      <c r="B1570">
        <v>1200729.45</v>
      </c>
    </row>
    <row r="1571" spans="1:2" x14ac:dyDescent="0.25">
      <c r="A1571" s="1">
        <v>40214</v>
      </c>
      <c r="B1571">
        <v>1100046.3700000001</v>
      </c>
    </row>
    <row r="1572" spans="1:2" x14ac:dyDescent="0.25">
      <c r="A1572" s="1">
        <v>40221</v>
      </c>
      <c r="B1572">
        <v>1117863.33</v>
      </c>
    </row>
    <row r="1573" spans="1:2" x14ac:dyDescent="0.25">
      <c r="A1573" s="1">
        <v>40228</v>
      </c>
      <c r="B1573">
        <v>1095421.6499999999</v>
      </c>
    </row>
    <row r="1574" spans="1:2" x14ac:dyDescent="0.25">
      <c r="A1574" s="1">
        <v>40235</v>
      </c>
      <c r="B1574">
        <v>1048617.17</v>
      </c>
    </row>
    <row r="1575" spans="1:2" x14ac:dyDescent="0.25">
      <c r="A1575" s="1">
        <v>40242</v>
      </c>
      <c r="B1575">
        <v>1077018.27</v>
      </c>
    </row>
    <row r="1576" spans="1:2" x14ac:dyDescent="0.25">
      <c r="A1576" s="1">
        <v>40249</v>
      </c>
      <c r="B1576">
        <v>985594.23</v>
      </c>
    </row>
    <row r="1577" spans="1:2" x14ac:dyDescent="0.25">
      <c r="A1577" s="1">
        <v>40256</v>
      </c>
      <c r="B1577">
        <v>972088.34</v>
      </c>
    </row>
    <row r="1578" spans="1:2" x14ac:dyDescent="0.25">
      <c r="A1578" s="1">
        <v>40263</v>
      </c>
      <c r="B1578">
        <v>981615.81</v>
      </c>
    </row>
    <row r="1579" spans="1:2" x14ac:dyDescent="0.25">
      <c r="A1579" s="1">
        <v>40270</v>
      </c>
      <c r="B1579">
        <v>1011822.3</v>
      </c>
    </row>
    <row r="1580" spans="1:2" x14ac:dyDescent="0.25">
      <c r="A1580" s="1">
        <v>40277</v>
      </c>
      <c r="B1580">
        <v>1041238.87</v>
      </c>
    </row>
    <row r="1581" spans="1:2" x14ac:dyDescent="0.25">
      <c r="A1581" s="1">
        <v>40284</v>
      </c>
      <c r="B1581">
        <v>957997.52</v>
      </c>
    </row>
    <row r="1582" spans="1:2" x14ac:dyDescent="0.25">
      <c r="A1582" s="1">
        <v>40291</v>
      </c>
      <c r="B1582">
        <v>993833.44</v>
      </c>
    </row>
    <row r="1583" spans="1:2" x14ac:dyDescent="0.25">
      <c r="A1583" s="1">
        <v>40298</v>
      </c>
      <c r="B1583">
        <v>954220.22</v>
      </c>
    </row>
    <row r="1584" spans="1:2" x14ac:dyDescent="0.25">
      <c r="A1584" s="1">
        <v>40305</v>
      </c>
      <c r="B1584">
        <v>1043240.27</v>
      </c>
    </row>
    <row r="1585" spans="1:2" x14ac:dyDescent="0.25">
      <c r="A1585" s="1">
        <v>40312</v>
      </c>
      <c r="B1585">
        <v>966054.97</v>
      </c>
    </row>
    <row r="1586" spans="1:2" x14ac:dyDescent="0.25">
      <c r="A1586" s="1">
        <v>40319</v>
      </c>
      <c r="B1586">
        <v>958374.56</v>
      </c>
    </row>
    <row r="1587" spans="1:2" x14ac:dyDescent="0.25">
      <c r="A1587" s="1">
        <v>40326</v>
      </c>
      <c r="B1587">
        <v>955451.16</v>
      </c>
    </row>
    <row r="1588" spans="1:2" x14ac:dyDescent="0.25">
      <c r="A1588" s="1">
        <v>40333</v>
      </c>
      <c r="B1588">
        <v>1049357.3600000001</v>
      </c>
    </row>
    <row r="1589" spans="1:2" x14ac:dyDescent="0.25">
      <c r="A1589" s="1">
        <v>40340</v>
      </c>
      <c r="B1589">
        <v>1016039.71</v>
      </c>
    </row>
    <row r="1590" spans="1:2" x14ac:dyDescent="0.25">
      <c r="A1590" s="1">
        <v>40347</v>
      </c>
      <c r="B1590">
        <v>956211.19999999995</v>
      </c>
    </row>
    <row r="1591" spans="1:2" x14ac:dyDescent="0.25">
      <c r="A1591" s="1">
        <v>40354</v>
      </c>
      <c r="B1591">
        <v>958007.69</v>
      </c>
    </row>
    <row r="1592" spans="1:2" x14ac:dyDescent="0.25">
      <c r="A1592" s="1">
        <v>40361</v>
      </c>
      <c r="B1592">
        <v>951957.31</v>
      </c>
    </row>
    <row r="1593" spans="1:2" x14ac:dyDescent="0.25">
      <c r="A1593" s="1">
        <v>40368</v>
      </c>
      <c r="B1593">
        <v>943506.28</v>
      </c>
    </row>
    <row r="1594" spans="1:2" x14ac:dyDescent="0.25">
      <c r="A1594" s="1">
        <v>40375</v>
      </c>
      <c r="B1594">
        <v>916402.76</v>
      </c>
    </row>
    <row r="1595" spans="1:2" x14ac:dyDescent="0.25">
      <c r="A1595" s="1">
        <v>40382</v>
      </c>
      <c r="B1595">
        <v>912403.67</v>
      </c>
    </row>
    <row r="1596" spans="1:2" x14ac:dyDescent="0.25">
      <c r="A1596" s="1">
        <v>40389</v>
      </c>
      <c r="B1596">
        <v>913548.25</v>
      </c>
    </row>
    <row r="1597" spans="1:2" x14ac:dyDescent="0.25">
      <c r="A1597" s="1">
        <v>40396</v>
      </c>
      <c r="B1597">
        <v>967576.95</v>
      </c>
    </row>
    <row r="1598" spans="1:2" x14ac:dyDescent="0.25">
      <c r="A1598" s="1">
        <v>40403</v>
      </c>
      <c r="B1598">
        <v>928264.4</v>
      </c>
    </row>
    <row r="1599" spans="1:2" x14ac:dyDescent="0.25">
      <c r="A1599" s="1">
        <v>40410</v>
      </c>
      <c r="B1599">
        <v>948447.34</v>
      </c>
    </row>
    <row r="1600" spans="1:2" x14ac:dyDescent="0.25">
      <c r="A1600" s="1">
        <v>40417</v>
      </c>
      <c r="B1600">
        <v>1004516.46</v>
      </c>
    </row>
    <row r="1601" spans="1:2" x14ac:dyDescent="0.25">
      <c r="A1601" s="1">
        <v>40424</v>
      </c>
      <c r="B1601">
        <v>1075758.55</v>
      </c>
    </row>
    <row r="1602" spans="1:2" x14ac:dyDescent="0.25">
      <c r="A1602" s="1">
        <v>40431</v>
      </c>
      <c r="B1602">
        <v>903119.03</v>
      </c>
    </row>
    <row r="1603" spans="1:2" x14ac:dyDescent="0.25">
      <c r="A1603" s="1">
        <v>40438</v>
      </c>
      <c r="B1603">
        <v>852882.61</v>
      </c>
    </row>
    <row r="1604" spans="1:2" x14ac:dyDescent="0.25">
      <c r="A1604" s="1">
        <v>40445</v>
      </c>
      <c r="B1604">
        <v>851919.34</v>
      </c>
    </row>
    <row r="1605" spans="1:2" x14ac:dyDescent="0.25">
      <c r="A1605" s="1">
        <v>40452</v>
      </c>
      <c r="B1605">
        <v>850936.26</v>
      </c>
    </row>
    <row r="1606" spans="1:2" x14ac:dyDescent="0.25">
      <c r="A1606" s="1">
        <v>40459</v>
      </c>
      <c r="B1606">
        <v>918335.68</v>
      </c>
    </row>
    <row r="1607" spans="1:2" x14ac:dyDescent="0.25">
      <c r="A1607" s="1">
        <v>40466</v>
      </c>
      <c r="B1607">
        <v>862419.84</v>
      </c>
    </row>
    <row r="1608" spans="1:2" x14ac:dyDescent="0.25">
      <c r="A1608" s="1">
        <v>40473</v>
      </c>
      <c r="B1608">
        <v>857883.46</v>
      </c>
    </row>
    <row r="1609" spans="1:2" x14ac:dyDescent="0.25">
      <c r="A1609" s="1">
        <v>40480</v>
      </c>
      <c r="B1609">
        <v>955294.7</v>
      </c>
    </row>
    <row r="1610" spans="1:2" x14ac:dyDescent="0.25">
      <c r="A1610" s="1">
        <v>40487</v>
      </c>
      <c r="B1610">
        <v>929690.71</v>
      </c>
    </row>
    <row r="1611" spans="1:2" x14ac:dyDescent="0.25">
      <c r="A1611" s="1">
        <v>40494</v>
      </c>
      <c r="B1611">
        <v>942475.24</v>
      </c>
    </row>
    <row r="1612" spans="1:2" x14ac:dyDescent="0.25">
      <c r="A1612" s="1">
        <v>40501</v>
      </c>
      <c r="B1612">
        <v>894493.7</v>
      </c>
    </row>
    <row r="1613" spans="1:2" x14ac:dyDescent="0.25">
      <c r="A1613" s="1">
        <v>40508</v>
      </c>
      <c r="B1613">
        <v>1601377.41</v>
      </c>
    </row>
    <row r="1614" spans="1:2" x14ac:dyDescent="0.25">
      <c r="A1614" s="1">
        <v>40515</v>
      </c>
      <c r="B1614">
        <v>1069533.17</v>
      </c>
    </row>
    <row r="1615" spans="1:2" x14ac:dyDescent="0.25">
      <c r="A1615" s="1">
        <v>40522</v>
      </c>
      <c r="B1615">
        <v>1121934.1499999999</v>
      </c>
    </row>
    <row r="1616" spans="1:2" x14ac:dyDescent="0.25">
      <c r="A1616" s="1">
        <v>40529</v>
      </c>
      <c r="B1616">
        <v>1295605.3500000001</v>
      </c>
    </row>
    <row r="1617" spans="1:2" x14ac:dyDescent="0.25">
      <c r="A1617" s="1">
        <v>40536</v>
      </c>
      <c r="B1617">
        <v>1768249.89</v>
      </c>
    </row>
    <row r="1618" spans="1:2" x14ac:dyDescent="0.25">
      <c r="A1618" s="1">
        <v>40543</v>
      </c>
      <c r="B1618">
        <v>891736.91</v>
      </c>
    </row>
    <row r="1619" spans="1:2" x14ac:dyDescent="0.25">
      <c r="A1619" s="1">
        <v>40550</v>
      </c>
      <c r="B1619">
        <v>910110.24</v>
      </c>
    </row>
    <row r="1620" spans="1:2" x14ac:dyDescent="0.25">
      <c r="A1620" s="1">
        <v>40557</v>
      </c>
      <c r="B1620">
        <v>812011.8</v>
      </c>
    </row>
    <row r="1621" spans="1:2" x14ac:dyDescent="0.25">
      <c r="A1621" s="1">
        <v>40564</v>
      </c>
      <c r="B1621">
        <v>802105.5</v>
      </c>
    </row>
    <row r="1622" spans="1:2" x14ac:dyDescent="0.25">
      <c r="A1622" s="1">
        <v>40571</v>
      </c>
      <c r="B1622">
        <v>873119.06</v>
      </c>
    </row>
    <row r="1623" spans="1:2" x14ac:dyDescent="0.25">
      <c r="A1623" s="1">
        <v>40578</v>
      </c>
      <c r="B1623">
        <v>1046068.17</v>
      </c>
    </row>
    <row r="1624" spans="1:2" x14ac:dyDescent="0.25">
      <c r="A1624" s="1">
        <v>40585</v>
      </c>
      <c r="B1624">
        <v>1086421.57</v>
      </c>
    </row>
    <row r="1625" spans="1:2" x14ac:dyDescent="0.25">
      <c r="A1625" s="1">
        <v>40592</v>
      </c>
      <c r="B1625">
        <v>1128485.1000000001</v>
      </c>
    </row>
    <row r="1626" spans="1:2" x14ac:dyDescent="0.25">
      <c r="A1626" s="1">
        <v>40599</v>
      </c>
      <c r="B1626">
        <v>1046203.72</v>
      </c>
    </row>
    <row r="1627" spans="1:2" x14ac:dyDescent="0.25">
      <c r="A1627" s="1">
        <v>40606</v>
      </c>
      <c r="B1627">
        <v>1085248.21</v>
      </c>
    </row>
    <row r="1628" spans="1:2" x14ac:dyDescent="0.25">
      <c r="A1628" s="1">
        <v>40613</v>
      </c>
      <c r="B1628">
        <v>997672.62</v>
      </c>
    </row>
    <row r="1629" spans="1:2" x14ac:dyDescent="0.25">
      <c r="A1629" s="1">
        <v>40620</v>
      </c>
      <c r="B1629">
        <v>1009502.01</v>
      </c>
    </row>
    <row r="1630" spans="1:2" x14ac:dyDescent="0.25">
      <c r="A1630" s="1">
        <v>40627</v>
      </c>
      <c r="B1630">
        <v>954107.32</v>
      </c>
    </row>
    <row r="1631" spans="1:2" x14ac:dyDescent="0.25">
      <c r="A1631" s="1">
        <v>40634</v>
      </c>
      <c r="B1631">
        <v>1005463.49</v>
      </c>
    </row>
    <row r="1632" spans="1:2" x14ac:dyDescent="0.25">
      <c r="A1632" s="1">
        <v>40641</v>
      </c>
      <c r="B1632">
        <v>998362.05</v>
      </c>
    </row>
    <row r="1633" spans="1:2" x14ac:dyDescent="0.25">
      <c r="A1633" s="1">
        <v>40648</v>
      </c>
      <c r="B1633">
        <v>990951.77</v>
      </c>
    </row>
    <row r="1634" spans="1:2" x14ac:dyDescent="0.25">
      <c r="A1634" s="1">
        <v>40655</v>
      </c>
      <c r="B1634">
        <v>1016019.47</v>
      </c>
    </row>
    <row r="1635" spans="1:2" x14ac:dyDescent="0.25">
      <c r="A1635" s="1">
        <v>40662</v>
      </c>
      <c r="B1635">
        <v>994966.1</v>
      </c>
    </row>
    <row r="1636" spans="1:2" x14ac:dyDescent="0.25">
      <c r="A1636" s="1">
        <v>40669</v>
      </c>
      <c r="B1636">
        <v>1021154.48</v>
      </c>
    </row>
    <row r="1637" spans="1:2" x14ac:dyDescent="0.25">
      <c r="A1637" s="1">
        <v>40676</v>
      </c>
      <c r="B1637">
        <v>977033.5</v>
      </c>
    </row>
    <row r="1638" spans="1:2" x14ac:dyDescent="0.25">
      <c r="A1638" s="1">
        <v>40683</v>
      </c>
      <c r="B1638">
        <v>924134.99</v>
      </c>
    </row>
    <row r="1639" spans="1:2" x14ac:dyDescent="0.25">
      <c r="A1639" s="1">
        <v>40690</v>
      </c>
      <c r="B1639">
        <v>964332.51</v>
      </c>
    </row>
    <row r="1640" spans="1:2" x14ac:dyDescent="0.25">
      <c r="A1640" s="1">
        <v>40697</v>
      </c>
      <c r="B1640">
        <v>970328.68</v>
      </c>
    </row>
    <row r="1641" spans="1:2" x14ac:dyDescent="0.25">
      <c r="A1641" s="1">
        <v>40704</v>
      </c>
      <c r="B1641">
        <v>996937.95</v>
      </c>
    </row>
    <row r="1642" spans="1:2" x14ac:dyDescent="0.25">
      <c r="A1642" s="1">
        <v>40711</v>
      </c>
      <c r="B1642">
        <v>986504.93</v>
      </c>
    </row>
    <row r="1643" spans="1:2" x14ac:dyDescent="0.25">
      <c r="A1643" s="1">
        <v>40718</v>
      </c>
      <c r="B1643">
        <v>997282.75</v>
      </c>
    </row>
    <row r="1644" spans="1:2" x14ac:dyDescent="0.25">
      <c r="A1644" s="1">
        <v>40725</v>
      </c>
      <c r="B1644">
        <v>961993.34</v>
      </c>
    </row>
    <row r="1645" spans="1:2" x14ac:dyDescent="0.25">
      <c r="A1645" s="1">
        <v>40732</v>
      </c>
      <c r="B1645">
        <v>943717.38</v>
      </c>
    </row>
    <row r="1646" spans="1:2" x14ac:dyDescent="0.25">
      <c r="A1646" s="1">
        <v>40739</v>
      </c>
      <c r="B1646">
        <v>936001.98</v>
      </c>
    </row>
    <row r="1647" spans="1:2" x14ac:dyDescent="0.25">
      <c r="A1647" s="1">
        <v>40746</v>
      </c>
      <c r="B1647">
        <v>922231.92</v>
      </c>
    </row>
    <row r="1648" spans="1:2" x14ac:dyDescent="0.25">
      <c r="A1648" s="1">
        <v>40753</v>
      </c>
      <c r="B1648">
        <v>890547.07</v>
      </c>
    </row>
    <row r="1649" spans="1:2" x14ac:dyDescent="0.25">
      <c r="A1649" s="1">
        <v>40760</v>
      </c>
      <c r="B1649">
        <v>988712.52</v>
      </c>
    </row>
    <row r="1650" spans="1:2" x14ac:dyDescent="0.25">
      <c r="A1650" s="1">
        <v>40767</v>
      </c>
      <c r="B1650">
        <v>955913.68</v>
      </c>
    </row>
    <row r="1651" spans="1:2" x14ac:dyDescent="0.25">
      <c r="A1651" s="1">
        <v>40774</v>
      </c>
      <c r="B1651">
        <v>966817.24</v>
      </c>
    </row>
    <row r="1652" spans="1:2" x14ac:dyDescent="0.25">
      <c r="A1652" s="1">
        <v>40781</v>
      </c>
      <c r="B1652">
        <v>1017593.47</v>
      </c>
    </row>
    <row r="1653" spans="1:2" x14ac:dyDescent="0.25">
      <c r="A1653" s="1">
        <v>40788</v>
      </c>
      <c r="B1653">
        <v>1052051.45</v>
      </c>
    </row>
    <row r="1654" spans="1:2" x14ac:dyDescent="0.25">
      <c r="A1654" s="1">
        <v>40795</v>
      </c>
      <c r="B1654">
        <v>922850.57</v>
      </c>
    </row>
    <row r="1655" spans="1:2" x14ac:dyDescent="0.25">
      <c r="A1655" s="1">
        <v>40802</v>
      </c>
      <c r="B1655">
        <v>889290.23</v>
      </c>
    </row>
    <row r="1656" spans="1:2" x14ac:dyDescent="0.25">
      <c r="A1656" s="1">
        <v>40809</v>
      </c>
      <c r="B1656">
        <v>871692.74</v>
      </c>
    </row>
    <row r="1657" spans="1:2" x14ac:dyDescent="0.25">
      <c r="A1657" s="1">
        <v>40816</v>
      </c>
      <c r="B1657">
        <v>866401.45</v>
      </c>
    </row>
    <row r="1658" spans="1:2" x14ac:dyDescent="0.25">
      <c r="A1658" s="1">
        <v>40823</v>
      </c>
      <c r="B1658">
        <v>951244.66</v>
      </c>
    </row>
    <row r="1659" spans="1:2" x14ac:dyDescent="0.25">
      <c r="A1659" s="1">
        <v>40830</v>
      </c>
      <c r="B1659">
        <v>927600.01</v>
      </c>
    </row>
    <row r="1660" spans="1:2" x14ac:dyDescent="0.25">
      <c r="A1660" s="1">
        <v>40837</v>
      </c>
      <c r="B1660">
        <v>938604.58</v>
      </c>
    </row>
    <row r="1661" spans="1:2" x14ac:dyDescent="0.25">
      <c r="A1661" s="1">
        <v>40844</v>
      </c>
      <c r="B1661">
        <v>990926.38</v>
      </c>
    </row>
    <row r="1662" spans="1:2" x14ac:dyDescent="0.25">
      <c r="A1662" s="1">
        <v>40851</v>
      </c>
      <c r="B1662">
        <v>1051944.79</v>
      </c>
    </row>
    <row r="1663" spans="1:2" x14ac:dyDescent="0.25">
      <c r="A1663" s="1">
        <v>40858</v>
      </c>
      <c r="B1663">
        <v>1095091.53</v>
      </c>
    </row>
    <row r="1664" spans="1:2" x14ac:dyDescent="0.25">
      <c r="A1664" s="1">
        <v>40865</v>
      </c>
      <c r="B1664">
        <v>970641.34</v>
      </c>
    </row>
    <row r="1665" spans="1:2" x14ac:dyDescent="0.25">
      <c r="A1665" s="1">
        <v>40872</v>
      </c>
      <c r="B1665">
        <v>1591920.42</v>
      </c>
    </row>
    <row r="1666" spans="1:2" x14ac:dyDescent="0.25">
      <c r="A1666" s="1">
        <v>40879</v>
      </c>
      <c r="B1666">
        <v>1071383.1000000001</v>
      </c>
    </row>
    <row r="1667" spans="1:2" x14ac:dyDescent="0.25">
      <c r="A1667" s="1">
        <v>40886</v>
      </c>
      <c r="B1667">
        <v>1189646.45</v>
      </c>
    </row>
    <row r="1668" spans="1:2" x14ac:dyDescent="0.25">
      <c r="A1668" s="1">
        <v>40893</v>
      </c>
      <c r="B1668">
        <v>1293404.18</v>
      </c>
    </row>
    <row r="1669" spans="1:2" x14ac:dyDescent="0.25">
      <c r="A1669" s="1">
        <v>40900</v>
      </c>
      <c r="B1669">
        <v>1617612.03</v>
      </c>
    </row>
    <row r="1670" spans="1:2" x14ac:dyDescent="0.25">
      <c r="A1670" s="1">
        <v>40907</v>
      </c>
      <c r="B1670">
        <v>1111638.07</v>
      </c>
    </row>
    <row r="1671" spans="1:2" x14ac:dyDescent="0.25">
      <c r="A1671" s="1">
        <v>40914</v>
      </c>
      <c r="B1671">
        <v>945823.65</v>
      </c>
    </row>
    <row r="1672" spans="1:2" x14ac:dyDescent="0.25">
      <c r="A1672" s="1">
        <v>40921</v>
      </c>
      <c r="B1672">
        <v>865467.86</v>
      </c>
    </row>
    <row r="1673" spans="1:2" x14ac:dyDescent="0.25">
      <c r="A1673" s="1">
        <v>40928</v>
      </c>
      <c r="B1673">
        <v>855922.64</v>
      </c>
    </row>
    <row r="1674" spans="1:2" x14ac:dyDescent="0.25">
      <c r="A1674" s="1">
        <v>40935</v>
      </c>
      <c r="B1674">
        <v>888203.69</v>
      </c>
    </row>
    <row r="1675" spans="1:2" x14ac:dyDescent="0.25">
      <c r="A1675" s="1">
        <v>40942</v>
      </c>
      <c r="B1675">
        <v>1058767.95</v>
      </c>
    </row>
    <row r="1676" spans="1:2" x14ac:dyDescent="0.25">
      <c r="A1676" s="1">
        <v>40949</v>
      </c>
      <c r="B1676">
        <v>1199330.8500000001</v>
      </c>
    </row>
    <row r="1677" spans="1:2" x14ac:dyDescent="0.25">
      <c r="A1677" s="1">
        <v>40956</v>
      </c>
      <c r="B1677">
        <v>1240048.8500000001</v>
      </c>
    </row>
    <row r="1678" spans="1:2" x14ac:dyDescent="0.25">
      <c r="A1678" s="1">
        <v>40963</v>
      </c>
      <c r="B1678">
        <v>1112034.72</v>
      </c>
    </row>
    <row r="1679" spans="1:2" x14ac:dyDescent="0.25">
      <c r="A1679" s="1">
        <v>40970</v>
      </c>
      <c r="B1679">
        <v>1147636.96</v>
      </c>
    </row>
    <row r="1680" spans="1:2" x14ac:dyDescent="0.25">
      <c r="A1680" s="1">
        <v>40977</v>
      </c>
      <c r="B1680">
        <v>1113208.57</v>
      </c>
    </row>
    <row r="1681" spans="1:2" x14ac:dyDescent="0.25">
      <c r="A1681" s="1">
        <v>40984</v>
      </c>
      <c r="B1681">
        <v>1088498.52</v>
      </c>
    </row>
    <row r="1682" spans="1:2" x14ac:dyDescent="0.25">
      <c r="A1682" s="1">
        <v>40991</v>
      </c>
      <c r="B1682">
        <v>1045419.87</v>
      </c>
    </row>
    <row r="1683" spans="1:2" x14ac:dyDescent="0.25">
      <c r="A1683" s="1">
        <v>40998</v>
      </c>
      <c r="B1683">
        <v>1025382.22</v>
      </c>
    </row>
    <row r="1684" spans="1:2" x14ac:dyDescent="0.25">
      <c r="A1684" s="1">
        <v>41005</v>
      </c>
      <c r="B1684">
        <v>1128765.71</v>
      </c>
    </row>
    <row r="1685" spans="1:2" x14ac:dyDescent="0.25">
      <c r="A1685" s="1">
        <v>41012</v>
      </c>
      <c r="B1685">
        <v>1083811.19</v>
      </c>
    </row>
    <row r="1686" spans="1:2" x14ac:dyDescent="0.25">
      <c r="A1686" s="1">
        <v>41019</v>
      </c>
      <c r="B1686">
        <v>1006486.96</v>
      </c>
    </row>
    <row r="1687" spans="1:2" x14ac:dyDescent="0.25">
      <c r="A1687" s="1">
        <v>41026</v>
      </c>
      <c r="B1687">
        <v>1004252.38</v>
      </c>
    </row>
    <row r="1688" spans="1:2" x14ac:dyDescent="0.25">
      <c r="A1688" s="1">
        <v>41033</v>
      </c>
      <c r="B1688">
        <v>1073433.69</v>
      </c>
    </row>
    <row r="1689" spans="1:2" x14ac:dyDescent="0.25">
      <c r="A1689" s="1">
        <v>41040</v>
      </c>
      <c r="B1689">
        <v>1041995.22</v>
      </c>
    </row>
    <row r="1690" spans="1:2" x14ac:dyDescent="0.25">
      <c r="A1690" s="1">
        <v>41047</v>
      </c>
      <c r="B1690">
        <v>1020486.05</v>
      </c>
    </row>
    <row r="1691" spans="1:2" x14ac:dyDescent="0.25">
      <c r="A1691" s="1">
        <v>41054</v>
      </c>
      <c r="B1691">
        <v>991514.21</v>
      </c>
    </row>
    <row r="1692" spans="1:2" x14ac:dyDescent="0.25">
      <c r="A1692" s="1">
        <v>41061</v>
      </c>
      <c r="B1692">
        <v>981345.2</v>
      </c>
    </row>
    <row r="1693" spans="1:2" x14ac:dyDescent="0.25">
      <c r="A1693" s="1">
        <v>41068</v>
      </c>
      <c r="B1693">
        <v>1086231.47</v>
      </c>
    </row>
    <row r="1694" spans="1:2" x14ac:dyDescent="0.25">
      <c r="A1694" s="1">
        <v>41075</v>
      </c>
      <c r="B1694">
        <v>1019555.51</v>
      </c>
    </row>
    <row r="1695" spans="1:2" x14ac:dyDescent="0.25">
      <c r="A1695" s="1">
        <v>41082</v>
      </c>
      <c r="B1695">
        <v>981386.25</v>
      </c>
    </row>
    <row r="1696" spans="1:2" x14ac:dyDescent="0.25">
      <c r="A1696" s="1">
        <v>41089</v>
      </c>
      <c r="B1696">
        <v>943124.74</v>
      </c>
    </row>
    <row r="1697" spans="1:2" x14ac:dyDescent="0.25">
      <c r="A1697" s="1">
        <v>41096</v>
      </c>
      <c r="B1697">
        <v>1014898.78</v>
      </c>
    </row>
    <row r="1698" spans="1:2" x14ac:dyDescent="0.25">
      <c r="A1698" s="1">
        <v>41103</v>
      </c>
      <c r="B1698">
        <v>960312.75</v>
      </c>
    </row>
    <row r="1699" spans="1:2" x14ac:dyDescent="0.25">
      <c r="A1699" s="1">
        <v>41110</v>
      </c>
      <c r="B1699">
        <v>941550.34</v>
      </c>
    </row>
    <row r="1700" spans="1:2" x14ac:dyDescent="0.25">
      <c r="A1700" s="1">
        <v>41117</v>
      </c>
      <c r="B1700">
        <v>916967.92</v>
      </c>
    </row>
    <row r="1701" spans="1:2" x14ac:dyDescent="0.25">
      <c r="A1701" s="1">
        <v>41124</v>
      </c>
      <c r="B1701">
        <v>958667.23</v>
      </c>
    </row>
    <row r="1702" spans="1:2" x14ac:dyDescent="0.25">
      <c r="A1702" s="1">
        <v>41131</v>
      </c>
      <c r="B1702">
        <v>984689.9</v>
      </c>
    </row>
    <row r="1703" spans="1:2" x14ac:dyDescent="0.25">
      <c r="A1703" s="1">
        <v>41138</v>
      </c>
      <c r="B1703">
        <v>1005003.12</v>
      </c>
    </row>
    <row r="1704" spans="1:2" x14ac:dyDescent="0.25">
      <c r="A1704" s="1">
        <v>41145</v>
      </c>
      <c r="B1704">
        <v>1048101.39</v>
      </c>
    </row>
    <row r="1705" spans="1:2" x14ac:dyDescent="0.25">
      <c r="A1705" s="1">
        <v>41152</v>
      </c>
      <c r="B1705">
        <v>1061943.49</v>
      </c>
    </row>
    <row r="1706" spans="1:2" x14ac:dyDescent="0.25">
      <c r="A1706" s="1">
        <v>41159</v>
      </c>
      <c r="B1706">
        <v>955146.04</v>
      </c>
    </row>
    <row r="1707" spans="1:2" x14ac:dyDescent="0.25">
      <c r="A1707" s="1">
        <v>41166</v>
      </c>
      <c r="B1707">
        <v>885892.37</v>
      </c>
    </row>
    <row r="1708" spans="1:2" x14ac:dyDescent="0.25">
      <c r="A1708" s="1">
        <v>41173</v>
      </c>
      <c r="B1708">
        <v>922735.37</v>
      </c>
    </row>
    <row r="1709" spans="1:2" x14ac:dyDescent="0.25">
      <c r="A1709" s="1">
        <v>41180</v>
      </c>
      <c r="B1709">
        <v>880415.67</v>
      </c>
    </row>
    <row r="1710" spans="1:2" x14ac:dyDescent="0.25">
      <c r="A1710" s="1">
        <v>41187</v>
      </c>
      <c r="B1710">
        <v>979825.92</v>
      </c>
    </row>
    <row r="1711" spans="1:2" x14ac:dyDescent="0.25">
      <c r="A1711" s="1">
        <v>41194</v>
      </c>
      <c r="B1711">
        <v>934917.47</v>
      </c>
    </row>
    <row r="1712" spans="1:2" x14ac:dyDescent="0.25">
      <c r="A1712" s="1">
        <v>41201</v>
      </c>
      <c r="B1712">
        <v>960945.43</v>
      </c>
    </row>
    <row r="1713" spans="1:2" x14ac:dyDescent="0.25">
      <c r="A1713" s="1">
        <v>41208</v>
      </c>
      <c r="B1713">
        <v>974697.6</v>
      </c>
    </row>
    <row r="1714" spans="1:2" x14ac:dyDescent="0.25">
      <c r="A1714" s="1">
        <v>40214</v>
      </c>
      <c r="B1714">
        <v>1967220.53</v>
      </c>
    </row>
    <row r="1715" spans="1:2" x14ac:dyDescent="0.25">
      <c r="A1715" s="1">
        <v>40221</v>
      </c>
      <c r="B1715">
        <v>2030933.46</v>
      </c>
    </row>
    <row r="1716" spans="1:2" x14ac:dyDescent="0.25">
      <c r="A1716" s="1">
        <v>40228</v>
      </c>
      <c r="B1716">
        <v>1970274.64</v>
      </c>
    </row>
    <row r="1717" spans="1:2" x14ac:dyDescent="0.25">
      <c r="A1717" s="1">
        <v>40235</v>
      </c>
      <c r="B1717">
        <v>1817850.32</v>
      </c>
    </row>
    <row r="1718" spans="1:2" x14ac:dyDescent="0.25">
      <c r="A1718" s="1">
        <v>40242</v>
      </c>
      <c r="B1718">
        <v>1939980.43</v>
      </c>
    </row>
    <row r="1719" spans="1:2" x14ac:dyDescent="0.25">
      <c r="A1719" s="1">
        <v>40249</v>
      </c>
      <c r="B1719">
        <v>1840686.94</v>
      </c>
    </row>
    <row r="1720" spans="1:2" x14ac:dyDescent="0.25">
      <c r="A1720" s="1">
        <v>40256</v>
      </c>
      <c r="B1720">
        <v>1879794.89</v>
      </c>
    </row>
    <row r="1721" spans="1:2" x14ac:dyDescent="0.25">
      <c r="A1721" s="1">
        <v>40263</v>
      </c>
      <c r="B1721">
        <v>1882095.98</v>
      </c>
    </row>
    <row r="1722" spans="1:2" x14ac:dyDescent="0.25">
      <c r="A1722" s="1">
        <v>40270</v>
      </c>
      <c r="B1722">
        <v>2142482.14</v>
      </c>
    </row>
    <row r="1723" spans="1:2" x14ac:dyDescent="0.25">
      <c r="A1723" s="1">
        <v>40277</v>
      </c>
      <c r="B1723">
        <v>1898321.33</v>
      </c>
    </row>
    <row r="1724" spans="1:2" x14ac:dyDescent="0.25">
      <c r="A1724" s="1">
        <v>40284</v>
      </c>
      <c r="B1724">
        <v>1819660.44</v>
      </c>
    </row>
    <row r="1725" spans="1:2" x14ac:dyDescent="0.25">
      <c r="A1725" s="1">
        <v>40291</v>
      </c>
      <c r="B1725">
        <v>1909330.77</v>
      </c>
    </row>
    <row r="1726" spans="1:2" x14ac:dyDescent="0.25">
      <c r="A1726" s="1">
        <v>40298</v>
      </c>
      <c r="B1726">
        <v>1785823.37</v>
      </c>
    </row>
    <row r="1727" spans="1:2" x14ac:dyDescent="0.25">
      <c r="A1727" s="1">
        <v>40305</v>
      </c>
      <c r="B1727">
        <v>2005478.46</v>
      </c>
    </row>
    <row r="1728" spans="1:2" x14ac:dyDescent="0.25">
      <c r="A1728" s="1">
        <v>40312</v>
      </c>
      <c r="B1728">
        <v>1890273.44</v>
      </c>
    </row>
    <row r="1729" spans="1:2" x14ac:dyDescent="0.25">
      <c r="A1729" s="1">
        <v>40319</v>
      </c>
      <c r="B1729">
        <v>1853657.6</v>
      </c>
    </row>
    <row r="1730" spans="1:2" x14ac:dyDescent="0.25">
      <c r="A1730" s="1">
        <v>40326</v>
      </c>
      <c r="B1730">
        <v>1877358.86</v>
      </c>
    </row>
    <row r="1731" spans="1:2" x14ac:dyDescent="0.25">
      <c r="A1731" s="1">
        <v>40333</v>
      </c>
      <c r="B1731">
        <v>2022705.22</v>
      </c>
    </row>
    <row r="1732" spans="1:2" x14ac:dyDescent="0.25">
      <c r="A1732" s="1">
        <v>40340</v>
      </c>
      <c r="B1732">
        <v>2037880.96</v>
      </c>
    </row>
    <row r="1733" spans="1:2" x14ac:dyDescent="0.25">
      <c r="A1733" s="1">
        <v>40347</v>
      </c>
      <c r="B1733">
        <v>2003435.31</v>
      </c>
    </row>
    <row r="1734" spans="1:2" x14ac:dyDescent="0.25">
      <c r="A1734" s="1">
        <v>40354</v>
      </c>
      <c r="B1734">
        <v>1970340.25</v>
      </c>
    </row>
    <row r="1735" spans="1:2" x14ac:dyDescent="0.25">
      <c r="A1735" s="1">
        <v>40361</v>
      </c>
      <c r="B1735">
        <v>2018314.71</v>
      </c>
    </row>
    <row r="1736" spans="1:2" x14ac:dyDescent="0.25">
      <c r="A1736" s="1">
        <v>40368</v>
      </c>
      <c r="B1736">
        <v>1870843.9</v>
      </c>
    </row>
    <row r="1737" spans="1:2" x14ac:dyDescent="0.25">
      <c r="A1737" s="1">
        <v>40375</v>
      </c>
      <c r="B1737">
        <v>1932231.05</v>
      </c>
    </row>
    <row r="1738" spans="1:2" x14ac:dyDescent="0.25">
      <c r="A1738" s="1">
        <v>40382</v>
      </c>
      <c r="B1738">
        <v>1907351.2</v>
      </c>
    </row>
    <row r="1739" spans="1:2" x14ac:dyDescent="0.25">
      <c r="A1739" s="1">
        <v>40389</v>
      </c>
      <c r="B1739">
        <v>1817887.23</v>
      </c>
    </row>
    <row r="1740" spans="1:2" x14ac:dyDescent="0.25">
      <c r="A1740" s="1">
        <v>40396</v>
      </c>
      <c r="B1740">
        <v>1969121.45</v>
      </c>
    </row>
    <row r="1741" spans="1:2" x14ac:dyDescent="0.25">
      <c r="A1741" s="1">
        <v>40403</v>
      </c>
      <c r="B1741">
        <v>1877592.55</v>
      </c>
    </row>
    <row r="1742" spans="1:2" x14ac:dyDescent="0.25">
      <c r="A1742" s="1">
        <v>40410</v>
      </c>
      <c r="B1742">
        <v>1997397.63</v>
      </c>
    </row>
    <row r="1743" spans="1:2" x14ac:dyDescent="0.25">
      <c r="A1743" s="1">
        <v>40417</v>
      </c>
      <c r="B1743">
        <v>1908278.27</v>
      </c>
    </row>
    <row r="1744" spans="1:2" x14ac:dyDescent="0.25">
      <c r="A1744" s="1">
        <v>40424</v>
      </c>
      <c r="B1744">
        <v>1911852.58</v>
      </c>
    </row>
    <row r="1745" spans="1:2" x14ac:dyDescent="0.25">
      <c r="A1745" s="1">
        <v>40431</v>
      </c>
      <c r="B1745">
        <v>1772143.94</v>
      </c>
    </row>
    <row r="1746" spans="1:2" x14ac:dyDescent="0.25">
      <c r="A1746" s="1">
        <v>40438</v>
      </c>
      <c r="B1746">
        <v>1790279.74</v>
      </c>
    </row>
    <row r="1747" spans="1:2" x14ac:dyDescent="0.25">
      <c r="A1747" s="1">
        <v>40445</v>
      </c>
      <c r="B1747">
        <v>1705655.09</v>
      </c>
    </row>
    <row r="1748" spans="1:2" x14ac:dyDescent="0.25">
      <c r="A1748" s="1">
        <v>40452</v>
      </c>
      <c r="B1748">
        <v>1765584.48</v>
      </c>
    </row>
    <row r="1749" spans="1:2" x14ac:dyDescent="0.25">
      <c r="A1749" s="1">
        <v>40459</v>
      </c>
      <c r="B1749">
        <v>1871924.07</v>
      </c>
    </row>
    <row r="1750" spans="1:2" x14ac:dyDescent="0.25">
      <c r="A1750" s="1">
        <v>40466</v>
      </c>
      <c r="B1750">
        <v>1851431.06</v>
      </c>
    </row>
    <row r="1751" spans="1:2" x14ac:dyDescent="0.25">
      <c r="A1751" s="1">
        <v>40473</v>
      </c>
      <c r="B1751">
        <v>1796949.59</v>
      </c>
    </row>
    <row r="1752" spans="1:2" x14ac:dyDescent="0.25">
      <c r="A1752" s="1">
        <v>40480</v>
      </c>
      <c r="B1752">
        <v>1887895.07</v>
      </c>
    </row>
    <row r="1753" spans="1:2" x14ac:dyDescent="0.25">
      <c r="A1753" s="1">
        <v>40487</v>
      </c>
      <c r="B1753">
        <v>1854967.66</v>
      </c>
    </row>
    <row r="1754" spans="1:2" x14ac:dyDescent="0.25">
      <c r="A1754" s="1">
        <v>40494</v>
      </c>
      <c r="B1754">
        <v>1939964.63</v>
      </c>
    </row>
    <row r="1755" spans="1:2" x14ac:dyDescent="0.25">
      <c r="A1755" s="1">
        <v>40501</v>
      </c>
      <c r="B1755">
        <v>1925393.91</v>
      </c>
    </row>
    <row r="1756" spans="1:2" x14ac:dyDescent="0.25">
      <c r="A1756" s="1">
        <v>40508</v>
      </c>
      <c r="B1756">
        <v>2766400.05</v>
      </c>
    </row>
    <row r="1757" spans="1:2" x14ac:dyDescent="0.25">
      <c r="A1757" s="1">
        <v>40515</v>
      </c>
      <c r="B1757">
        <v>2083379.89</v>
      </c>
    </row>
    <row r="1758" spans="1:2" x14ac:dyDescent="0.25">
      <c r="A1758" s="1">
        <v>40522</v>
      </c>
      <c r="B1758">
        <v>2461468.35</v>
      </c>
    </row>
    <row r="1759" spans="1:2" x14ac:dyDescent="0.25">
      <c r="A1759" s="1">
        <v>40529</v>
      </c>
      <c r="B1759">
        <v>2771646.81</v>
      </c>
    </row>
    <row r="1760" spans="1:2" x14ac:dyDescent="0.25">
      <c r="A1760" s="1">
        <v>40536</v>
      </c>
      <c r="B1760">
        <v>3595903.2</v>
      </c>
    </row>
    <row r="1761" spans="1:2" x14ac:dyDescent="0.25">
      <c r="A1761" s="1">
        <v>40543</v>
      </c>
      <c r="B1761">
        <v>1675292</v>
      </c>
    </row>
    <row r="1762" spans="1:2" x14ac:dyDescent="0.25">
      <c r="A1762" s="1">
        <v>40550</v>
      </c>
      <c r="B1762">
        <v>1744544.39</v>
      </c>
    </row>
    <row r="1763" spans="1:2" x14ac:dyDescent="0.25">
      <c r="A1763" s="1">
        <v>40557</v>
      </c>
      <c r="B1763">
        <v>1682316.31</v>
      </c>
    </row>
    <row r="1764" spans="1:2" x14ac:dyDescent="0.25">
      <c r="A1764" s="1">
        <v>40564</v>
      </c>
      <c r="B1764">
        <v>1770177.37</v>
      </c>
    </row>
    <row r="1765" spans="1:2" x14ac:dyDescent="0.25">
      <c r="A1765" s="1">
        <v>40571</v>
      </c>
      <c r="B1765">
        <v>1633663.12</v>
      </c>
    </row>
    <row r="1766" spans="1:2" x14ac:dyDescent="0.25">
      <c r="A1766" s="1">
        <v>40578</v>
      </c>
      <c r="B1766">
        <v>1848186.58</v>
      </c>
    </row>
    <row r="1767" spans="1:2" x14ac:dyDescent="0.25">
      <c r="A1767" s="1">
        <v>40585</v>
      </c>
      <c r="B1767">
        <v>1944438.9</v>
      </c>
    </row>
    <row r="1768" spans="1:2" x14ac:dyDescent="0.25">
      <c r="A1768" s="1">
        <v>40592</v>
      </c>
      <c r="B1768">
        <v>2003480.59</v>
      </c>
    </row>
    <row r="1769" spans="1:2" x14ac:dyDescent="0.25">
      <c r="A1769" s="1">
        <v>40599</v>
      </c>
      <c r="B1769">
        <v>1831933.95</v>
      </c>
    </row>
    <row r="1770" spans="1:2" x14ac:dyDescent="0.25">
      <c r="A1770" s="1">
        <v>40606</v>
      </c>
      <c r="B1770">
        <v>1894960.68</v>
      </c>
    </row>
    <row r="1771" spans="1:2" x14ac:dyDescent="0.25">
      <c r="A1771" s="1">
        <v>40613</v>
      </c>
      <c r="B1771">
        <v>1852432.58</v>
      </c>
    </row>
    <row r="1772" spans="1:2" x14ac:dyDescent="0.25">
      <c r="A1772" s="1">
        <v>40620</v>
      </c>
      <c r="B1772">
        <v>1852443.78</v>
      </c>
    </row>
    <row r="1773" spans="1:2" x14ac:dyDescent="0.25">
      <c r="A1773" s="1">
        <v>40627</v>
      </c>
      <c r="B1773">
        <v>1807545.43</v>
      </c>
    </row>
    <row r="1774" spans="1:2" x14ac:dyDescent="0.25">
      <c r="A1774" s="1">
        <v>40634</v>
      </c>
      <c r="B1774">
        <v>1864238.64</v>
      </c>
    </row>
    <row r="1775" spans="1:2" x14ac:dyDescent="0.25">
      <c r="A1775" s="1">
        <v>40641</v>
      </c>
      <c r="B1775">
        <v>1887465.04</v>
      </c>
    </row>
    <row r="1776" spans="1:2" x14ac:dyDescent="0.25">
      <c r="A1776" s="1">
        <v>40648</v>
      </c>
      <c r="B1776">
        <v>1950994.04</v>
      </c>
    </row>
    <row r="1777" spans="1:2" x14ac:dyDescent="0.25">
      <c r="A1777" s="1">
        <v>40655</v>
      </c>
      <c r="B1777">
        <v>2124316.34</v>
      </c>
    </row>
    <row r="1778" spans="1:2" x14ac:dyDescent="0.25">
      <c r="A1778" s="1">
        <v>40662</v>
      </c>
      <c r="B1778">
        <v>1895583.12</v>
      </c>
    </row>
    <row r="1779" spans="1:2" x14ac:dyDescent="0.25">
      <c r="A1779" s="1">
        <v>40669</v>
      </c>
      <c r="B1779">
        <v>1986380.4</v>
      </c>
    </row>
    <row r="1780" spans="1:2" x14ac:dyDescent="0.25">
      <c r="A1780" s="1">
        <v>40676</v>
      </c>
      <c r="B1780">
        <v>1958823.56</v>
      </c>
    </row>
    <row r="1781" spans="1:2" x14ac:dyDescent="0.25">
      <c r="A1781" s="1">
        <v>40683</v>
      </c>
      <c r="B1781">
        <v>1860923.55</v>
      </c>
    </row>
    <row r="1782" spans="1:2" x14ac:dyDescent="0.25">
      <c r="A1782" s="1">
        <v>40690</v>
      </c>
      <c r="B1782">
        <v>1866369.93</v>
      </c>
    </row>
    <row r="1783" spans="1:2" x14ac:dyDescent="0.25">
      <c r="A1783" s="1">
        <v>40697</v>
      </c>
      <c r="B1783">
        <v>1935593.87</v>
      </c>
    </row>
    <row r="1784" spans="1:2" x14ac:dyDescent="0.25">
      <c r="A1784" s="1">
        <v>40704</v>
      </c>
      <c r="B1784">
        <v>1997816.98</v>
      </c>
    </row>
    <row r="1785" spans="1:2" x14ac:dyDescent="0.25">
      <c r="A1785" s="1">
        <v>40711</v>
      </c>
      <c r="B1785">
        <v>2086433.49</v>
      </c>
    </row>
    <row r="1786" spans="1:2" x14ac:dyDescent="0.25">
      <c r="A1786" s="1">
        <v>40718</v>
      </c>
      <c r="B1786">
        <v>2009163.08</v>
      </c>
    </row>
    <row r="1787" spans="1:2" x14ac:dyDescent="0.25">
      <c r="A1787" s="1">
        <v>40725</v>
      </c>
      <c r="B1787">
        <v>2048035.74</v>
      </c>
    </row>
    <row r="1788" spans="1:2" x14ac:dyDescent="0.25">
      <c r="A1788" s="1">
        <v>40732</v>
      </c>
      <c r="B1788">
        <v>2021699.38</v>
      </c>
    </row>
    <row r="1789" spans="1:2" x14ac:dyDescent="0.25">
      <c r="A1789" s="1">
        <v>40739</v>
      </c>
      <c r="B1789">
        <v>1956813.31</v>
      </c>
    </row>
    <row r="1790" spans="1:2" x14ac:dyDescent="0.25">
      <c r="A1790" s="1">
        <v>40746</v>
      </c>
      <c r="B1790">
        <v>1987089.36</v>
      </c>
    </row>
    <row r="1791" spans="1:2" x14ac:dyDescent="0.25">
      <c r="A1791" s="1">
        <v>40753</v>
      </c>
      <c r="B1791">
        <v>1880785.69</v>
      </c>
    </row>
    <row r="1792" spans="1:2" x14ac:dyDescent="0.25">
      <c r="A1792" s="1">
        <v>40760</v>
      </c>
      <c r="B1792">
        <v>2076231.8</v>
      </c>
    </row>
    <row r="1793" spans="1:2" x14ac:dyDescent="0.25">
      <c r="A1793" s="1">
        <v>40767</v>
      </c>
      <c r="B1793">
        <v>1970341.38</v>
      </c>
    </row>
    <row r="1794" spans="1:2" x14ac:dyDescent="0.25">
      <c r="A1794" s="1">
        <v>40774</v>
      </c>
      <c r="B1794">
        <v>2090340.98</v>
      </c>
    </row>
    <row r="1795" spans="1:2" x14ac:dyDescent="0.25">
      <c r="A1795" s="1">
        <v>40781</v>
      </c>
      <c r="B1795">
        <v>2035244.54</v>
      </c>
    </row>
    <row r="1796" spans="1:2" x14ac:dyDescent="0.25">
      <c r="A1796" s="1">
        <v>40788</v>
      </c>
      <c r="B1796">
        <v>1953628.82</v>
      </c>
    </row>
    <row r="1797" spans="1:2" x14ac:dyDescent="0.25">
      <c r="A1797" s="1">
        <v>40795</v>
      </c>
      <c r="B1797">
        <v>1872921.31</v>
      </c>
    </row>
    <row r="1798" spans="1:2" x14ac:dyDescent="0.25">
      <c r="A1798" s="1">
        <v>40802</v>
      </c>
      <c r="B1798">
        <v>1923223.82</v>
      </c>
    </row>
    <row r="1799" spans="1:2" x14ac:dyDescent="0.25">
      <c r="A1799" s="1">
        <v>40809</v>
      </c>
      <c r="B1799">
        <v>1847430.96</v>
      </c>
    </row>
    <row r="1800" spans="1:2" x14ac:dyDescent="0.25">
      <c r="A1800" s="1">
        <v>40816</v>
      </c>
      <c r="B1800">
        <v>1835662.69</v>
      </c>
    </row>
    <row r="1801" spans="1:2" x14ac:dyDescent="0.25">
      <c r="A1801" s="1">
        <v>40823</v>
      </c>
      <c r="B1801">
        <v>2067232.56</v>
      </c>
    </row>
    <row r="1802" spans="1:2" x14ac:dyDescent="0.25">
      <c r="A1802" s="1">
        <v>40830</v>
      </c>
      <c r="B1802">
        <v>1929659.07</v>
      </c>
    </row>
    <row r="1803" spans="1:2" x14ac:dyDescent="0.25">
      <c r="A1803" s="1">
        <v>40837</v>
      </c>
      <c r="B1803">
        <v>1973544.27</v>
      </c>
    </row>
    <row r="1804" spans="1:2" x14ac:dyDescent="0.25">
      <c r="A1804" s="1">
        <v>40844</v>
      </c>
      <c r="B1804">
        <v>1948733.81</v>
      </c>
    </row>
    <row r="1805" spans="1:2" x14ac:dyDescent="0.25">
      <c r="A1805" s="1">
        <v>40851</v>
      </c>
      <c r="B1805">
        <v>2036317.54</v>
      </c>
    </row>
    <row r="1806" spans="1:2" x14ac:dyDescent="0.25">
      <c r="A1806" s="1">
        <v>40858</v>
      </c>
      <c r="B1806">
        <v>2111592.09</v>
      </c>
    </row>
    <row r="1807" spans="1:2" x14ac:dyDescent="0.25">
      <c r="A1807" s="1">
        <v>40865</v>
      </c>
      <c r="B1807">
        <v>2016323.51</v>
      </c>
    </row>
    <row r="1808" spans="1:2" x14ac:dyDescent="0.25">
      <c r="A1808" s="1">
        <v>40872</v>
      </c>
      <c r="B1808">
        <v>2864170.61</v>
      </c>
    </row>
    <row r="1809" spans="1:2" x14ac:dyDescent="0.25">
      <c r="A1809" s="1">
        <v>40879</v>
      </c>
      <c r="B1809">
        <v>2051315.66</v>
      </c>
    </row>
    <row r="1810" spans="1:2" x14ac:dyDescent="0.25">
      <c r="A1810" s="1">
        <v>40886</v>
      </c>
      <c r="B1810">
        <v>2462779.06</v>
      </c>
    </row>
    <row r="1811" spans="1:2" x14ac:dyDescent="0.25">
      <c r="A1811" s="1">
        <v>40893</v>
      </c>
      <c r="B1811">
        <v>2760346.71</v>
      </c>
    </row>
    <row r="1812" spans="1:2" x14ac:dyDescent="0.25">
      <c r="A1812" s="1">
        <v>40900</v>
      </c>
      <c r="B1812">
        <v>3556766.03</v>
      </c>
    </row>
    <row r="1813" spans="1:2" x14ac:dyDescent="0.25">
      <c r="A1813" s="1">
        <v>40907</v>
      </c>
      <c r="B1813">
        <v>1969056.91</v>
      </c>
    </row>
    <row r="1814" spans="1:2" x14ac:dyDescent="0.25">
      <c r="A1814" s="1">
        <v>40914</v>
      </c>
      <c r="B1814">
        <v>1865752.78</v>
      </c>
    </row>
    <row r="1815" spans="1:2" x14ac:dyDescent="0.25">
      <c r="A1815" s="1">
        <v>40921</v>
      </c>
      <c r="B1815">
        <v>1794962.64</v>
      </c>
    </row>
    <row r="1816" spans="1:2" x14ac:dyDescent="0.25">
      <c r="A1816" s="1">
        <v>40928</v>
      </c>
      <c r="B1816">
        <v>1811606.21</v>
      </c>
    </row>
    <row r="1817" spans="1:2" x14ac:dyDescent="0.25">
      <c r="A1817" s="1">
        <v>40935</v>
      </c>
      <c r="B1817">
        <v>1733983.09</v>
      </c>
    </row>
    <row r="1818" spans="1:2" x14ac:dyDescent="0.25">
      <c r="A1818" s="1">
        <v>40942</v>
      </c>
      <c r="B1818">
        <v>1927780.74</v>
      </c>
    </row>
    <row r="1819" spans="1:2" x14ac:dyDescent="0.25">
      <c r="A1819" s="1">
        <v>40949</v>
      </c>
      <c r="B1819">
        <v>2069284.57</v>
      </c>
    </row>
    <row r="1820" spans="1:2" x14ac:dyDescent="0.25">
      <c r="A1820" s="1">
        <v>40956</v>
      </c>
      <c r="B1820">
        <v>2214477.06</v>
      </c>
    </row>
    <row r="1821" spans="1:2" x14ac:dyDescent="0.25">
      <c r="A1821" s="1">
        <v>40963</v>
      </c>
      <c r="B1821">
        <v>1929768.03</v>
      </c>
    </row>
    <row r="1822" spans="1:2" x14ac:dyDescent="0.25">
      <c r="A1822" s="1">
        <v>40970</v>
      </c>
      <c r="B1822">
        <v>1969742.76</v>
      </c>
    </row>
    <row r="1823" spans="1:2" x14ac:dyDescent="0.25">
      <c r="A1823" s="1">
        <v>40977</v>
      </c>
      <c r="B1823">
        <v>1986445.65</v>
      </c>
    </row>
    <row r="1824" spans="1:2" x14ac:dyDescent="0.25">
      <c r="A1824" s="1">
        <v>40984</v>
      </c>
      <c r="B1824">
        <v>2025582.62</v>
      </c>
    </row>
    <row r="1825" spans="1:2" x14ac:dyDescent="0.25">
      <c r="A1825" s="1">
        <v>40991</v>
      </c>
      <c r="B1825">
        <v>1904421.74</v>
      </c>
    </row>
    <row r="1826" spans="1:2" x14ac:dyDescent="0.25">
      <c r="A1826" s="1">
        <v>40998</v>
      </c>
      <c r="B1826">
        <v>1948982.7</v>
      </c>
    </row>
    <row r="1827" spans="1:2" x14ac:dyDescent="0.25">
      <c r="A1827" s="1">
        <v>41005</v>
      </c>
      <c r="B1827">
        <v>2271614.7599999998</v>
      </c>
    </row>
    <row r="1828" spans="1:2" x14ac:dyDescent="0.25">
      <c r="A1828" s="1">
        <v>41012</v>
      </c>
      <c r="B1828">
        <v>2057637.86</v>
      </c>
    </row>
    <row r="1829" spans="1:2" x14ac:dyDescent="0.25">
      <c r="A1829" s="1">
        <v>41019</v>
      </c>
      <c r="B1829">
        <v>1955689.12</v>
      </c>
    </row>
    <row r="1830" spans="1:2" x14ac:dyDescent="0.25">
      <c r="A1830" s="1">
        <v>41026</v>
      </c>
      <c r="B1830">
        <v>1970121.65</v>
      </c>
    </row>
    <row r="1831" spans="1:2" x14ac:dyDescent="0.25">
      <c r="A1831" s="1">
        <v>41033</v>
      </c>
      <c r="B1831">
        <v>1995994.51</v>
      </c>
    </row>
    <row r="1832" spans="1:2" x14ac:dyDescent="0.25">
      <c r="A1832" s="1">
        <v>41040</v>
      </c>
      <c r="B1832">
        <v>2080764.17</v>
      </c>
    </row>
    <row r="1833" spans="1:2" x14ac:dyDescent="0.25">
      <c r="A1833" s="1">
        <v>41047</v>
      </c>
      <c r="B1833">
        <v>2131900.5499999998</v>
      </c>
    </row>
    <row r="1834" spans="1:2" x14ac:dyDescent="0.25">
      <c r="A1834" s="1">
        <v>41054</v>
      </c>
      <c r="B1834">
        <v>2043349.41</v>
      </c>
    </row>
    <row r="1835" spans="1:2" x14ac:dyDescent="0.25">
      <c r="A1835" s="1">
        <v>41061</v>
      </c>
      <c r="B1835">
        <v>2035431.39</v>
      </c>
    </row>
    <row r="1836" spans="1:2" x14ac:dyDescent="0.25">
      <c r="A1836" s="1">
        <v>41068</v>
      </c>
      <c r="B1836">
        <v>2182437.9</v>
      </c>
    </row>
    <row r="1837" spans="1:2" x14ac:dyDescent="0.25">
      <c r="A1837" s="1">
        <v>41075</v>
      </c>
      <c r="B1837">
        <v>2152229.11</v>
      </c>
    </row>
    <row r="1838" spans="1:2" x14ac:dyDescent="0.25">
      <c r="A1838" s="1">
        <v>41082</v>
      </c>
      <c r="B1838">
        <v>2094373</v>
      </c>
    </row>
    <row r="1839" spans="1:2" x14ac:dyDescent="0.25">
      <c r="A1839" s="1">
        <v>41089</v>
      </c>
      <c r="B1839">
        <v>2037663.71</v>
      </c>
    </row>
    <row r="1840" spans="1:2" x14ac:dyDescent="0.25">
      <c r="A1840" s="1">
        <v>41096</v>
      </c>
      <c r="B1840">
        <v>2184980.35</v>
      </c>
    </row>
    <row r="1841" spans="1:2" x14ac:dyDescent="0.25">
      <c r="A1841" s="1">
        <v>41103</v>
      </c>
      <c r="B1841">
        <v>2002750.99</v>
      </c>
    </row>
    <row r="1842" spans="1:2" x14ac:dyDescent="0.25">
      <c r="A1842" s="1">
        <v>41110</v>
      </c>
      <c r="B1842">
        <v>2053089.32</v>
      </c>
    </row>
    <row r="1843" spans="1:2" x14ac:dyDescent="0.25">
      <c r="A1843" s="1">
        <v>41117</v>
      </c>
      <c r="B1843">
        <v>1914430.53</v>
      </c>
    </row>
    <row r="1844" spans="1:2" x14ac:dyDescent="0.25">
      <c r="A1844" s="1">
        <v>41124</v>
      </c>
      <c r="B1844">
        <v>2044148.23</v>
      </c>
    </row>
    <row r="1845" spans="1:2" x14ac:dyDescent="0.25">
      <c r="A1845" s="1">
        <v>41131</v>
      </c>
      <c r="B1845">
        <v>2041019.92</v>
      </c>
    </row>
    <row r="1846" spans="1:2" x14ac:dyDescent="0.25">
      <c r="A1846" s="1">
        <v>41138</v>
      </c>
      <c r="B1846">
        <v>2095769.18</v>
      </c>
    </row>
    <row r="1847" spans="1:2" x14ac:dyDescent="0.25">
      <c r="A1847" s="1">
        <v>41145</v>
      </c>
      <c r="B1847">
        <v>2059458.25</v>
      </c>
    </row>
    <row r="1848" spans="1:2" x14ac:dyDescent="0.25">
      <c r="A1848" s="1">
        <v>41152</v>
      </c>
      <c r="B1848">
        <v>2073855.42</v>
      </c>
    </row>
    <row r="1849" spans="1:2" x14ac:dyDescent="0.25">
      <c r="A1849" s="1">
        <v>41159</v>
      </c>
      <c r="B1849">
        <v>2165796.31</v>
      </c>
    </row>
    <row r="1850" spans="1:2" x14ac:dyDescent="0.25">
      <c r="A1850" s="1">
        <v>41166</v>
      </c>
      <c r="B1850">
        <v>1919917.03</v>
      </c>
    </row>
    <row r="1851" spans="1:2" x14ac:dyDescent="0.25">
      <c r="A1851" s="1">
        <v>41173</v>
      </c>
      <c r="B1851">
        <v>1938379.66</v>
      </c>
    </row>
    <row r="1852" spans="1:2" x14ac:dyDescent="0.25">
      <c r="A1852" s="1">
        <v>41180</v>
      </c>
      <c r="B1852">
        <v>1927664.11</v>
      </c>
    </row>
    <row r="1853" spans="1:2" x14ac:dyDescent="0.25">
      <c r="A1853" s="1">
        <v>41187</v>
      </c>
      <c r="B1853">
        <v>2041918.74</v>
      </c>
    </row>
    <row r="1854" spans="1:2" x14ac:dyDescent="0.25">
      <c r="A1854" s="1">
        <v>41194</v>
      </c>
      <c r="B1854">
        <v>1999079.44</v>
      </c>
    </row>
    <row r="1855" spans="1:2" x14ac:dyDescent="0.25">
      <c r="A1855" s="1">
        <v>41201</v>
      </c>
      <c r="B1855">
        <v>2018010.15</v>
      </c>
    </row>
    <row r="1856" spans="1:2" x14ac:dyDescent="0.25">
      <c r="A1856" s="1">
        <v>41208</v>
      </c>
      <c r="B1856">
        <v>2035189.66</v>
      </c>
    </row>
    <row r="1857" spans="1:2" x14ac:dyDescent="0.25">
      <c r="A1857" s="1">
        <v>40214</v>
      </c>
      <c r="B1857">
        <v>2623469.9500000002</v>
      </c>
    </row>
    <row r="1858" spans="1:2" x14ac:dyDescent="0.25">
      <c r="A1858" s="1">
        <v>40221</v>
      </c>
      <c r="B1858">
        <v>1704218.84</v>
      </c>
    </row>
    <row r="1859" spans="1:2" x14ac:dyDescent="0.25">
      <c r="A1859" s="1">
        <v>40228</v>
      </c>
      <c r="B1859">
        <v>2204556.7000000002</v>
      </c>
    </row>
    <row r="1860" spans="1:2" x14ac:dyDescent="0.25">
      <c r="A1860" s="1">
        <v>40235</v>
      </c>
      <c r="B1860">
        <v>2095591.63</v>
      </c>
    </row>
    <row r="1861" spans="1:2" x14ac:dyDescent="0.25">
      <c r="A1861" s="1">
        <v>40242</v>
      </c>
      <c r="B1861">
        <v>2237544.75</v>
      </c>
    </row>
    <row r="1862" spans="1:2" x14ac:dyDescent="0.25">
      <c r="A1862" s="1">
        <v>40249</v>
      </c>
      <c r="B1862">
        <v>2156035.06</v>
      </c>
    </row>
    <row r="1863" spans="1:2" x14ac:dyDescent="0.25">
      <c r="A1863" s="1">
        <v>40256</v>
      </c>
      <c r="B1863">
        <v>2066219.3</v>
      </c>
    </row>
    <row r="1864" spans="1:2" x14ac:dyDescent="0.25">
      <c r="A1864" s="1">
        <v>40263</v>
      </c>
      <c r="B1864">
        <v>2050396.27</v>
      </c>
    </row>
    <row r="1865" spans="1:2" x14ac:dyDescent="0.25">
      <c r="A1865" s="1">
        <v>40270</v>
      </c>
      <c r="B1865">
        <v>2495630.5099999998</v>
      </c>
    </row>
    <row r="1866" spans="1:2" x14ac:dyDescent="0.25">
      <c r="A1866" s="1">
        <v>40277</v>
      </c>
      <c r="B1866">
        <v>2258781.2799999998</v>
      </c>
    </row>
    <row r="1867" spans="1:2" x14ac:dyDescent="0.25">
      <c r="A1867" s="1">
        <v>40284</v>
      </c>
      <c r="B1867">
        <v>2121788.61</v>
      </c>
    </row>
    <row r="1868" spans="1:2" x14ac:dyDescent="0.25">
      <c r="A1868" s="1">
        <v>40291</v>
      </c>
      <c r="B1868">
        <v>2138144.91</v>
      </c>
    </row>
    <row r="1869" spans="1:2" x14ac:dyDescent="0.25">
      <c r="A1869" s="1">
        <v>40298</v>
      </c>
      <c r="B1869">
        <v>2082355.12</v>
      </c>
    </row>
    <row r="1870" spans="1:2" x14ac:dyDescent="0.25">
      <c r="A1870" s="1">
        <v>40305</v>
      </c>
      <c r="B1870">
        <v>2370116.52</v>
      </c>
    </row>
    <row r="1871" spans="1:2" x14ac:dyDescent="0.25">
      <c r="A1871" s="1">
        <v>40312</v>
      </c>
      <c r="B1871">
        <v>2129771.13</v>
      </c>
    </row>
    <row r="1872" spans="1:2" x14ac:dyDescent="0.25">
      <c r="A1872" s="1">
        <v>40319</v>
      </c>
      <c r="B1872">
        <v>2108187.1</v>
      </c>
    </row>
    <row r="1873" spans="1:2" x14ac:dyDescent="0.25">
      <c r="A1873" s="1">
        <v>40326</v>
      </c>
      <c r="B1873">
        <v>2227152.16</v>
      </c>
    </row>
    <row r="1874" spans="1:2" x14ac:dyDescent="0.25">
      <c r="A1874" s="1">
        <v>40333</v>
      </c>
      <c r="B1874">
        <v>2363601.4700000002</v>
      </c>
    </row>
    <row r="1875" spans="1:2" x14ac:dyDescent="0.25">
      <c r="A1875" s="1">
        <v>40340</v>
      </c>
      <c r="B1875">
        <v>2249570.04</v>
      </c>
    </row>
    <row r="1876" spans="1:2" x14ac:dyDescent="0.25">
      <c r="A1876" s="1">
        <v>40347</v>
      </c>
      <c r="B1876">
        <v>2248645.59</v>
      </c>
    </row>
    <row r="1877" spans="1:2" x14ac:dyDescent="0.25">
      <c r="A1877" s="1">
        <v>40354</v>
      </c>
      <c r="B1877">
        <v>2246179.91</v>
      </c>
    </row>
    <row r="1878" spans="1:2" x14ac:dyDescent="0.25">
      <c r="A1878" s="1">
        <v>40361</v>
      </c>
      <c r="B1878">
        <v>2334788.42</v>
      </c>
    </row>
    <row r="1879" spans="1:2" x14ac:dyDescent="0.25">
      <c r="A1879" s="1">
        <v>40368</v>
      </c>
      <c r="B1879">
        <v>2236209.13</v>
      </c>
    </row>
    <row r="1880" spans="1:2" x14ac:dyDescent="0.25">
      <c r="A1880" s="1">
        <v>40375</v>
      </c>
      <c r="B1880">
        <v>2130287.27</v>
      </c>
    </row>
    <row r="1881" spans="1:2" x14ac:dyDescent="0.25">
      <c r="A1881" s="1">
        <v>40382</v>
      </c>
      <c r="B1881">
        <v>2044155.39</v>
      </c>
    </row>
    <row r="1882" spans="1:2" x14ac:dyDescent="0.25">
      <c r="A1882" s="1">
        <v>40389</v>
      </c>
      <c r="B1882">
        <v>2054843.28</v>
      </c>
    </row>
    <row r="1883" spans="1:2" x14ac:dyDescent="0.25">
      <c r="A1883" s="1">
        <v>40396</v>
      </c>
      <c r="B1883">
        <v>2219813.5</v>
      </c>
    </row>
    <row r="1884" spans="1:2" x14ac:dyDescent="0.25">
      <c r="A1884" s="1">
        <v>40403</v>
      </c>
      <c r="B1884">
        <v>2052984.81</v>
      </c>
    </row>
    <row r="1885" spans="1:2" x14ac:dyDescent="0.25">
      <c r="A1885" s="1">
        <v>40410</v>
      </c>
      <c r="B1885">
        <v>2057138.31</v>
      </c>
    </row>
    <row r="1886" spans="1:2" x14ac:dyDescent="0.25">
      <c r="A1886" s="1">
        <v>40417</v>
      </c>
      <c r="B1886">
        <v>2020332.07</v>
      </c>
    </row>
    <row r="1887" spans="1:2" x14ac:dyDescent="0.25">
      <c r="A1887" s="1">
        <v>40424</v>
      </c>
      <c r="B1887">
        <v>2182563.66</v>
      </c>
    </row>
    <row r="1888" spans="1:2" x14ac:dyDescent="0.25">
      <c r="A1888" s="1">
        <v>40431</v>
      </c>
      <c r="B1888">
        <v>2191767.7599999998</v>
      </c>
    </row>
    <row r="1889" spans="1:2" x14ac:dyDescent="0.25">
      <c r="A1889" s="1">
        <v>40438</v>
      </c>
      <c r="B1889">
        <v>1953539.85</v>
      </c>
    </row>
    <row r="1890" spans="1:2" x14ac:dyDescent="0.25">
      <c r="A1890" s="1">
        <v>40445</v>
      </c>
      <c r="B1890">
        <v>1879891.13</v>
      </c>
    </row>
    <row r="1891" spans="1:2" x14ac:dyDescent="0.25">
      <c r="A1891" s="1">
        <v>40452</v>
      </c>
      <c r="B1891">
        <v>1855703.66</v>
      </c>
    </row>
    <row r="1892" spans="1:2" x14ac:dyDescent="0.25">
      <c r="A1892" s="1">
        <v>40459</v>
      </c>
      <c r="B1892">
        <v>2091663.2</v>
      </c>
    </row>
    <row r="1893" spans="1:2" x14ac:dyDescent="0.25">
      <c r="A1893" s="1">
        <v>40466</v>
      </c>
      <c r="B1893">
        <v>1932162.63</v>
      </c>
    </row>
    <row r="1894" spans="1:2" x14ac:dyDescent="0.25">
      <c r="A1894" s="1">
        <v>40473</v>
      </c>
      <c r="B1894">
        <v>1936621.09</v>
      </c>
    </row>
    <row r="1895" spans="1:2" x14ac:dyDescent="0.25">
      <c r="A1895" s="1">
        <v>40480</v>
      </c>
      <c r="B1895">
        <v>1984768.34</v>
      </c>
    </row>
    <row r="1896" spans="1:2" x14ac:dyDescent="0.25">
      <c r="A1896" s="1">
        <v>40487</v>
      </c>
      <c r="B1896">
        <v>2078417.47</v>
      </c>
    </row>
    <row r="1897" spans="1:2" x14ac:dyDescent="0.25">
      <c r="A1897" s="1">
        <v>40494</v>
      </c>
      <c r="B1897">
        <v>2092189.06</v>
      </c>
    </row>
    <row r="1898" spans="1:2" x14ac:dyDescent="0.25">
      <c r="A1898" s="1">
        <v>40501</v>
      </c>
      <c r="B1898">
        <v>1968462.58</v>
      </c>
    </row>
    <row r="1899" spans="1:2" x14ac:dyDescent="0.25">
      <c r="A1899" s="1">
        <v>40508</v>
      </c>
      <c r="B1899">
        <v>2921709.71</v>
      </c>
    </row>
    <row r="1900" spans="1:2" x14ac:dyDescent="0.25">
      <c r="A1900" s="1">
        <v>40515</v>
      </c>
      <c r="B1900">
        <v>2258489.63</v>
      </c>
    </row>
    <row r="1901" spans="1:2" x14ac:dyDescent="0.25">
      <c r="A1901" s="1">
        <v>40522</v>
      </c>
      <c r="B1901">
        <v>2600519.2599999998</v>
      </c>
    </row>
    <row r="1902" spans="1:2" x14ac:dyDescent="0.25">
      <c r="A1902" s="1">
        <v>40529</v>
      </c>
      <c r="B1902">
        <v>2762861.41</v>
      </c>
    </row>
    <row r="1903" spans="1:2" x14ac:dyDescent="0.25">
      <c r="A1903" s="1">
        <v>40536</v>
      </c>
      <c r="B1903">
        <v>3818686.45</v>
      </c>
    </row>
    <row r="1904" spans="1:2" x14ac:dyDescent="0.25">
      <c r="A1904" s="1">
        <v>40543</v>
      </c>
      <c r="B1904">
        <v>1623716.46</v>
      </c>
    </row>
    <row r="1905" spans="1:2" x14ac:dyDescent="0.25">
      <c r="A1905" s="1">
        <v>40550</v>
      </c>
      <c r="B1905">
        <v>1864746.1</v>
      </c>
    </row>
    <row r="1906" spans="1:2" x14ac:dyDescent="0.25">
      <c r="A1906" s="1">
        <v>40557</v>
      </c>
      <c r="B1906">
        <v>1699095.9</v>
      </c>
    </row>
    <row r="1907" spans="1:2" x14ac:dyDescent="0.25">
      <c r="A1907" s="1">
        <v>40564</v>
      </c>
      <c r="B1907">
        <v>1743188.87</v>
      </c>
    </row>
    <row r="1908" spans="1:2" x14ac:dyDescent="0.25">
      <c r="A1908" s="1">
        <v>40571</v>
      </c>
      <c r="B1908">
        <v>1613718.38</v>
      </c>
    </row>
    <row r="1909" spans="1:2" x14ac:dyDescent="0.25">
      <c r="A1909" s="1">
        <v>40578</v>
      </c>
      <c r="B1909">
        <v>1995891.87</v>
      </c>
    </row>
    <row r="1910" spans="1:2" x14ac:dyDescent="0.25">
      <c r="A1910" s="1">
        <v>40585</v>
      </c>
      <c r="B1910">
        <v>1980405.03</v>
      </c>
    </row>
    <row r="1911" spans="1:2" x14ac:dyDescent="0.25">
      <c r="A1911" s="1">
        <v>40592</v>
      </c>
      <c r="B1911">
        <v>2019031.67</v>
      </c>
    </row>
    <row r="1912" spans="1:2" x14ac:dyDescent="0.25">
      <c r="A1912" s="1">
        <v>40599</v>
      </c>
      <c r="B1912">
        <v>1875708.88</v>
      </c>
    </row>
    <row r="1913" spans="1:2" x14ac:dyDescent="0.25">
      <c r="A1913" s="1">
        <v>40606</v>
      </c>
      <c r="B1913">
        <v>2041215.61</v>
      </c>
    </row>
    <row r="1914" spans="1:2" x14ac:dyDescent="0.25">
      <c r="A1914" s="1">
        <v>40613</v>
      </c>
      <c r="B1914">
        <v>1931104.67</v>
      </c>
    </row>
    <row r="1915" spans="1:2" x14ac:dyDescent="0.25">
      <c r="A1915" s="1">
        <v>40620</v>
      </c>
      <c r="B1915">
        <v>1932491.42</v>
      </c>
    </row>
    <row r="1916" spans="1:2" x14ac:dyDescent="0.25">
      <c r="A1916" s="1">
        <v>40627</v>
      </c>
      <c r="B1916">
        <v>1879451.23</v>
      </c>
    </row>
    <row r="1917" spans="1:2" x14ac:dyDescent="0.25">
      <c r="A1917" s="1">
        <v>40634</v>
      </c>
      <c r="B1917">
        <v>1869110.55</v>
      </c>
    </row>
    <row r="1918" spans="1:2" x14ac:dyDescent="0.25">
      <c r="A1918" s="1">
        <v>40641</v>
      </c>
      <c r="B1918">
        <v>2037798.88</v>
      </c>
    </row>
    <row r="1919" spans="1:2" x14ac:dyDescent="0.25">
      <c r="A1919" s="1">
        <v>40648</v>
      </c>
      <c r="B1919">
        <v>1974960.86</v>
      </c>
    </row>
    <row r="1920" spans="1:2" x14ac:dyDescent="0.25">
      <c r="A1920" s="1">
        <v>40655</v>
      </c>
      <c r="B1920">
        <v>2256461.39</v>
      </c>
    </row>
    <row r="1921" spans="1:2" x14ac:dyDescent="0.25">
      <c r="A1921" s="1">
        <v>40662</v>
      </c>
      <c r="B1921">
        <v>1930617.64</v>
      </c>
    </row>
    <row r="1922" spans="1:2" x14ac:dyDescent="0.25">
      <c r="A1922" s="1">
        <v>40669</v>
      </c>
      <c r="B1922">
        <v>2095599.93</v>
      </c>
    </row>
    <row r="1923" spans="1:2" x14ac:dyDescent="0.25">
      <c r="A1923" s="1">
        <v>40676</v>
      </c>
      <c r="B1923">
        <v>2004330.3</v>
      </c>
    </row>
    <row r="1924" spans="1:2" x14ac:dyDescent="0.25">
      <c r="A1924" s="1">
        <v>40683</v>
      </c>
      <c r="B1924">
        <v>1959967.8</v>
      </c>
    </row>
    <row r="1925" spans="1:2" x14ac:dyDescent="0.25">
      <c r="A1925" s="1">
        <v>40690</v>
      </c>
      <c r="B1925">
        <v>2080694.24</v>
      </c>
    </row>
    <row r="1926" spans="1:2" x14ac:dyDescent="0.25">
      <c r="A1926" s="1">
        <v>40697</v>
      </c>
      <c r="B1926">
        <v>2079899.47</v>
      </c>
    </row>
    <row r="1927" spans="1:2" x14ac:dyDescent="0.25">
      <c r="A1927" s="1">
        <v>40704</v>
      </c>
      <c r="B1927">
        <v>2132446</v>
      </c>
    </row>
    <row r="1928" spans="1:2" x14ac:dyDescent="0.25">
      <c r="A1928" s="1">
        <v>40711</v>
      </c>
      <c r="B1928">
        <v>2082083.34</v>
      </c>
    </row>
    <row r="1929" spans="1:2" x14ac:dyDescent="0.25">
      <c r="A1929" s="1">
        <v>40718</v>
      </c>
      <c r="B1929">
        <v>2069523.52</v>
      </c>
    </row>
    <row r="1930" spans="1:2" x14ac:dyDescent="0.25">
      <c r="A1930" s="1">
        <v>40725</v>
      </c>
      <c r="B1930">
        <v>2074668.19</v>
      </c>
    </row>
    <row r="1931" spans="1:2" x14ac:dyDescent="0.25">
      <c r="A1931" s="1">
        <v>40732</v>
      </c>
      <c r="B1931">
        <v>2063401.06</v>
      </c>
    </row>
    <row r="1932" spans="1:2" x14ac:dyDescent="0.25">
      <c r="A1932" s="1">
        <v>40739</v>
      </c>
      <c r="B1932">
        <v>1953544.76</v>
      </c>
    </row>
    <row r="1933" spans="1:2" x14ac:dyDescent="0.25">
      <c r="A1933" s="1">
        <v>40746</v>
      </c>
      <c r="B1933">
        <v>1882070.88</v>
      </c>
    </row>
    <row r="1934" spans="1:2" x14ac:dyDescent="0.25">
      <c r="A1934" s="1">
        <v>40753</v>
      </c>
      <c r="B1934">
        <v>1871021.01</v>
      </c>
    </row>
    <row r="1935" spans="1:2" x14ac:dyDescent="0.25">
      <c r="A1935" s="1">
        <v>40760</v>
      </c>
      <c r="B1935">
        <v>2066020.69</v>
      </c>
    </row>
    <row r="1936" spans="1:2" x14ac:dyDescent="0.25">
      <c r="A1936" s="1">
        <v>40767</v>
      </c>
      <c r="B1936">
        <v>1928773.82</v>
      </c>
    </row>
    <row r="1937" spans="1:2" x14ac:dyDescent="0.25">
      <c r="A1937" s="1">
        <v>40774</v>
      </c>
      <c r="B1937">
        <v>1896873.99</v>
      </c>
    </row>
    <row r="1938" spans="1:2" x14ac:dyDescent="0.25">
      <c r="A1938" s="1">
        <v>40781</v>
      </c>
      <c r="B1938">
        <v>2273470.62</v>
      </c>
    </row>
    <row r="1939" spans="1:2" x14ac:dyDescent="0.25">
      <c r="A1939" s="1">
        <v>40788</v>
      </c>
      <c r="B1939">
        <v>1750891.47</v>
      </c>
    </row>
    <row r="1940" spans="1:2" x14ac:dyDescent="0.25">
      <c r="A1940" s="1">
        <v>40795</v>
      </c>
      <c r="B1940">
        <v>2202742.9</v>
      </c>
    </row>
    <row r="1941" spans="1:2" x14ac:dyDescent="0.25">
      <c r="A1941" s="1">
        <v>40802</v>
      </c>
      <c r="B1941">
        <v>1864637.89</v>
      </c>
    </row>
    <row r="1942" spans="1:2" x14ac:dyDescent="0.25">
      <c r="A1942" s="1">
        <v>40809</v>
      </c>
      <c r="B1942">
        <v>1871555.64</v>
      </c>
    </row>
    <row r="1943" spans="1:2" x14ac:dyDescent="0.25">
      <c r="A1943" s="1">
        <v>40816</v>
      </c>
      <c r="B1943">
        <v>1809989.29</v>
      </c>
    </row>
    <row r="1944" spans="1:2" x14ac:dyDescent="0.25">
      <c r="A1944" s="1">
        <v>40823</v>
      </c>
      <c r="B1944">
        <v>2078796.76</v>
      </c>
    </row>
    <row r="1945" spans="1:2" x14ac:dyDescent="0.25">
      <c r="A1945" s="1">
        <v>40830</v>
      </c>
      <c r="B1945">
        <v>1890870.75</v>
      </c>
    </row>
    <row r="1946" spans="1:2" x14ac:dyDescent="0.25">
      <c r="A1946" s="1">
        <v>40837</v>
      </c>
      <c r="B1946">
        <v>2009004.59</v>
      </c>
    </row>
    <row r="1947" spans="1:2" x14ac:dyDescent="0.25">
      <c r="A1947" s="1">
        <v>40844</v>
      </c>
      <c r="B1947">
        <v>2056846.12</v>
      </c>
    </row>
    <row r="1948" spans="1:2" x14ac:dyDescent="0.25">
      <c r="A1948" s="1">
        <v>40851</v>
      </c>
      <c r="B1948">
        <v>2174056.71</v>
      </c>
    </row>
    <row r="1949" spans="1:2" x14ac:dyDescent="0.25">
      <c r="A1949" s="1">
        <v>40858</v>
      </c>
      <c r="B1949">
        <v>2081534.65</v>
      </c>
    </row>
    <row r="1950" spans="1:2" x14ac:dyDescent="0.25">
      <c r="A1950" s="1">
        <v>40865</v>
      </c>
      <c r="B1950">
        <v>1969360.72</v>
      </c>
    </row>
    <row r="1951" spans="1:2" x14ac:dyDescent="0.25">
      <c r="A1951" s="1">
        <v>40872</v>
      </c>
      <c r="B1951">
        <v>2685351.81</v>
      </c>
    </row>
    <row r="1952" spans="1:2" x14ac:dyDescent="0.25">
      <c r="A1952" s="1">
        <v>40879</v>
      </c>
      <c r="B1952">
        <v>2143080.5699999998</v>
      </c>
    </row>
    <row r="1953" spans="1:2" x14ac:dyDescent="0.25">
      <c r="A1953" s="1">
        <v>40886</v>
      </c>
      <c r="B1953">
        <v>2470581.29</v>
      </c>
    </row>
    <row r="1954" spans="1:2" x14ac:dyDescent="0.25">
      <c r="A1954" s="1">
        <v>40893</v>
      </c>
      <c r="B1954">
        <v>2594363.09</v>
      </c>
    </row>
    <row r="1955" spans="1:2" x14ac:dyDescent="0.25">
      <c r="A1955" s="1">
        <v>40900</v>
      </c>
      <c r="B1955">
        <v>3369068.99</v>
      </c>
    </row>
    <row r="1956" spans="1:2" x14ac:dyDescent="0.25">
      <c r="A1956" s="1">
        <v>40907</v>
      </c>
      <c r="B1956">
        <v>1914148.89</v>
      </c>
    </row>
    <row r="1957" spans="1:2" x14ac:dyDescent="0.25">
      <c r="A1957" s="1">
        <v>40914</v>
      </c>
      <c r="B1957">
        <v>1859144.96</v>
      </c>
    </row>
    <row r="1958" spans="1:2" x14ac:dyDescent="0.25">
      <c r="A1958" s="1">
        <v>40921</v>
      </c>
      <c r="B1958">
        <v>1696248.27</v>
      </c>
    </row>
    <row r="1959" spans="1:2" x14ac:dyDescent="0.25">
      <c r="A1959" s="1">
        <v>40928</v>
      </c>
      <c r="B1959">
        <v>1789113.32</v>
      </c>
    </row>
    <row r="1960" spans="1:2" x14ac:dyDescent="0.25">
      <c r="A1960" s="1">
        <v>40935</v>
      </c>
      <c r="B1960">
        <v>1595362.27</v>
      </c>
    </row>
    <row r="1961" spans="1:2" x14ac:dyDescent="0.25">
      <c r="A1961" s="1">
        <v>40942</v>
      </c>
      <c r="B1961">
        <v>1877410.36</v>
      </c>
    </row>
    <row r="1962" spans="1:2" x14ac:dyDescent="0.25">
      <c r="A1962" s="1">
        <v>40949</v>
      </c>
      <c r="B1962">
        <v>2077256.24</v>
      </c>
    </row>
    <row r="1963" spans="1:2" x14ac:dyDescent="0.25">
      <c r="A1963" s="1">
        <v>40956</v>
      </c>
      <c r="B1963">
        <v>2020550.99</v>
      </c>
    </row>
    <row r="1964" spans="1:2" x14ac:dyDescent="0.25">
      <c r="A1964" s="1">
        <v>40963</v>
      </c>
      <c r="B1964">
        <v>1875040.16</v>
      </c>
    </row>
    <row r="1965" spans="1:2" x14ac:dyDescent="0.25">
      <c r="A1965" s="1">
        <v>40970</v>
      </c>
      <c r="B1965">
        <v>1926004.99</v>
      </c>
    </row>
    <row r="1966" spans="1:2" x14ac:dyDescent="0.25">
      <c r="A1966" s="1">
        <v>40977</v>
      </c>
      <c r="B1966">
        <v>2020839.31</v>
      </c>
    </row>
    <row r="1967" spans="1:2" x14ac:dyDescent="0.25">
      <c r="A1967" s="1">
        <v>40984</v>
      </c>
      <c r="B1967">
        <v>1941040.5</v>
      </c>
    </row>
    <row r="1968" spans="1:2" x14ac:dyDescent="0.25">
      <c r="A1968" s="1">
        <v>40991</v>
      </c>
      <c r="B1968">
        <v>1893447.71</v>
      </c>
    </row>
    <row r="1969" spans="1:2" x14ac:dyDescent="0.25">
      <c r="A1969" s="1">
        <v>40998</v>
      </c>
      <c r="B1969">
        <v>1905033.01</v>
      </c>
    </row>
    <row r="1970" spans="1:2" x14ac:dyDescent="0.25">
      <c r="A1970" s="1">
        <v>41005</v>
      </c>
      <c r="B1970">
        <v>2376022.2599999998</v>
      </c>
    </row>
    <row r="1971" spans="1:2" x14ac:dyDescent="0.25">
      <c r="A1971" s="1">
        <v>41012</v>
      </c>
      <c r="B1971">
        <v>1912909.69</v>
      </c>
    </row>
    <row r="1972" spans="1:2" x14ac:dyDescent="0.25">
      <c r="A1972" s="1">
        <v>41019</v>
      </c>
      <c r="B1972">
        <v>1875686.44</v>
      </c>
    </row>
    <row r="1973" spans="1:2" x14ac:dyDescent="0.25">
      <c r="A1973" s="1">
        <v>41026</v>
      </c>
      <c r="B1973">
        <v>1784029.95</v>
      </c>
    </row>
    <row r="1974" spans="1:2" x14ac:dyDescent="0.25">
      <c r="A1974" s="1">
        <v>41033</v>
      </c>
      <c r="B1974">
        <v>1949354.29</v>
      </c>
    </row>
    <row r="1975" spans="1:2" x14ac:dyDescent="0.25">
      <c r="A1975" s="1">
        <v>41040</v>
      </c>
      <c r="B1975">
        <v>1987531.05</v>
      </c>
    </row>
    <row r="1976" spans="1:2" x14ac:dyDescent="0.25">
      <c r="A1976" s="1">
        <v>41047</v>
      </c>
      <c r="B1976">
        <v>1932233.17</v>
      </c>
    </row>
    <row r="1977" spans="1:2" x14ac:dyDescent="0.25">
      <c r="A1977" s="1">
        <v>41054</v>
      </c>
      <c r="B1977">
        <v>2030869.61</v>
      </c>
    </row>
    <row r="1978" spans="1:2" x14ac:dyDescent="0.25">
      <c r="A1978" s="1">
        <v>41061</v>
      </c>
      <c r="B1978">
        <v>2049485.49</v>
      </c>
    </row>
    <row r="1979" spans="1:2" x14ac:dyDescent="0.25">
      <c r="A1979" s="1">
        <v>41068</v>
      </c>
      <c r="B1979">
        <v>2099615.88</v>
      </c>
    </row>
    <row r="1980" spans="1:2" x14ac:dyDescent="0.25">
      <c r="A1980" s="1">
        <v>41075</v>
      </c>
      <c r="B1980">
        <v>1905733.68</v>
      </c>
    </row>
    <row r="1981" spans="1:2" x14ac:dyDescent="0.25">
      <c r="A1981" s="1">
        <v>41082</v>
      </c>
      <c r="B1981">
        <v>1660228.88</v>
      </c>
    </row>
    <row r="1982" spans="1:2" x14ac:dyDescent="0.25">
      <c r="A1982" s="1">
        <v>41089</v>
      </c>
      <c r="B1982">
        <v>1591835.02</v>
      </c>
    </row>
    <row r="1983" spans="1:2" x14ac:dyDescent="0.25">
      <c r="A1983" s="1">
        <v>41096</v>
      </c>
      <c r="B1983">
        <v>1862128.95</v>
      </c>
    </row>
    <row r="1984" spans="1:2" x14ac:dyDescent="0.25">
      <c r="A1984" s="1">
        <v>41103</v>
      </c>
      <c r="B1984">
        <v>1544422.35</v>
      </c>
    </row>
    <row r="1985" spans="1:2" x14ac:dyDescent="0.25">
      <c r="A1985" s="1">
        <v>41110</v>
      </c>
      <c r="B1985">
        <v>1553250.16</v>
      </c>
    </row>
    <row r="1986" spans="1:2" x14ac:dyDescent="0.25">
      <c r="A1986" s="1">
        <v>41117</v>
      </c>
      <c r="B1986">
        <v>1479514.66</v>
      </c>
    </row>
    <row r="1987" spans="1:2" x14ac:dyDescent="0.25">
      <c r="A1987" s="1">
        <v>41124</v>
      </c>
      <c r="B1987">
        <v>1656886.46</v>
      </c>
    </row>
    <row r="1988" spans="1:2" x14ac:dyDescent="0.25">
      <c r="A1988" s="1">
        <v>41131</v>
      </c>
      <c r="B1988">
        <v>1648570.03</v>
      </c>
    </row>
    <row r="1989" spans="1:2" x14ac:dyDescent="0.25">
      <c r="A1989" s="1">
        <v>41138</v>
      </c>
      <c r="B1989">
        <v>1660433.3</v>
      </c>
    </row>
    <row r="1990" spans="1:2" x14ac:dyDescent="0.25">
      <c r="A1990" s="1">
        <v>41145</v>
      </c>
      <c r="B1990">
        <v>1621841.33</v>
      </c>
    </row>
    <row r="1991" spans="1:2" x14ac:dyDescent="0.25">
      <c r="A1991" s="1">
        <v>41152</v>
      </c>
      <c r="B1991">
        <v>1613342.19</v>
      </c>
    </row>
    <row r="1992" spans="1:2" x14ac:dyDescent="0.25">
      <c r="A1992" s="1">
        <v>41159</v>
      </c>
      <c r="B1992">
        <v>1904512.34</v>
      </c>
    </row>
    <row r="1993" spans="1:2" x14ac:dyDescent="0.25">
      <c r="A1993" s="1">
        <v>41166</v>
      </c>
      <c r="B1993">
        <v>1554794.22</v>
      </c>
    </row>
    <row r="1994" spans="1:2" x14ac:dyDescent="0.25">
      <c r="A1994" s="1">
        <v>41173</v>
      </c>
      <c r="B1994">
        <v>1565352.46</v>
      </c>
    </row>
    <row r="1995" spans="1:2" x14ac:dyDescent="0.25">
      <c r="A1995" s="1">
        <v>41180</v>
      </c>
      <c r="B1995">
        <v>1522512.2</v>
      </c>
    </row>
    <row r="1996" spans="1:2" x14ac:dyDescent="0.25">
      <c r="A1996" s="1">
        <v>41187</v>
      </c>
      <c r="B1996">
        <v>1687592.16</v>
      </c>
    </row>
    <row r="1997" spans="1:2" x14ac:dyDescent="0.25">
      <c r="A1997" s="1">
        <v>41194</v>
      </c>
      <c r="B1997">
        <v>1639585.61</v>
      </c>
    </row>
    <row r="1998" spans="1:2" x14ac:dyDescent="0.25">
      <c r="A1998" s="1">
        <v>41201</v>
      </c>
      <c r="B1998">
        <v>1590274.72</v>
      </c>
    </row>
    <row r="1999" spans="1:2" x14ac:dyDescent="0.25">
      <c r="A1999" s="1">
        <v>41208</v>
      </c>
      <c r="B1999">
        <v>1704357.62</v>
      </c>
    </row>
    <row r="2000" spans="1:2" x14ac:dyDescent="0.25">
      <c r="A2000" s="1">
        <v>40214</v>
      </c>
      <c r="B2000">
        <v>652122.43999999994</v>
      </c>
    </row>
    <row r="2001" spans="1:2" x14ac:dyDescent="0.25">
      <c r="A2001" s="1">
        <v>40221</v>
      </c>
      <c r="B2001">
        <v>682447.1</v>
      </c>
    </row>
    <row r="2002" spans="1:2" x14ac:dyDescent="0.25">
      <c r="A2002" s="1">
        <v>40228</v>
      </c>
      <c r="B2002">
        <v>660838.75</v>
      </c>
    </row>
    <row r="2003" spans="1:2" x14ac:dyDescent="0.25">
      <c r="A2003" s="1">
        <v>40235</v>
      </c>
      <c r="B2003">
        <v>564883.19999999995</v>
      </c>
    </row>
    <row r="2004" spans="1:2" x14ac:dyDescent="0.25">
      <c r="A2004" s="1">
        <v>40242</v>
      </c>
      <c r="B2004">
        <v>605325.43000000005</v>
      </c>
    </row>
    <row r="2005" spans="1:2" x14ac:dyDescent="0.25">
      <c r="A2005" s="1">
        <v>40249</v>
      </c>
      <c r="B2005">
        <v>604173.59</v>
      </c>
    </row>
    <row r="2006" spans="1:2" x14ac:dyDescent="0.25">
      <c r="A2006" s="1">
        <v>40256</v>
      </c>
      <c r="B2006">
        <v>593710.67000000004</v>
      </c>
    </row>
    <row r="2007" spans="1:2" x14ac:dyDescent="0.25">
      <c r="A2007" s="1">
        <v>40263</v>
      </c>
      <c r="B2007">
        <v>592111.49</v>
      </c>
    </row>
    <row r="2008" spans="1:2" x14ac:dyDescent="0.25">
      <c r="A2008" s="1">
        <v>40270</v>
      </c>
      <c r="B2008">
        <v>718470.71</v>
      </c>
    </row>
    <row r="2009" spans="1:2" x14ac:dyDescent="0.25">
      <c r="A2009" s="1">
        <v>40277</v>
      </c>
      <c r="B2009">
        <v>634605.77</v>
      </c>
    </row>
    <row r="2010" spans="1:2" x14ac:dyDescent="0.25">
      <c r="A2010" s="1">
        <v>40284</v>
      </c>
      <c r="B2010">
        <v>641208.65</v>
      </c>
    </row>
    <row r="2011" spans="1:2" x14ac:dyDescent="0.25">
      <c r="A2011" s="1">
        <v>40291</v>
      </c>
      <c r="B2011">
        <v>643097.59999999998</v>
      </c>
    </row>
    <row r="2012" spans="1:2" x14ac:dyDescent="0.25">
      <c r="A2012" s="1">
        <v>40298</v>
      </c>
      <c r="B2012">
        <v>570791.11</v>
      </c>
    </row>
    <row r="2013" spans="1:2" x14ac:dyDescent="0.25">
      <c r="A2013" s="1">
        <v>40305</v>
      </c>
      <c r="B2013">
        <v>661348.88</v>
      </c>
    </row>
    <row r="2014" spans="1:2" x14ac:dyDescent="0.25">
      <c r="A2014" s="1">
        <v>40312</v>
      </c>
      <c r="B2014">
        <v>594385.19999999995</v>
      </c>
    </row>
    <row r="2015" spans="1:2" x14ac:dyDescent="0.25">
      <c r="A2015" s="1">
        <v>40319</v>
      </c>
      <c r="B2015">
        <v>616598.1</v>
      </c>
    </row>
    <row r="2016" spans="1:2" x14ac:dyDescent="0.25">
      <c r="A2016" s="1">
        <v>40326</v>
      </c>
      <c r="B2016">
        <v>744772.88</v>
      </c>
    </row>
    <row r="2017" spans="1:2" x14ac:dyDescent="0.25">
      <c r="A2017" s="1">
        <v>40333</v>
      </c>
      <c r="B2017">
        <v>693192.5</v>
      </c>
    </row>
    <row r="2018" spans="1:2" x14ac:dyDescent="0.25">
      <c r="A2018" s="1">
        <v>40340</v>
      </c>
      <c r="B2018">
        <v>619337.29</v>
      </c>
    </row>
    <row r="2019" spans="1:2" x14ac:dyDescent="0.25">
      <c r="A2019" s="1">
        <v>40347</v>
      </c>
      <c r="B2019">
        <v>652329.53</v>
      </c>
    </row>
    <row r="2020" spans="1:2" x14ac:dyDescent="0.25">
      <c r="A2020" s="1">
        <v>40354</v>
      </c>
      <c r="B2020">
        <v>672194.03</v>
      </c>
    </row>
    <row r="2021" spans="1:2" x14ac:dyDescent="0.25">
      <c r="A2021" s="1">
        <v>40361</v>
      </c>
      <c r="B2021">
        <v>709337.11</v>
      </c>
    </row>
    <row r="2022" spans="1:2" x14ac:dyDescent="0.25">
      <c r="A2022" s="1">
        <v>40368</v>
      </c>
      <c r="B2022">
        <v>691497.62</v>
      </c>
    </row>
    <row r="2023" spans="1:2" x14ac:dyDescent="0.25">
      <c r="A2023" s="1">
        <v>40375</v>
      </c>
      <c r="B2023">
        <v>633203.68999999994</v>
      </c>
    </row>
    <row r="2024" spans="1:2" x14ac:dyDescent="0.25">
      <c r="A2024" s="1">
        <v>40382</v>
      </c>
      <c r="B2024">
        <v>598553.43000000005</v>
      </c>
    </row>
    <row r="2025" spans="1:2" x14ac:dyDescent="0.25">
      <c r="A2025" s="1">
        <v>40389</v>
      </c>
      <c r="B2025">
        <v>619224.06000000006</v>
      </c>
    </row>
    <row r="2026" spans="1:2" x14ac:dyDescent="0.25">
      <c r="A2026" s="1">
        <v>40396</v>
      </c>
      <c r="B2026">
        <v>639651.24</v>
      </c>
    </row>
    <row r="2027" spans="1:2" x14ac:dyDescent="0.25">
      <c r="A2027" s="1">
        <v>40403</v>
      </c>
      <c r="B2027">
        <v>622437.07999999996</v>
      </c>
    </row>
    <row r="2028" spans="1:2" x14ac:dyDescent="0.25">
      <c r="A2028" s="1">
        <v>40410</v>
      </c>
      <c r="B2028">
        <v>637090.43999999994</v>
      </c>
    </row>
    <row r="2029" spans="1:2" x14ac:dyDescent="0.25">
      <c r="A2029" s="1">
        <v>40417</v>
      </c>
      <c r="B2029">
        <v>649791.15</v>
      </c>
    </row>
    <row r="2030" spans="1:2" x14ac:dyDescent="0.25">
      <c r="A2030" s="1">
        <v>40424</v>
      </c>
      <c r="B2030">
        <v>638647.21</v>
      </c>
    </row>
    <row r="2031" spans="1:2" x14ac:dyDescent="0.25">
      <c r="A2031" s="1">
        <v>40431</v>
      </c>
      <c r="B2031">
        <v>641965.19999999995</v>
      </c>
    </row>
    <row r="2032" spans="1:2" x14ac:dyDescent="0.25">
      <c r="A2032" s="1">
        <v>40438</v>
      </c>
      <c r="B2032">
        <v>583210.87</v>
      </c>
    </row>
    <row r="2033" spans="1:2" x14ac:dyDescent="0.25">
      <c r="A2033" s="1">
        <v>40445</v>
      </c>
      <c r="B2033">
        <v>548542.47</v>
      </c>
    </row>
    <row r="2034" spans="1:2" x14ac:dyDescent="0.25">
      <c r="A2034" s="1">
        <v>40452</v>
      </c>
      <c r="B2034">
        <v>566945.94999999995</v>
      </c>
    </row>
    <row r="2035" spans="1:2" x14ac:dyDescent="0.25">
      <c r="A2035" s="1">
        <v>40459</v>
      </c>
      <c r="B2035">
        <v>591603.79</v>
      </c>
    </row>
    <row r="2036" spans="1:2" x14ac:dyDescent="0.25">
      <c r="A2036" s="1">
        <v>40466</v>
      </c>
      <c r="B2036">
        <v>577011.26</v>
      </c>
    </row>
    <row r="2037" spans="1:2" x14ac:dyDescent="0.25">
      <c r="A2037" s="1">
        <v>40473</v>
      </c>
      <c r="B2037">
        <v>600395.73</v>
      </c>
    </row>
    <row r="2038" spans="1:2" x14ac:dyDescent="0.25">
      <c r="A2038" s="1">
        <v>40480</v>
      </c>
      <c r="B2038">
        <v>598301.5</v>
      </c>
    </row>
    <row r="2039" spans="1:2" x14ac:dyDescent="0.25">
      <c r="A2039" s="1">
        <v>40487</v>
      </c>
      <c r="B2039">
        <v>612987.64</v>
      </c>
    </row>
    <row r="2040" spans="1:2" x14ac:dyDescent="0.25">
      <c r="A2040" s="1">
        <v>40494</v>
      </c>
      <c r="B2040">
        <v>619639.74</v>
      </c>
    </row>
    <row r="2041" spans="1:2" x14ac:dyDescent="0.25">
      <c r="A2041" s="1">
        <v>40501</v>
      </c>
      <c r="B2041">
        <v>608200.81000000006</v>
      </c>
    </row>
    <row r="2042" spans="1:2" x14ac:dyDescent="0.25">
      <c r="A2042" s="1">
        <v>40508</v>
      </c>
      <c r="B2042">
        <v>1120018.92</v>
      </c>
    </row>
    <row r="2043" spans="1:2" x14ac:dyDescent="0.25">
      <c r="A2043" s="1">
        <v>40515</v>
      </c>
      <c r="B2043">
        <v>754134.95</v>
      </c>
    </row>
    <row r="2044" spans="1:2" x14ac:dyDescent="0.25">
      <c r="A2044" s="1">
        <v>40522</v>
      </c>
      <c r="B2044">
        <v>847294.04</v>
      </c>
    </row>
    <row r="2045" spans="1:2" x14ac:dyDescent="0.25">
      <c r="A2045" s="1">
        <v>40529</v>
      </c>
      <c r="B2045">
        <v>983825.15</v>
      </c>
    </row>
    <row r="2046" spans="1:2" x14ac:dyDescent="0.25">
      <c r="A2046" s="1">
        <v>40536</v>
      </c>
      <c r="B2046">
        <v>1368318.17</v>
      </c>
    </row>
    <row r="2047" spans="1:2" x14ac:dyDescent="0.25">
      <c r="A2047" s="1">
        <v>40543</v>
      </c>
      <c r="B2047">
        <v>543754.17000000004</v>
      </c>
    </row>
    <row r="2048" spans="1:2" x14ac:dyDescent="0.25">
      <c r="A2048" s="1">
        <v>40550</v>
      </c>
      <c r="B2048">
        <v>509640.77</v>
      </c>
    </row>
    <row r="2049" spans="1:2" x14ac:dyDescent="0.25">
      <c r="A2049" s="1">
        <v>40557</v>
      </c>
      <c r="B2049">
        <v>479424.2</v>
      </c>
    </row>
    <row r="2050" spans="1:2" x14ac:dyDescent="0.25">
      <c r="A2050" s="1">
        <v>40564</v>
      </c>
      <c r="B2050">
        <v>487311.03</v>
      </c>
    </row>
    <row r="2051" spans="1:2" x14ac:dyDescent="0.25">
      <c r="A2051" s="1">
        <v>40571</v>
      </c>
      <c r="B2051">
        <v>481119.6</v>
      </c>
    </row>
    <row r="2052" spans="1:2" x14ac:dyDescent="0.25">
      <c r="A2052" s="1">
        <v>40578</v>
      </c>
      <c r="B2052">
        <v>556550.85</v>
      </c>
    </row>
    <row r="2053" spans="1:2" x14ac:dyDescent="0.25">
      <c r="A2053" s="1">
        <v>40585</v>
      </c>
      <c r="B2053">
        <v>582864.35</v>
      </c>
    </row>
    <row r="2054" spans="1:2" x14ac:dyDescent="0.25">
      <c r="A2054" s="1">
        <v>40592</v>
      </c>
      <c r="B2054">
        <v>649993.5</v>
      </c>
    </row>
    <row r="2055" spans="1:2" x14ac:dyDescent="0.25">
      <c r="A2055" s="1">
        <v>40599</v>
      </c>
      <c r="B2055">
        <v>547564.09</v>
      </c>
    </row>
    <row r="2056" spans="1:2" x14ac:dyDescent="0.25">
      <c r="A2056" s="1">
        <v>40606</v>
      </c>
      <c r="B2056">
        <v>573374.49</v>
      </c>
    </row>
    <row r="2057" spans="1:2" x14ac:dyDescent="0.25">
      <c r="A2057" s="1">
        <v>40613</v>
      </c>
      <c r="B2057">
        <v>537035.28</v>
      </c>
    </row>
    <row r="2058" spans="1:2" x14ac:dyDescent="0.25">
      <c r="A2058" s="1">
        <v>40620</v>
      </c>
      <c r="B2058">
        <v>551553.99</v>
      </c>
    </row>
    <row r="2059" spans="1:2" x14ac:dyDescent="0.25">
      <c r="A2059" s="1">
        <v>40627</v>
      </c>
      <c r="B2059">
        <v>527389.28</v>
      </c>
    </row>
    <row r="2060" spans="1:2" x14ac:dyDescent="0.25">
      <c r="A2060" s="1">
        <v>40634</v>
      </c>
      <c r="B2060">
        <v>542556.05000000005</v>
      </c>
    </row>
    <row r="2061" spans="1:2" x14ac:dyDescent="0.25">
      <c r="A2061" s="1">
        <v>40641</v>
      </c>
      <c r="B2061">
        <v>587370.81000000006</v>
      </c>
    </row>
    <row r="2062" spans="1:2" x14ac:dyDescent="0.25">
      <c r="A2062" s="1">
        <v>40648</v>
      </c>
      <c r="B2062">
        <v>607691.36</v>
      </c>
    </row>
    <row r="2063" spans="1:2" x14ac:dyDescent="0.25">
      <c r="A2063" s="1">
        <v>40655</v>
      </c>
      <c r="B2063">
        <v>655318.26</v>
      </c>
    </row>
    <row r="2064" spans="1:2" x14ac:dyDescent="0.25">
      <c r="A2064" s="1">
        <v>40662</v>
      </c>
      <c r="B2064">
        <v>560764.41</v>
      </c>
    </row>
    <row r="2065" spans="1:2" x14ac:dyDescent="0.25">
      <c r="A2065" s="1">
        <v>40669</v>
      </c>
      <c r="B2065">
        <v>630522.67000000004</v>
      </c>
    </row>
    <row r="2066" spans="1:2" x14ac:dyDescent="0.25">
      <c r="A2066" s="1">
        <v>40676</v>
      </c>
      <c r="B2066">
        <v>630482.91</v>
      </c>
    </row>
    <row r="2067" spans="1:2" x14ac:dyDescent="0.25">
      <c r="A2067" s="1">
        <v>40683</v>
      </c>
      <c r="B2067">
        <v>593941.9</v>
      </c>
    </row>
    <row r="2068" spans="1:2" x14ac:dyDescent="0.25">
      <c r="A2068" s="1">
        <v>40690</v>
      </c>
      <c r="B2068">
        <v>636193.24</v>
      </c>
    </row>
    <row r="2069" spans="1:2" x14ac:dyDescent="0.25">
      <c r="A2069" s="1">
        <v>40697</v>
      </c>
      <c r="B2069">
        <v>695396.19</v>
      </c>
    </row>
    <row r="2070" spans="1:2" x14ac:dyDescent="0.25">
      <c r="A2070" s="1">
        <v>40704</v>
      </c>
      <c r="B2070">
        <v>642679.81000000006</v>
      </c>
    </row>
    <row r="2071" spans="1:2" x14ac:dyDescent="0.25">
      <c r="A2071" s="1">
        <v>40711</v>
      </c>
      <c r="B2071">
        <v>639928.85</v>
      </c>
    </row>
    <row r="2072" spans="1:2" x14ac:dyDescent="0.25">
      <c r="A2072" s="1">
        <v>40718</v>
      </c>
      <c r="B2072">
        <v>656594.94999999995</v>
      </c>
    </row>
    <row r="2073" spans="1:2" x14ac:dyDescent="0.25">
      <c r="A2073" s="1">
        <v>40725</v>
      </c>
      <c r="B2073">
        <v>674669.16</v>
      </c>
    </row>
    <row r="2074" spans="1:2" x14ac:dyDescent="0.25">
      <c r="A2074" s="1">
        <v>40732</v>
      </c>
      <c r="B2074">
        <v>635118.48</v>
      </c>
    </row>
    <row r="2075" spans="1:2" x14ac:dyDescent="0.25">
      <c r="A2075" s="1">
        <v>40739</v>
      </c>
      <c r="B2075">
        <v>624114.56000000006</v>
      </c>
    </row>
    <row r="2076" spans="1:2" x14ac:dyDescent="0.25">
      <c r="A2076" s="1">
        <v>40746</v>
      </c>
      <c r="B2076">
        <v>607475.43999999994</v>
      </c>
    </row>
    <row r="2077" spans="1:2" x14ac:dyDescent="0.25">
      <c r="A2077" s="1">
        <v>40753</v>
      </c>
      <c r="B2077">
        <v>577511.02</v>
      </c>
    </row>
    <row r="2078" spans="1:2" x14ac:dyDescent="0.25">
      <c r="A2078" s="1">
        <v>40760</v>
      </c>
      <c r="B2078">
        <v>607961.21</v>
      </c>
    </row>
    <row r="2079" spans="1:2" x14ac:dyDescent="0.25">
      <c r="A2079" s="1">
        <v>40767</v>
      </c>
      <c r="B2079">
        <v>590836.37</v>
      </c>
    </row>
    <row r="2080" spans="1:2" x14ac:dyDescent="0.25">
      <c r="A2080" s="1">
        <v>40774</v>
      </c>
      <c r="B2080">
        <v>599488.98</v>
      </c>
    </row>
    <row r="2081" spans="1:2" x14ac:dyDescent="0.25">
      <c r="A2081" s="1">
        <v>40781</v>
      </c>
      <c r="B2081">
        <v>605413.17000000004</v>
      </c>
    </row>
    <row r="2082" spans="1:2" x14ac:dyDescent="0.25">
      <c r="A2082" s="1">
        <v>40788</v>
      </c>
      <c r="B2082">
        <v>649159.68000000005</v>
      </c>
    </row>
    <row r="2083" spans="1:2" x14ac:dyDescent="0.25">
      <c r="A2083" s="1">
        <v>40795</v>
      </c>
      <c r="B2083">
        <v>607593.51</v>
      </c>
    </row>
    <row r="2084" spans="1:2" x14ac:dyDescent="0.25">
      <c r="A2084" s="1">
        <v>40802</v>
      </c>
      <c r="B2084">
        <v>545052.34</v>
      </c>
    </row>
    <row r="2085" spans="1:2" x14ac:dyDescent="0.25">
      <c r="A2085" s="1">
        <v>40809</v>
      </c>
      <c r="B2085">
        <v>545570.86</v>
      </c>
    </row>
    <row r="2086" spans="1:2" x14ac:dyDescent="0.25">
      <c r="A2086" s="1">
        <v>40816</v>
      </c>
      <c r="B2086">
        <v>521297.31</v>
      </c>
    </row>
    <row r="2087" spans="1:2" x14ac:dyDescent="0.25">
      <c r="A2087" s="1">
        <v>40823</v>
      </c>
      <c r="B2087">
        <v>579068.88</v>
      </c>
    </row>
    <row r="2088" spans="1:2" x14ac:dyDescent="0.25">
      <c r="A2088" s="1">
        <v>40830</v>
      </c>
      <c r="B2088">
        <v>537300.93999999994</v>
      </c>
    </row>
    <row r="2089" spans="1:2" x14ac:dyDescent="0.25">
      <c r="A2089" s="1">
        <v>40837</v>
      </c>
      <c r="B2089">
        <v>603318.89</v>
      </c>
    </row>
    <row r="2090" spans="1:2" x14ac:dyDescent="0.25">
      <c r="A2090" s="1">
        <v>40844</v>
      </c>
      <c r="B2090">
        <v>589842.68999999994</v>
      </c>
    </row>
    <row r="2091" spans="1:2" x14ac:dyDescent="0.25">
      <c r="A2091" s="1">
        <v>40851</v>
      </c>
      <c r="B2091">
        <v>615121.78</v>
      </c>
    </row>
    <row r="2092" spans="1:2" x14ac:dyDescent="0.25">
      <c r="A2092" s="1">
        <v>40858</v>
      </c>
      <c r="B2092">
        <v>618949.81999999995</v>
      </c>
    </row>
    <row r="2093" spans="1:2" x14ac:dyDescent="0.25">
      <c r="A2093" s="1">
        <v>40865</v>
      </c>
      <c r="B2093">
        <v>597856.51</v>
      </c>
    </row>
    <row r="2094" spans="1:2" x14ac:dyDescent="0.25">
      <c r="A2094" s="1">
        <v>40872</v>
      </c>
      <c r="B2094">
        <v>1066478.1000000001</v>
      </c>
    </row>
    <row r="2095" spans="1:2" x14ac:dyDescent="0.25">
      <c r="A2095" s="1">
        <v>40879</v>
      </c>
      <c r="B2095">
        <v>699028.66</v>
      </c>
    </row>
    <row r="2096" spans="1:2" x14ac:dyDescent="0.25">
      <c r="A2096" s="1">
        <v>40886</v>
      </c>
      <c r="B2096">
        <v>764565.55</v>
      </c>
    </row>
    <row r="2097" spans="1:2" x14ac:dyDescent="0.25">
      <c r="A2097" s="1">
        <v>40893</v>
      </c>
      <c r="B2097">
        <v>870415.49</v>
      </c>
    </row>
    <row r="2098" spans="1:2" x14ac:dyDescent="0.25">
      <c r="A2098" s="1">
        <v>40900</v>
      </c>
      <c r="B2098">
        <v>1182691.8700000001</v>
      </c>
    </row>
    <row r="2099" spans="1:2" x14ac:dyDescent="0.25">
      <c r="A2099" s="1">
        <v>40907</v>
      </c>
      <c r="B2099">
        <v>603460.79</v>
      </c>
    </row>
    <row r="2100" spans="1:2" x14ac:dyDescent="0.25">
      <c r="A2100" s="1">
        <v>40914</v>
      </c>
      <c r="B2100">
        <v>516087.65</v>
      </c>
    </row>
    <row r="2101" spans="1:2" x14ac:dyDescent="0.25">
      <c r="A2101" s="1">
        <v>40921</v>
      </c>
      <c r="B2101">
        <v>454183.42</v>
      </c>
    </row>
    <row r="2102" spans="1:2" x14ac:dyDescent="0.25">
      <c r="A2102" s="1">
        <v>40928</v>
      </c>
      <c r="B2102">
        <v>492721.85</v>
      </c>
    </row>
    <row r="2103" spans="1:2" x14ac:dyDescent="0.25">
      <c r="A2103" s="1">
        <v>40935</v>
      </c>
      <c r="B2103">
        <v>466045.63</v>
      </c>
    </row>
    <row r="2104" spans="1:2" x14ac:dyDescent="0.25">
      <c r="A2104" s="1">
        <v>40942</v>
      </c>
      <c r="B2104">
        <v>523831.64</v>
      </c>
    </row>
    <row r="2105" spans="1:2" x14ac:dyDescent="0.25">
      <c r="A2105" s="1">
        <v>40949</v>
      </c>
      <c r="B2105">
        <v>628218.22</v>
      </c>
    </row>
    <row r="2106" spans="1:2" x14ac:dyDescent="0.25">
      <c r="A2106" s="1">
        <v>40956</v>
      </c>
      <c r="B2106">
        <v>598502.82999999996</v>
      </c>
    </row>
    <row r="2107" spans="1:2" x14ac:dyDescent="0.25">
      <c r="A2107" s="1">
        <v>40963</v>
      </c>
      <c r="B2107">
        <v>561137.06000000006</v>
      </c>
    </row>
    <row r="2108" spans="1:2" x14ac:dyDescent="0.25">
      <c r="A2108" s="1">
        <v>40970</v>
      </c>
      <c r="B2108">
        <v>541292.64</v>
      </c>
    </row>
    <row r="2109" spans="1:2" x14ac:dyDescent="0.25">
      <c r="A2109" s="1">
        <v>40977</v>
      </c>
      <c r="B2109">
        <v>545120.67000000004</v>
      </c>
    </row>
    <row r="2110" spans="1:2" x14ac:dyDescent="0.25">
      <c r="A2110" s="1">
        <v>40984</v>
      </c>
      <c r="B2110">
        <v>570611.23</v>
      </c>
    </row>
    <row r="2111" spans="1:2" x14ac:dyDescent="0.25">
      <c r="A2111" s="1">
        <v>40991</v>
      </c>
      <c r="B2111">
        <v>565481.88</v>
      </c>
    </row>
    <row r="2112" spans="1:2" x14ac:dyDescent="0.25">
      <c r="A2112" s="1">
        <v>40998</v>
      </c>
      <c r="B2112">
        <v>557547.25</v>
      </c>
    </row>
    <row r="2113" spans="1:2" x14ac:dyDescent="0.25">
      <c r="A2113" s="1">
        <v>41005</v>
      </c>
      <c r="B2113">
        <v>659950.36</v>
      </c>
    </row>
    <row r="2114" spans="1:2" x14ac:dyDescent="0.25">
      <c r="A2114" s="1">
        <v>41012</v>
      </c>
      <c r="B2114">
        <v>558585.13</v>
      </c>
    </row>
    <row r="2115" spans="1:2" x14ac:dyDescent="0.25">
      <c r="A2115" s="1">
        <v>41019</v>
      </c>
      <c r="B2115">
        <v>534780.56999999995</v>
      </c>
    </row>
    <row r="2116" spans="1:2" x14ac:dyDescent="0.25">
      <c r="A2116" s="1">
        <v>41026</v>
      </c>
      <c r="B2116">
        <v>527402.62</v>
      </c>
    </row>
    <row r="2117" spans="1:2" x14ac:dyDescent="0.25">
      <c r="A2117" s="1">
        <v>41033</v>
      </c>
      <c r="B2117">
        <v>577868.38</v>
      </c>
    </row>
    <row r="2118" spans="1:2" x14ac:dyDescent="0.25">
      <c r="A2118" s="1">
        <v>41040</v>
      </c>
      <c r="B2118">
        <v>579539.94999999995</v>
      </c>
    </row>
    <row r="2119" spans="1:2" x14ac:dyDescent="0.25">
      <c r="A2119" s="1">
        <v>41047</v>
      </c>
      <c r="B2119">
        <v>600050.98</v>
      </c>
    </row>
    <row r="2120" spans="1:2" x14ac:dyDescent="0.25">
      <c r="A2120" s="1">
        <v>41054</v>
      </c>
      <c r="B2120">
        <v>693780.42</v>
      </c>
    </row>
    <row r="2121" spans="1:2" x14ac:dyDescent="0.25">
      <c r="A2121" s="1">
        <v>41061</v>
      </c>
      <c r="B2121">
        <v>663971.26</v>
      </c>
    </row>
    <row r="2122" spans="1:2" x14ac:dyDescent="0.25">
      <c r="A2122" s="1">
        <v>41068</v>
      </c>
      <c r="B2122">
        <v>611390.67000000004</v>
      </c>
    </row>
    <row r="2123" spans="1:2" x14ac:dyDescent="0.25">
      <c r="A2123" s="1">
        <v>41075</v>
      </c>
      <c r="B2123">
        <v>636737.65</v>
      </c>
    </row>
    <row r="2124" spans="1:2" x14ac:dyDescent="0.25">
      <c r="A2124" s="1">
        <v>41082</v>
      </c>
      <c r="B2124">
        <v>687085.6</v>
      </c>
    </row>
    <row r="2125" spans="1:2" x14ac:dyDescent="0.25">
      <c r="A2125" s="1">
        <v>41089</v>
      </c>
      <c r="B2125">
        <v>624099.48</v>
      </c>
    </row>
    <row r="2126" spans="1:2" x14ac:dyDescent="0.25">
      <c r="A2126" s="1">
        <v>41096</v>
      </c>
      <c r="B2126">
        <v>678024.75</v>
      </c>
    </row>
    <row r="2127" spans="1:2" x14ac:dyDescent="0.25">
      <c r="A2127" s="1">
        <v>41103</v>
      </c>
      <c r="B2127">
        <v>591335.5</v>
      </c>
    </row>
    <row r="2128" spans="1:2" x14ac:dyDescent="0.25">
      <c r="A2128" s="1">
        <v>41110</v>
      </c>
      <c r="B2128">
        <v>592369.22</v>
      </c>
    </row>
    <row r="2129" spans="1:2" x14ac:dyDescent="0.25">
      <c r="A2129" s="1">
        <v>41117</v>
      </c>
      <c r="B2129">
        <v>571190.82999999996</v>
      </c>
    </row>
    <row r="2130" spans="1:2" x14ac:dyDescent="0.25">
      <c r="A2130" s="1">
        <v>41124</v>
      </c>
      <c r="B2130">
        <v>590739.62</v>
      </c>
    </row>
    <row r="2131" spans="1:2" x14ac:dyDescent="0.25">
      <c r="A2131" s="1">
        <v>41131</v>
      </c>
      <c r="B2131">
        <v>590453.63</v>
      </c>
    </row>
    <row r="2132" spans="1:2" x14ac:dyDescent="0.25">
      <c r="A2132" s="1">
        <v>41138</v>
      </c>
      <c r="B2132">
        <v>579738.19999999995</v>
      </c>
    </row>
    <row r="2133" spans="1:2" x14ac:dyDescent="0.25">
      <c r="A2133" s="1">
        <v>41145</v>
      </c>
      <c r="B2133">
        <v>606210.77</v>
      </c>
    </row>
    <row r="2134" spans="1:2" x14ac:dyDescent="0.25">
      <c r="A2134" s="1">
        <v>41152</v>
      </c>
      <c r="B2134">
        <v>610185.31999999995</v>
      </c>
    </row>
    <row r="2135" spans="1:2" x14ac:dyDescent="0.25">
      <c r="A2135" s="1">
        <v>41159</v>
      </c>
      <c r="B2135">
        <v>587259.81999999995</v>
      </c>
    </row>
    <row r="2136" spans="1:2" x14ac:dyDescent="0.25">
      <c r="A2136" s="1">
        <v>41166</v>
      </c>
      <c r="B2136">
        <v>527509.76000000001</v>
      </c>
    </row>
    <row r="2137" spans="1:2" x14ac:dyDescent="0.25">
      <c r="A2137" s="1">
        <v>41173</v>
      </c>
      <c r="B2137">
        <v>533161.64</v>
      </c>
    </row>
    <row r="2138" spans="1:2" x14ac:dyDescent="0.25">
      <c r="A2138" s="1">
        <v>41180</v>
      </c>
      <c r="B2138">
        <v>553901.97</v>
      </c>
    </row>
    <row r="2139" spans="1:2" x14ac:dyDescent="0.25">
      <c r="A2139" s="1">
        <v>41187</v>
      </c>
      <c r="B2139">
        <v>573498.64</v>
      </c>
    </row>
    <row r="2140" spans="1:2" x14ac:dyDescent="0.25">
      <c r="A2140" s="1">
        <v>41194</v>
      </c>
      <c r="B2140">
        <v>551799.63</v>
      </c>
    </row>
    <row r="2141" spans="1:2" x14ac:dyDescent="0.25">
      <c r="A2141" s="1">
        <v>41201</v>
      </c>
      <c r="B2141">
        <v>555652.77</v>
      </c>
    </row>
    <row r="2142" spans="1:2" x14ac:dyDescent="0.25">
      <c r="A2142" s="1">
        <v>41208</v>
      </c>
      <c r="B2142">
        <v>558473.6</v>
      </c>
    </row>
    <row r="2143" spans="1:2" x14ac:dyDescent="0.25">
      <c r="A2143" s="1">
        <v>40214</v>
      </c>
      <c r="B2143">
        <v>477409.3</v>
      </c>
    </row>
    <row r="2144" spans="1:2" x14ac:dyDescent="0.25">
      <c r="A2144" s="1">
        <v>40221</v>
      </c>
      <c r="B2144">
        <v>472044.28</v>
      </c>
    </row>
    <row r="2145" spans="1:2" x14ac:dyDescent="0.25">
      <c r="A2145" s="1">
        <v>40228</v>
      </c>
      <c r="B2145">
        <v>469868.7</v>
      </c>
    </row>
    <row r="2146" spans="1:2" x14ac:dyDescent="0.25">
      <c r="A2146" s="1">
        <v>40235</v>
      </c>
      <c r="B2146">
        <v>443242.17</v>
      </c>
    </row>
    <row r="2147" spans="1:2" x14ac:dyDescent="0.25">
      <c r="A2147" s="1">
        <v>40242</v>
      </c>
      <c r="B2147">
        <v>444181.85</v>
      </c>
    </row>
    <row r="2148" spans="1:2" x14ac:dyDescent="0.25">
      <c r="A2148" s="1">
        <v>40249</v>
      </c>
      <c r="B2148">
        <v>445393.74</v>
      </c>
    </row>
    <row r="2149" spans="1:2" x14ac:dyDescent="0.25">
      <c r="A2149" s="1">
        <v>40256</v>
      </c>
      <c r="B2149">
        <v>504307.35</v>
      </c>
    </row>
    <row r="2150" spans="1:2" x14ac:dyDescent="0.25">
      <c r="A2150" s="1">
        <v>40263</v>
      </c>
      <c r="B2150">
        <v>483177.2</v>
      </c>
    </row>
    <row r="2151" spans="1:2" x14ac:dyDescent="0.25">
      <c r="A2151" s="1">
        <v>40270</v>
      </c>
      <c r="B2151">
        <v>490503.69</v>
      </c>
    </row>
    <row r="2152" spans="1:2" x14ac:dyDescent="0.25">
      <c r="A2152" s="1">
        <v>40277</v>
      </c>
      <c r="B2152">
        <v>424083.99</v>
      </c>
    </row>
    <row r="2153" spans="1:2" x14ac:dyDescent="0.25">
      <c r="A2153" s="1">
        <v>40284</v>
      </c>
      <c r="B2153">
        <v>436312.41</v>
      </c>
    </row>
    <row r="2154" spans="1:2" x14ac:dyDescent="0.25">
      <c r="A2154" s="1">
        <v>40291</v>
      </c>
      <c r="B2154">
        <v>370230.94</v>
      </c>
    </row>
    <row r="2155" spans="1:2" x14ac:dyDescent="0.25">
      <c r="A2155" s="1">
        <v>40298</v>
      </c>
      <c r="B2155">
        <v>383550.93</v>
      </c>
    </row>
    <row r="2156" spans="1:2" x14ac:dyDescent="0.25">
      <c r="A2156" s="1">
        <v>40305</v>
      </c>
      <c r="B2156">
        <v>403217.22</v>
      </c>
    </row>
    <row r="2157" spans="1:2" x14ac:dyDescent="0.25">
      <c r="A2157" s="1">
        <v>40312</v>
      </c>
      <c r="B2157">
        <v>401770.9</v>
      </c>
    </row>
    <row r="2158" spans="1:2" x14ac:dyDescent="0.25">
      <c r="A2158" s="1">
        <v>40319</v>
      </c>
      <c r="B2158">
        <v>435300.51</v>
      </c>
    </row>
    <row r="2159" spans="1:2" x14ac:dyDescent="0.25">
      <c r="A2159" s="1">
        <v>40326</v>
      </c>
      <c r="B2159">
        <v>479430</v>
      </c>
    </row>
    <row r="2160" spans="1:2" x14ac:dyDescent="0.25">
      <c r="A2160" s="1">
        <v>40333</v>
      </c>
      <c r="B2160">
        <v>516295.81</v>
      </c>
    </row>
    <row r="2161" spans="1:2" x14ac:dyDescent="0.25">
      <c r="A2161" s="1">
        <v>40340</v>
      </c>
      <c r="B2161">
        <v>535587.31000000006</v>
      </c>
    </row>
    <row r="2162" spans="1:2" x14ac:dyDescent="0.25">
      <c r="A2162" s="1">
        <v>40347</v>
      </c>
      <c r="B2162">
        <v>540149.85</v>
      </c>
    </row>
    <row r="2163" spans="1:2" x14ac:dyDescent="0.25">
      <c r="A2163" s="1">
        <v>40354</v>
      </c>
      <c r="B2163">
        <v>546554.96</v>
      </c>
    </row>
    <row r="2164" spans="1:2" x14ac:dyDescent="0.25">
      <c r="A2164" s="1">
        <v>40361</v>
      </c>
      <c r="B2164">
        <v>610641.42000000004</v>
      </c>
    </row>
    <row r="2165" spans="1:2" x14ac:dyDescent="0.25">
      <c r="A2165" s="1">
        <v>40368</v>
      </c>
      <c r="B2165">
        <v>614253.32999999996</v>
      </c>
    </row>
    <row r="2166" spans="1:2" x14ac:dyDescent="0.25">
      <c r="A2166" s="1">
        <v>40375</v>
      </c>
      <c r="B2166">
        <v>586583.68999999994</v>
      </c>
    </row>
    <row r="2167" spans="1:2" x14ac:dyDescent="0.25">
      <c r="A2167" s="1">
        <v>40382</v>
      </c>
      <c r="B2167">
        <v>588344.18000000005</v>
      </c>
    </row>
    <row r="2168" spans="1:2" x14ac:dyDescent="0.25">
      <c r="A2168" s="1">
        <v>40389</v>
      </c>
      <c r="B2168">
        <v>562633.67000000004</v>
      </c>
    </row>
    <row r="2169" spans="1:2" x14ac:dyDescent="0.25">
      <c r="A2169" s="1">
        <v>40396</v>
      </c>
      <c r="B2169">
        <v>586936.44999999995</v>
      </c>
    </row>
    <row r="2170" spans="1:2" x14ac:dyDescent="0.25">
      <c r="A2170" s="1">
        <v>40403</v>
      </c>
      <c r="B2170">
        <v>543757.97</v>
      </c>
    </row>
    <row r="2171" spans="1:2" x14ac:dyDescent="0.25">
      <c r="A2171" s="1">
        <v>40410</v>
      </c>
      <c r="B2171">
        <v>521516.96</v>
      </c>
    </row>
    <row r="2172" spans="1:2" x14ac:dyDescent="0.25">
      <c r="A2172" s="1">
        <v>40417</v>
      </c>
      <c r="B2172">
        <v>581010.52</v>
      </c>
    </row>
    <row r="2173" spans="1:2" x14ac:dyDescent="0.25">
      <c r="A2173" s="1">
        <v>40424</v>
      </c>
      <c r="B2173">
        <v>542087.89</v>
      </c>
    </row>
    <row r="2174" spans="1:2" x14ac:dyDescent="0.25">
      <c r="A2174" s="1">
        <v>40431</v>
      </c>
      <c r="B2174">
        <v>537518.56999999995</v>
      </c>
    </row>
    <row r="2175" spans="1:2" x14ac:dyDescent="0.25">
      <c r="A2175" s="1">
        <v>40438</v>
      </c>
      <c r="B2175">
        <v>522049.52</v>
      </c>
    </row>
    <row r="2176" spans="1:2" x14ac:dyDescent="0.25">
      <c r="A2176" s="1">
        <v>40445</v>
      </c>
      <c r="B2176">
        <v>511330.32</v>
      </c>
    </row>
    <row r="2177" spans="1:2" x14ac:dyDescent="0.25">
      <c r="A2177" s="1">
        <v>40452</v>
      </c>
      <c r="B2177">
        <v>463977.54</v>
      </c>
    </row>
    <row r="2178" spans="1:2" x14ac:dyDescent="0.25">
      <c r="A2178" s="1">
        <v>40459</v>
      </c>
      <c r="B2178">
        <v>442894.2</v>
      </c>
    </row>
    <row r="2179" spans="1:2" x14ac:dyDescent="0.25">
      <c r="A2179" s="1">
        <v>40466</v>
      </c>
      <c r="B2179">
        <v>452169.28</v>
      </c>
    </row>
    <row r="2180" spans="1:2" x14ac:dyDescent="0.25">
      <c r="A2180" s="1">
        <v>40473</v>
      </c>
      <c r="B2180">
        <v>541216.92000000004</v>
      </c>
    </row>
    <row r="2181" spans="1:2" x14ac:dyDescent="0.25">
      <c r="A2181" s="1">
        <v>40480</v>
      </c>
      <c r="B2181">
        <v>495022.51</v>
      </c>
    </row>
    <row r="2182" spans="1:2" x14ac:dyDescent="0.25">
      <c r="A2182" s="1">
        <v>40487</v>
      </c>
      <c r="B2182">
        <v>446905.02</v>
      </c>
    </row>
    <row r="2183" spans="1:2" x14ac:dyDescent="0.25">
      <c r="A2183" s="1">
        <v>40494</v>
      </c>
      <c r="B2183">
        <v>453632.76</v>
      </c>
    </row>
    <row r="2184" spans="1:2" x14ac:dyDescent="0.25">
      <c r="A2184" s="1">
        <v>40501</v>
      </c>
      <c r="B2184">
        <v>458634.68</v>
      </c>
    </row>
    <row r="2185" spans="1:2" x14ac:dyDescent="0.25">
      <c r="A2185" s="1">
        <v>40508</v>
      </c>
      <c r="B2185">
        <v>651837.77</v>
      </c>
    </row>
    <row r="2186" spans="1:2" x14ac:dyDescent="0.25">
      <c r="A2186" s="1">
        <v>40515</v>
      </c>
      <c r="B2186">
        <v>512260.59</v>
      </c>
    </row>
    <row r="2187" spans="1:2" x14ac:dyDescent="0.25">
      <c r="A2187" s="1">
        <v>40522</v>
      </c>
      <c r="B2187">
        <v>570103.64</v>
      </c>
    </row>
    <row r="2188" spans="1:2" x14ac:dyDescent="0.25">
      <c r="A2188" s="1">
        <v>40529</v>
      </c>
      <c r="B2188">
        <v>648652.01</v>
      </c>
    </row>
    <row r="2189" spans="1:2" x14ac:dyDescent="0.25">
      <c r="A2189" s="1">
        <v>40536</v>
      </c>
      <c r="B2189">
        <v>1004730.69</v>
      </c>
    </row>
    <row r="2190" spans="1:2" x14ac:dyDescent="0.25">
      <c r="A2190" s="1">
        <v>40543</v>
      </c>
      <c r="B2190">
        <v>575317.38</v>
      </c>
    </row>
    <row r="2191" spans="1:2" x14ac:dyDescent="0.25">
      <c r="A2191" s="1">
        <v>40550</v>
      </c>
      <c r="B2191">
        <v>573545.96</v>
      </c>
    </row>
    <row r="2192" spans="1:2" x14ac:dyDescent="0.25">
      <c r="A2192" s="1">
        <v>40557</v>
      </c>
      <c r="B2192">
        <v>470365.59</v>
      </c>
    </row>
    <row r="2193" spans="1:2" x14ac:dyDescent="0.25">
      <c r="A2193" s="1">
        <v>40564</v>
      </c>
      <c r="B2193">
        <v>462888.13</v>
      </c>
    </row>
    <row r="2194" spans="1:2" x14ac:dyDescent="0.25">
      <c r="A2194" s="1">
        <v>40571</v>
      </c>
      <c r="B2194">
        <v>448391.99</v>
      </c>
    </row>
    <row r="2195" spans="1:2" x14ac:dyDescent="0.25">
      <c r="A2195" s="1">
        <v>40578</v>
      </c>
      <c r="B2195">
        <v>479263.15</v>
      </c>
    </row>
    <row r="2196" spans="1:2" x14ac:dyDescent="0.25">
      <c r="A2196" s="1">
        <v>40585</v>
      </c>
      <c r="B2196">
        <v>466806.89</v>
      </c>
    </row>
    <row r="2197" spans="1:2" x14ac:dyDescent="0.25">
      <c r="A2197" s="1">
        <v>40592</v>
      </c>
      <c r="B2197">
        <v>491179.79</v>
      </c>
    </row>
    <row r="2198" spans="1:2" x14ac:dyDescent="0.25">
      <c r="A2198" s="1">
        <v>40599</v>
      </c>
      <c r="B2198">
        <v>475201.64</v>
      </c>
    </row>
    <row r="2199" spans="1:2" x14ac:dyDescent="0.25">
      <c r="A2199" s="1">
        <v>40606</v>
      </c>
      <c r="B2199">
        <v>484829.07</v>
      </c>
    </row>
    <row r="2200" spans="1:2" x14ac:dyDescent="0.25">
      <c r="A2200" s="1">
        <v>40613</v>
      </c>
      <c r="B2200">
        <v>457504.35</v>
      </c>
    </row>
    <row r="2201" spans="1:2" x14ac:dyDescent="0.25">
      <c r="A2201" s="1">
        <v>40620</v>
      </c>
      <c r="B2201">
        <v>497373.49</v>
      </c>
    </row>
    <row r="2202" spans="1:2" x14ac:dyDescent="0.25">
      <c r="A2202" s="1">
        <v>40627</v>
      </c>
      <c r="B2202">
        <v>465279.68</v>
      </c>
    </row>
    <row r="2203" spans="1:2" x14ac:dyDescent="0.25">
      <c r="A2203" s="1">
        <v>40634</v>
      </c>
      <c r="B2203">
        <v>459756.11</v>
      </c>
    </row>
    <row r="2204" spans="1:2" x14ac:dyDescent="0.25">
      <c r="A2204" s="1">
        <v>40641</v>
      </c>
      <c r="B2204">
        <v>439276.5</v>
      </c>
    </row>
    <row r="2205" spans="1:2" x14ac:dyDescent="0.25">
      <c r="A2205" s="1">
        <v>40648</v>
      </c>
      <c r="B2205">
        <v>427855.24</v>
      </c>
    </row>
    <row r="2206" spans="1:2" x14ac:dyDescent="0.25">
      <c r="A2206" s="1">
        <v>40655</v>
      </c>
      <c r="B2206">
        <v>368600</v>
      </c>
    </row>
    <row r="2207" spans="1:2" x14ac:dyDescent="0.25">
      <c r="A2207" s="1">
        <v>40662</v>
      </c>
      <c r="B2207">
        <v>378100.31</v>
      </c>
    </row>
    <row r="2208" spans="1:2" x14ac:dyDescent="0.25">
      <c r="A2208" s="1">
        <v>40669</v>
      </c>
      <c r="B2208">
        <v>423805.22</v>
      </c>
    </row>
    <row r="2209" spans="1:2" x14ac:dyDescent="0.25">
      <c r="A2209" s="1">
        <v>40676</v>
      </c>
      <c r="B2209">
        <v>410406.95</v>
      </c>
    </row>
    <row r="2210" spans="1:2" x14ac:dyDescent="0.25">
      <c r="A2210" s="1">
        <v>40683</v>
      </c>
      <c r="B2210">
        <v>435397.19</v>
      </c>
    </row>
    <row r="2211" spans="1:2" x14ac:dyDescent="0.25">
      <c r="A2211" s="1">
        <v>40690</v>
      </c>
      <c r="B2211">
        <v>444718.68</v>
      </c>
    </row>
    <row r="2212" spans="1:2" x14ac:dyDescent="0.25">
      <c r="A2212" s="1">
        <v>40697</v>
      </c>
      <c r="B2212">
        <v>531080.31000000006</v>
      </c>
    </row>
    <row r="2213" spans="1:2" x14ac:dyDescent="0.25">
      <c r="A2213" s="1">
        <v>40704</v>
      </c>
      <c r="B2213">
        <v>600952.06000000006</v>
      </c>
    </row>
    <row r="2214" spans="1:2" x14ac:dyDescent="0.25">
      <c r="A2214" s="1">
        <v>40711</v>
      </c>
      <c r="B2214">
        <v>581546.23</v>
      </c>
    </row>
    <row r="2215" spans="1:2" x14ac:dyDescent="0.25">
      <c r="A2215" s="1">
        <v>40718</v>
      </c>
      <c r="B2215">
        <v>569105.03</v>
      </c>
    </row>
    <row r="2216" spans="1:2" x14ac:dyDescent="0.25">
      <c r="A2216" s="1">
        <v>40725</v>
      </c>
      <c r="B2216">
        <v>608737.56000000006</v>
      </c>
    </row>
    <row r="2217" spans="1:2" x14ac:dyDescent="0.25">
      <c r="A2217" s="1">
        <v>40732</v>
      </c>
      <c r="B2217">
        <v>634634.66</v>
      </c>
    </row>
    <row r="2218" spans="1:2" x14ac:dyDescent="0.25">
      <c r="A2218" s="1">
        <v>40739</v>
      </c>
      <c r="B2218">
        <v>586841.77</v>
      </c>
    </row>
    <row r="2219" spans="1:2" x14ac:dyDescent="0.25">
      <c r="A2219" s="1">
        <v>40746</v>
      </c>
      <c r="B2219">
        <v>581758.22</v>
      </c>
    </row>
    <row r="2220" spans="1:2" x14ac:dyDescent="0.25">
      <c r="A2220" s="1">
        <v>40753</v>
      </c>
      <c r="B2220">
        <v>582381.94999999995</v>
      </c>
    </row>
    <row r="2221" spans="1:2" x14ac:dyDescent="0.25">
      <c r="A2221" s="1">
        <v>40760</v>
      </c>
      <c r="B2221">
        <v>592981.32999999996</v>
      </c>
    </row>
    <row r="2222" spans="1:2" x14ac:dyDescent="0.25">
      <c r="A2222" s="1">
        <v>40767</v>
      </c>
      <c r="B2222">
        <v>563884.47</v>
      </c>
    </row>
    <row r="2223" spans="1:2" x14ac:dyDescent="0.25">
      <c r="A2223" s="1">
        <v>40774</v>
      </c>
      <c r="B2223">
        <v>554630.42000000004</v>
      </c>
    </row>
    <row r="2224" spans="1:2" x14ac:dyDescent="0.25">
      <c r="A2224" s="1">
        <v>40781</v>
      </c>
      <c r="B2224">
        <v>557312.01</v>
      </c>
    </row>
    <row r="2225" spans="1:2" x14ac:dyDescent="0.25">
      <c r="A2225" s="1">
        <v>40788</v>
      </c>
      <c r="B2225">
        <v>580805.32999999996</v>
      </c>
    </row>
    <row r="2226" spans="1:2" x14ac:dyDescent="0.25">
      <c r="A2226" s="1">
        <v>40795</v>
      </c>
      <c r="B2226">
        <v>574622.56000000006</v>
      </c>
    </row>
    <row r="2227" spans="1:2" x14ac:dyDescent="0.25">
      <c r="A2227" s="1">
        <v>40802</v>
      </c>
      <c r="B2227">
        <v>539081.09</v>
      </c>
    </row>
    <row r="2228" spans="1:2" x14ac:dyDescent="0.25">
      <c r="A2228" s="1">
        <v>40809</v>
      </c>
      <c r="B2228">
        <v>504856.97</v>
      </c>
    </row>
    <row r="2229" spans="1:2" x14ac:dyDescent="0.25">
      <c r="A2229" s="1">
        <v>40816</v>
      </c>
      <c r="B2229">
        <v>450075.31</v>
      </c>
    </row>
    <row r="2230" spans="1:2" x14ac:dyDescent="0.25">
      <c r="A2230" s="1">
        <v>40823</v>
      </c>
      <c r="B2230">
        <v>482926.93</v>
      </c>
    </row>
    <row r="2231" spans="1:2" x14ac:dyDescent="0.25">
      <c r="A2231" s="1">
        <v>40830</v>
      </c>
      <c r="B2231">
        <v>498241.06</v>
      </c>
    </row>
    <row r="2232" spans="1:2" x14ac:dyDescent="0.25">
      <c r="A2232" s="1">
        <v>40837</v>
      </c>
      <c r="B2232">
        <v>560104.16</v>
      </c>
    </row>
    <row r="2233" spans="1:2" x14ac:dyDescent="0.25">
      <c r="A2233" s="1">
        <v>40844</v>
      </c>
      <c r="B2233">
        <v>505918.21</v>
      </c>
    </row>
    <row r="2234" spans="1:2" x14ac:dyDescent="0.25">
      <c r="A2234" s="1">
        <v>40851</v>
      </c>
      <c r="B2234">
        <v>511059.95</v>
      </c>
    </row>
    <row r="2235" spans="1:2" x14ac:dyDescent="0.25">
      <c r="A2235" s="1">
        <v>40858</v>
      </c>
      <c r="B2235">
        <v>513181.31</v>
      </c>
    </row>
    <row r="2236" spans="1:2" x14ac:dyDescent="0.25">
      <c r="A2236" s="1">
        <v>40865</v>
      </c>
      <c r="B2236">
        <v>480353.64</v>
      </c>
    </row>
    <row r="2237" spans="1:2" x14ac:dyDescent="0.25">
      <c r="A2237" s="1">
        <v>40872</v>
      </c>
      <c r="B2237">
        <v>712422.40000000002</v>
      </c>
    </row>
    <row r="2238" spans="1:2" x14ac:dyDescent="0.25">
      <c r="A2238" s="1">
        <v>40879</v>
      </c>
      <c r="B2238">
        <v>530492.84</v>
      </c>
    </row>
    <row r="2239" spans="1:2" x14ac:dyDescent="0.25">
      <c r="A2239" s="1">
        <v>40886</v>
      </c>
      <c r="B2239">
        <v>574798.86</v>
      </c>
    </row>
    <row r="2240" spans="1:2" x14ac:dyDescent="0.25">
      <c r="A2240" s="1">
        <v>40893</v>
      </c>
      <c r="B2240">
        <v>679481.9</v>
      </c>
    </row>
    <row r="2241" spans="1:2" x14ac:dyDescent="0.25">
      <c r="A2241" s="1">
        <v>40900</v>
      </c>
      <c r="B2241">
        <v>950691.96</v>
      </c>
    </row>
    <row r="2242" spans="1:2" x14ac:dyDescent="0.25">
      <c r="A2242" s="1">
        <v>40907</v>
      </c>
      <c r="B2242">
        <v>665861.06000000006</v>
      </c>
    </row>
    <row r="2243" spans="1:2" x14ac:dyDescent="0.25">
      <c r="A2243" s="1">
        <v>40914</v>
      </c>
      <c r="B2243">
        <v>564538.06999999995</v>
      </c>
    </row>
    <row r="2244" spans="1:2" x14ac:dyDescent="0.25">
      <c r="A2244" s="1">
        <v>40921</v>
      </c>
      <c r="B2244">
        <v>508520.09</v>
      </c>
    </row>
    <row r="2245" spans="1:2" x14ac:dyDescent="0.25">
      <c r="A2245" s="1">
        <v>40928</v>
      </c>
      <c r="B2245">
        <v>474389.75</v>
      </c>
    </row>
    <row r="2246" spans="1:2" x14ac:dyDescent="0.25">
      <c r="A2246" s="1">
        <v>40935</v>
      </c>
      <c r="B2246">
        <v>453979.19</v>
      </c>
    </row>
    <row r="2247" spans="1:2" x14ac:dyDescent="0.25">
      <c r="A2247" s="1">
        <v>40942</v>
      </c>
      <c r="B2247">
        <v>475905.1</v>
      </c>
    </row>
    <row r="2248" spans="1:2" x14ac:dyDescent="0.25">
      <c r="A2248" s="1">
        <v>40949</v>
      </c>
      <c r="B2248">
        <v>473766.97</v>
      </c>
    </row>
    <row r="2249" spans="1:2" x14ac:dyDescent="0.25">
      <c r="A2249" s="1">
        <v>40956</v>
      </c>
      <c r="B2249">
        <v>494069.49</v>
      </c>
    </row>
    <row r="2250" spans="1:2" x14ac:dyDescent="0.25">
      <c r="A2250" s="1">
        <v>40963</v>
      </c>
      <c r="B2250">
        <v>495720.3</v>
      </c>
    </row>
    <row r="2251" spans="1:2" x14ac:dyDescent="0.25">
      <c r="A2251" s="1">
        <v>40970</v>
      </c>
      <c r="B2251">
        <v>464189.09</v>
      </c>
    </row>
    <row r="2252" spans="1:2" x14ac:dyDescent="0.25">
      <c r="A2252" s="1">
        <v>40977</v>
      </c>
      <c r="B2252">
        <v>495951.66</v>
      </c>
    </row>
    <row r="2253" spans="1:2" x14ac:dyDescent="0.25">
      <c r="A2253" s="1">
        <v>40984</v>
      </c>
      <c r="B2253">
        <v>520850.71</v>
      </c>
    </row>
    <row r="2254" spans="1:2" x14ac:dyDescent="0.25">
      <c r="A2254" s="1">
        <v>40991</v>
      </c>
      <c r="B2254">
        <v>493503.89</v>
      </c>
    </row>
    <row r="2255" spans="1:2" x14ac:dyDescent="0.25">
      <c r="A2255" s="1">
        <v>40998</v>
      </c>
      <c r="B2255">
        <v>485095.41</v>
      </c>
    </row>
    <row r="2256" spans="1:2" x14ac:dyDescent="0.25">
      <c r="A2256" s="1">
        <v>41005</v>
      </c>
      <c r="B2256">
        <v>502662.07</v>
      </c>
    </row>
    <row r="2257" spans="1:2" x14ac:dyDescent="0.25">
      <c r="A2257" s="1">
        <v>41012</v>
      </c>
      <c r="B2257">
        <v>450756.71</v>
      </c>
    </row>
    <row r="2258" spans="1:2" x14ac:dyDescent="0.25">
      <c r="A2258" s="1">
        <v>41019</v>
      </c>
      <c r="B2258">
        <v>436221.26</v>
      </c>
    </row>
    <row r="2259" spans="1:2" x14ac:dyDescent="0.25">
      <c r="A2259" s="1">
        <v>41026</v>
      </c>
      <c r="B2259">
        <v>398445.15</v>
      </c>
    </row>
    <row r="2260" spans="1:2" x14ac:dyDescent="0.25">
      <c r="A2260" s="1">
        <v>41033</v>
      </c>
      <c r="B2260">
        <v>426959.62</v>
      </c>
    </row>
    <row r="2261" spans="1:2" x14ac:dyDescent="0.25">
      <c r="A2261" s="1">
        <v>41040</v>
      </c>
      <c r="B2261">
        <v>479855</v>
      </c>
    </row>
    <row r="2262" spans="1:2" x14ac:dyDescent="0.25">
      <c r="A2262" s="1">
        <v>41047</v>
      </c>
      <c r="B2262">
        <v>493506.47</v>
      </c>
    </row>
    <row r="2263" spans="1:2" x14ac:dyDescent="0.25">
      <c r="A2263" s="1">
        <v>41054</v>
      </c>
      <c r="B2263">
        <v>518045.09</v>
      </c>
    </row>
    <row r="2264" spans="1:2" x14ac:dyDescent="0.25">
      <c r="A2264" s="1">
        <v>41061</v>
      </c>
      <c r="B2264">
        <v>532311.93000000005</v>
      </c>
    </row>
    <row r="2265" spans="1:2" x14ac:dyDescent="0.25">
      <c r="A2265" s="1">
        <v>41068</v>
      </c>
      <c r="B2265">
        <v>603618.89</v>
      </c>
    </row>
    <row r="2266" spans="1:2" x14ac:dyDescent="0.25">
      <c r="A2266" s="1">
        <v>41075</v>
      </c>
      <c r="B2266">
        <v>570045.79</v>
      </c>
    </row>
    <row r="2267" spans="1:2" x14ac:dyDescent="0.25">
      <c r="A2267" s="1">
        <v>41082</v>
      </c>
      <c r="B2267">
        <v>581745.72</v>
      </c>
    </row>
    <row r="2268" spans="1:2" x14ac:dyDescent="0.25">
      <c r="A2268" s="1">
        <v>41089</v>
      </c>
      <c r="B2268">
        <v>570162.28</v>
      </c>
    </row>
    <row r="2269" spans="1:2" x14ac:dyDescent="0.25">
      <c r="A2269" s="1">
        <v>41096</v>
      </c>
      <c r="B2269">
        <v>641763.53</v>
      </c>
    </row>
    <row r="2270" spans="1:2" x14ac:dyDescent="0.25">
      <c r="A2270" s="1">
        <v>41103</v>
      </c>
      <c r="B2270">
        <v>569005.06000000006</v>
      </c>
    </row>
    <row r="2271" spans="1:2" x14ac:dyDescent="0.25">
      <c r="A2271" s="1">
        <v>41110</v>
      </c>
      <c r="B2271">
        <v>565297.54</v>
      </c>
    </row>
    <row r="2272" spans="1:2" x14ac:dyDescent="0.25">
      <c r="A2272" s="1">
        <v>41117</v>
      </c>
      <c r="B2272">
        <v>539337.87</v>
      </c>
    </row>
    <row r="2273" spans="1:2" x14ac:dyDescent="0.25">
      <c r="A2273" s="1">
        <v>41124</v>
      </c>
      <c r="B2273">
        <v>584000.71</v>
      </c>
    </row>
    <row r="2274" spans="1:2" x14ac:dyDescent="0.25">
      <c r="A2274" s="1">
        <v>41131</v>
      </c>
      <c r="B2274">
        <v>554036.84</v>
      </c>
    </row>
    <row r="2275" spans="1:2" x14ac:dyDescent="0.25">
      <c r="A2275" s="1">
        <v>41138</v>
      </c>
      <c r="B2275">
        <v>521896.6</v>
      </c>
    </row>
    <row r="2276" spans="1:2" x14ac:dyDescent="0.25">
      <c r="A2276" s="1">
        <v>41145</v>
      </c>
      <c r="B2276">
        <v>551152.15</v>
      </c>
    </row>
    <row r="2277" spans="1:2" x14ac:dyDescent="0.25">
      <c r="A2277" s="1">
        <v>41152</v>
      </c>
      <c r="B2277">
        <v>551837.31000000006</v>
      </c>
    </row>
    <row r="2278" spans="1:2" x14ac:dyDescent="0.25">
      <c r="A2278" s="1">
        <v>41159</v>
      </c>
      <c r="B2278">
        <v>537138.57999999996</v>
      </c>
    </row>
    <row r="2279" spans="1:2" x14ac:dyDescent="0.25">
      <c r="A2279" s="1">
        <v>41166</v>
      </c>
      <c r="B2279">
        <v>526525.16</v>
      </c>
    </row>
    <row r="2280" spans="1:2" x14ac:dyDescent="0.25">
      <c r="A2280" s="1">
        <v>41173</v>
      </c>
      <c r="B2280">
        <v>509942.56</v>
      </c>
    </row>
    <row r="2281" spans="1:2" x14ac:dyDescent="0.25">
      <c r="A2281" s="1">
        <v>41180</v>
      </c>
      <c r="B2281">
        <v>469607.73</v>
      </c>
    </row>
    <row r="2282" spans="1:2" x14ac:dyDescent="0.25">
      <c r="A2282" s="1">
        <v>41187</v>
      </c>
      <c r="B2282">
        <v>471281.68</v>
      </c>
    </row>
    <row r="2283" spans="1:2" x14ac:dyDescent="0.25">
      <c r="A2283" s="1">
        <v>41194</v>
      </c>
      <c r="B2283">
        <v>491817.19</v>
      </c>
    </row>
    <row r="2284" spans="1:2" x14ac:dyDescent="0.25">
      <c r="A2284" s="1">
        <v>41201</v>
      </c>
      <c r="B2284">
        <v>577198.97</v>
      </c>
    </row>
    <row r="2285" spans="1:2" x14ac:dyDescent="0.25">
      <c r="A2285" s="1">
        <v>41208</v>
      </c>
      <c r="B2285">
        <v>475770.14</v>
      </c>
    </row>
    <row r="2286" spans="1:2" x14ac:dyDescent="0.25">
      <c r="A2286" s="1">
        <v>40214</v>
      </c>
      <c r="B2286">
        <v>789036.02</v>
      </c>
    </row>
    <row r="2287" spans="1:2" x14ac:dyDescent="0.25">
      <c r="A2287" s="1">
        <v>40221</v>
      </c>
      <c r="B2287">
        <v>841951.91</v>
      </c>
    </row>
    <row r="2288" spans="1:2" x14ac:dyDescent="0.25">
      <c r="A2288" s="1">
        <v>40228</v>
      </c>
      <c r="B2288">
        <v>800714</v>
      </c>
    </row>
    <row r="2289" spans="1:2" x14ac:dyDescent="0.25">
      <c r="A2289" s="1">
        <v>40235</v>
      </c>
      <c r="B2289">
        <v>749549.55</v>
      </c>
    </row>
    <row r="2290" spans="1:2" x14ac:dyDescent="0.25">
      <c r="A2290" s="1">
        <v>40242</v>
      </c>
      <c r="B2290">
        <v>783300.05</v>
      </c>
    </row>
    <row r="2291" spans="1:2" x14ac:dyDescent="0.25">
      <c r="A2291" s="1">
        <v>40249</v>
      </c>
      <c r="B2291">
        <v>763961.82</v>
      </c>
    </row>
    <row r="2292" spans="1:2" x14ac:dyDescent="0.25">
      <c r="A2292" s="1">
        <v>40256</v>
      </c>
      <c r="B2292">
        <v>752034.52</v>
      </c>
    </row>
    <row r="2293" spans="1:2" x14ac:dyDescent="0.25">
      <c r="A2293" s="1">
        <v>40263</v>
      </c>
      <c r="B2293">
        <v>793097.64</v>
      </c>
    </row>
    <row r="2294" spans="1:2" x14ac:dyDescent="0.25">
      <c r="A2294" s="1">
        <v>40270</v>
      </c>
      <c r="B2294">
        <v>848521.17</v>
      </c>
    </row>
    <row r="2295" spans="1:2" x14ac:dyDescent="0.25">
      <c r="A2295" s="1">
        <v>40277</v>
      </c>
      <c r="B2295">
        <v>770228.02</v>
      </c>
    </row>
    <row r="2296" spans="1:2" x14ac:dyDescent="0.25">
      <c r="A2296" s="1">
        <v>40284</v>
      </c>
      <c r="B2296">
        <v>757738.76</v>
      </c>
    </row>
    <row r="2297" spans="1:2" x14ac:dyDescent="0.25">
      <c r="A2297" s="1">
        <v>40291</v>
      </c>
      <c r="B2297">
        <v>977790.83</v>
      </c>
    </row>
    <row r="2298" spans="1:2" x14ac:dyDescent="0.25">
      <c r="A2298" s="1">
        <v>40298</v>
      </c>
      <c r="B2298">
        <v>807798.73</v>
      </c>
    </row>
    <row r="2299" spans="1:2" x14ac:dyDescent="0.25">
      <c r="A2299" s="1">
        <v>40305</v>
      </c>
      <c r="B2299">
        <v>843848.65</v>
      </c>
    </row>
    <row r="2300" spans="1:2" x14ac:dyDescent="0.25">
      <c r="A2300" s="1">
        <v>40312</v>
      </c>
      <c r="B2300">
        <v>813756.09</v>
      </c>
    </row>
    <row r="2301" spans="1:2" x14ac:dyDescent="0.25">
      <c r="A2301" s="1">
        <v>40319</v>
      </c>
      <c r="B2301">
        <v>826626.5</v>
      </c>
    </row>
    <row r="2302" spans="1:2" x14ac:dyDescent="0.25">
      <c r="A2302" s="1">
        <v>40326</v>
      </c>
      <c r="B2302">
        <v>872817.62</v>
      </c>
    </row>
    <row r="2303" spans="1:2" x14ac:dyDescent="0.25">
      <c r="A2303" s="1">
        <v>40333</v>
      </c>
      <c r="B2303">
        <v>876902.87</v>
      </c>
    </row>
    <row r="2304" spans="1:2" x14ac:dyDescent="0.25">
      <c r="A2304" s="1">
        <v>40340</v>
      </c>
      <c r="B2304">
        <v>845252.21</v>
      </c>
    </row>
    <row r="2305" spans="1:2" x14ac:dyDescent="0.25">
      <c r="A2305" s="1">
        <v>40347</v>
      </c>
      <c r="B2305">
        <v>877996.27</v>
      </c>
    </row>
    <row r="2306" spans="1:2" x14ac:dyDescent="0.25">
      <c r="A2306" s="1">
        <v>40354</v>
      </c>
      <c r="B2306">
        <v>893995.44</v>
      </c>
    </row>
    <row r="2307" spans="1:2" x14ac:dyDescent="0.25">
      <c r="A2307" s="1">
        <v>40361</v>
      </c>
      <c r="B2307">
        <v>958875.37</v>
      </c>
    </row>
    <row r="2308" spans="1:2" x14ac:dyDescent="0.25">
      <c r="A2308" s="1">
        <v>40368</v>
      </c>
      <c r="B2308">
        <v>836915.92</v>
      </c>
    </row>
    <row r="2309" spans="1:2" x14ac:dyDescent="0.25">
      <c r="A2309" s="1">
        <v>40375</v>
      </c>
      <c r="B2309">
        <v>876591.41</v>
      </c>
    </row>
    <row r="2310" spans="1:2" x14ac:dyDescent="0.25">
      <c r="A2310" s="1">
        <v>40382</v>
      </c>
      <c r="B2310">
        <v>893504.87</v>
      </c>
    </row>
    <row r="2311" spans="1:2" x14ac:dyDescent="0.25">
      <c r="A2311" s="1">
        <v>40389</v>
      </c>
      <c r="B2311">
        <v>833517.19</v>
      </c>
    </row>
    <row r="2312" spans="1:2" x14ac:dyDescent="0.25">
      <c r="A2312" s="1">
        <v>40396</v>
      </c>
      <c r="B2312">
        <v>795301.17</v>
      </c>
    </row>
    <row r="2313" spans="1:2" x14ac:dyDescent="0.25">
      <c r="A2313" s="1">
        <v>40403</v>
      </c>
      <c r="B2313">
        <v>759995.18</v>
      </c>
    </row>
    <row r="2314" spans="1:2" x14ac:dyDescent="0.25">
      <c r="A2314" s="1">
        <v>40410</v>
      </c>
      <c r="B2314">
        <v>783929.7</v>
      </c>
    </row>
    <row r="2315" spans="1:2" x14ac:dyDescent="0.25">
      <c r="A2315" s="1">
        <v>40417</v>
      </c>
      <c r="B2315">
        <v>802583.89</v>
      </c>
    </row>
    <row r="2316" spans="1:2" x14ac:dyDescent="0.25">
      <c r="A2316" s="1">
        <v>40424</v>
      </c>
      <c r="B2316">
        <v>834373.73</v>
      </c>
    </row>
    <row r="2317" spans="1:2" x14ac:dyDescent="0.25">
      <c r="A2317" s="1">
        <v>40431</v>
      </c>
      <c r="B2317">
        <v>1200888.28</v>
      </c>
    </row>
    <row r="2318" spans="1:2" x14ac:dyDescent="0.25">
      <c r="A2318" s="1">
        <v>40438</v>
      </c>
      <c r="B2318">
        <v>871264.25</v>
      </c>
    </row>
    <row r="2319" spans="1:2" x14ac:dyDescent="0.25">
      <c r="A2319" s="1">
        <v>40445</v>
      </c>
      <c r="B2319">
        <v>852876.29</v>
      </c>
    </row>
    <row r="2320" spans="1:2" x14ac:dyDescent="0.25">
      <c r="A2320" s="1">
        <v>40452</v>
      </c>
      <c r="B2320">
        <v>829207.27</v>
      </c>
    </row>
    <row r="2321" spans="1:2" x14ac:dyDescent="0.25">
      <c r="A2321" s="1">
        <v>40459</v>
      </c>
      <c r="B2321">
        <v>827738.06</v>
      </c>
    </row>
    <row r="2322" spans="1:2" x14ac:dyDescent="0.25">
      <c r="A2322" s="1">
        <v>40466</v>
      </c>
      <c r="B2322">
        <v>838297.32</v>
      </c>
    </row>
    <row r="2323" spans="1:2" x14ac:dyDescent="0.25">
      <c r="A2323" s="1">
        <v>40473</v>
      </c>
      <c r="B2323">
        <v>815093.76000000001</v>
      </c>
    </row>
    <row r="2324" spans="1:2" x14ac:dyDescent="0.25">
      <c r="A2324" s="1">
        <v>40480</v>
      </c>
      <c r="B2324">
        <v>861941.25</v>
      </c>
    </row>
    <row r="2325" spans="1:2" x14ac:dyDescent="0.25">
      <c r="A2325" s="1">
        <v>40487</v>
      </c>
      <c r="B2325">
        <v>818434.49</v>
      </c>
    </row>
    <row r="2326" spans="1:2" x14ac:dyDescent="0.25">
      <c r="A2326" s="1">
        <v>40494</v>
      </c>
      <c r="B2326">
        <v>855459.96</v>
      </c>
    </row>
    <row r="2327" spans="1:2" x14ac:dyDescent="0.25">
      <c r="A2327" s="1">
        <v>40501</v>
      </c>
      <c r="B2327">
        <v>782252.57</v>
      </c>
    </row>
    <row r="2328" spans="1:2" x14ac:dyDescent="0.25">
      <c r="A2328" s="1">
        <v>40508</v>
      </c>
      <c r="B2328">
        <v>1005448.76</v>
      </c>
    </row>
    <row r="2329" spans="1:2" x14ac:dyDescent="0.25">
      <c r="A2329" s="1">
        <v>40515</v>
      </c>
      <c r="B2329">
        <v>926573.81</v>
      </c>
    </row>
    <row r="2330" spans="1:2" x14ac:dyDescent="0.25">
      <c r="A2330" s="1">
        <v>40522</v>
      </c>
      <c r="B2330">
        <v>962475.55</v>
      </c>
    </row>
    <row r="2331" spans="1:2" x14ac:dyDescent="0.25">
      <c r="A2331" s="1">
        <v>40529</v>
      </c>
      <c r="B2331">
        <v>1049372.3799999999</v>
      </c>
    </row>
    <row r="2332" spans="1:2" x14ac:dyDescent="0.25">
      <c r="A2332" s="1">
        <v>40536</v>
      </c>
      <c r="B2332">
        <v>1309226.79</v>
      </c>
    </row>
    <row r="2333" spans="1:2" x14ac:dyDescent="0.25">
      <c r="A2333" s="1">
        <v>40543</v>
      </c>
      <c r="B2333">
        <v>635862.55000000005</v>
      </c>
    </row>
    <row r="2334" spans="1:2" x14ac:dyDescent="0.25">
      <c r="A2334" s="1">
        <v>40550</v>
      </c>
      <c r="B2334">
        <v>1083071.1399999999</v>
      </c>
    </row>
    <row r="2335" spans="1:2" x14ac:dyDescent="0.25">
      <c r="A2335" s="1">
        <v>40557</v>
      </c>
      <c r="B2335">
        <v>758510.36</v>
      </c>
    </row>
    <row r="2336" spans="1:2" x14ac:dyDescent="0.25">
      <c r="A2336" s="1">
        <v>40564</v>
      </c>
      <c r="B2336">
        <v>755804.37</v>
      </c>
    </row>
    <row r="2337" spans="1:2" x14ac:dyDescent="0.25">
      <c r="A2337" s="1">
        <v>40571</v>
      </c>
      <c r="B2337">
        <v>736335.69</v>
      </c>
    </row>
    <row r="2338" spans="1:2" x14ac:dyDescent="0.25">
      <c r="A2338" s="1">
        <v>40578</v>
      </c>
      <c r="B2338">
        <v>816603.05</v>
      </c>
    </row>
    <row r="2339" spans="1:2" x14ac:dyDescent="0.25">
      <c r="A2339" s="1">
        <v>40585</v>
      </c>
      <c r="B2339">
        <v>813211.46</v>
      </c>
    </row>
    <row r="2340" spans="1:2" x14ac:dyDescent="0.25">
      <c r="A2340" s="1">
        <v>40592</v>
      </c>
      <c r="B2340">
        <v>860962.91</v>
      </c>
    </row>
    <row r="2341" spans="1:2" x14ac:dyDescent="0.25">
      <c r="A2341" s="1">
        <v>40599</v>
      </c>
      <c r="B2341">
        <v>767256.53</v>
      </c>
    </row>
    <row r="2342" spans="1:2" x14ac:dyDescent="0.25">
      <c r="A2342" s="1">
        <v>40606</v>
      </c>
      <c r="B2342">
        <v>816138.33</v>
      </c>
    </row>
    <row r="2343" spans="1:2" x14ac:dyDescent="0.25">
      <c r="A2343" s="1">
        <v>40613</v>
      </c>
      <c r="B2343">
        <v>779602.36</v>
      </c>
    </row>
    <row r="2344" spans="1:2" x14ac:dyDescent="0.25">
      <c r="A2344" s="1">
        <v>40620</v>
      </c>
      <c r="B2344">
        <v>778436.81</v>
      </c>
    </row>
    <row r="2345" spans="1:2" x14ac:dyDescent="0.25">
      <c r="A2345" s="1">
        <v>40627</v>
      </c>
      <c r="B2345">
        <v>781267.76</v>
      </c>
    </row>
    <row r="2346" spans="1:2" x14ac:dyDescent="0.25">
      <c r="A2346" s="1">
        <v>40634</v>
      </c>
      <c r="B2346">
        <v>795859.23</v>
      </c>
    </row>
    <row r="2347" spans="1:2" x14ac:dyDescent="0.25">
      <c r="A2347" s="1">
        <v>40641</v>
      </c>
      <c r="B2347">
        <v>811855.72</v>
      </c>
    </row>
    <row r="2348" spans="1:2" x14ac:dyDescent="0.25">
      <c r="A2348" s="1">
        <v>40648</v>
      </c>
      <c r="B2348">
        <v>825283.43</v>
      </c>
    </row>
    <row r="2349" spans="1:2" x14ac:dyDescent="0.25">
      <c r="A2349" s="1">
        <v>40655</v>
      </c>
      <c r="B2349">
        <v>1060770.1100000001</v>
      </c>
    </row>
    <row r="2350" spans="1:2" x14ac:dyDescent="0.25">
      <c r="A2350" s="1">
        <v>40662</v>
      </c>
      <c r="B2350">
        <v>806979.15</v>
      </c>
    </row>
    <row r="2351" spans="1:2" x14ac:dyDescent="0.25">
      <c r="A2351" s="1">
        <v>40669</v>
      </c>
      <c r="B2351">
        <v>882132.28</v>
      </c>
    </row>
    <row r="2352" spans="1:2" x14ac:dyDescent="0.25">
      <c r="A2352" s="1">
        <v>40676</v>
      </c>
      <c r="B2352">
        <v>870625.49</v>
      </c>
    </row>
    <row r="2353" spans="1:2" x14ac:dyDescent="0.25">
      <c r="A2353" s="1">
        <v>40683</v>
      </c>
      <c r="B2353">
        <v>844443.35</v>
      </c>
    </row>
    <row r="2354" spans="1:2" x14ac:dyDescent="0.25">
      <c r="A2354" s="1">
        <v>40690</v>
      </c>
      <c r="B2354">
        <v>892056.64</v>
      </c>
    </row>
    <row r="2355" spans="1:2" x14ac:dyDescent="0.25">
      <c r="A2355" s="1">
        <v>40697</v>
      </c>
      <c r="B2355">
        <v>895020.48</v>
      </c>
    </row>
    <row r="2356" spans="1:2" x14ac:dyDescent="0.25">
      <c r="A2356" s="1">
        <v>40704</v>
      </c>
      <c r="B2356">
        <v>881190.46</v>
      </c>
    </row>
    <row r="2357" spans="1:2" x14ac:dyDescent="0.25">
      <c r="A2357" s="1">
        <v>40711</v>
      </c>
      <c r="B2357">
        <v>894686.67</v>
      </c>
    </row>
    <row r="2358" spans="1:2" x14ac:dyDescent="0.25">
      <c r="A2358" s="1">
        <v>40718</v>
      </c>
      <c r="B2358">
        <v>920719.98</v>
      </c>
    </row>
    <row r="2359" spans="1:2" x14ac:dyDescent="0.25">
      <c r="A2359" s="1">
        <v>40725</v>
      </c>
      <c r="B2359">
        <v>940554.34</v>
      </c>
    </row>
    <row r="2360" spans="1:2" x14ac:dyDescent="0.25">
      <c r="A2360" s="1">
        <v>40732</v>
      </c>
      <c r="B2360">
        <v>915064.22</v>
      </c>
    </row>
    <row r="2361" spans="1:2" x14ac:dyDescent="0.25">
      <c r="A2361" s="1">
        <v>40739</v>
      </c>
      <c r="B2361">
        <v>902727.76</v>
      </c>
    </row>
    <row r="2362" spans="1:2" x14ac:dyDescent="0.25">
      <c r="A2362" s="1">
        <v>40746</v>
      </c>
      <c r="B2362">
        <v>899044.34</v>
      </c>
    </row>
    <row r="2363" spans="1:2" x14ac:dyDescent="0.25">
      <c r="A2363" s="1">
        <v>40753</v>
      </c>
      <c r="B2363">
        <v>861894.77</v>
      </c>
    </row>
    <row r="2364" spans="1:2" x14ac:dyDescent="0.25">
      <c r="A2364" s="1">
        <v>40760</v>
      </c>
      <c r="B2364">
        <v>866184.92</v>
      </c>
    </row>
    <row r="2365" spans="1:2" x14ac:dyDescent="0.25">
      <c r="A2365" s="1">
        <v>40767</v>
      </c>
      <c r="B2365">
        <v>800819.79</v>
      </c>
    </row>
    <row r="2366" spans="1:2" x14ac:dyDescent="0.25">
      <c r="A2366" s="1">
        <v>40774</v>
      </c>
      <c r="B2366">
        <v>797523.04</v>
      </c>
    </row>
    <row r="2367" spans="1:2" x14ac:dyDescent="0.25">
      <c r="A2367" s="1">
        <v>40781</v>
      </c>
      <c r="B2367">
        <v>837390.79</v>
      </c>
    </row>
    <row r="2368" spans="1:2" x14ac:dyDescent="0.25">
      <c r="A2368" s="1">
        <v>40788</v>
      </c>
      <c r="B2368">
        <v>847380.07</v>
      </c>
    </row>
    <row r="2369" spans="1:2" x14ac:dyDescent="0.25">
      <c r="A2369" s="1">
        <v>40795</v>
      </c>
      <c r="B2369">
        <v>1161900.18</v>
      </c>
    </row>
    <row r="2370" spans="1:2" x14ac:dyDescent="0.25">
      <c r="A2370" s="1">
        <v>40802</v>
      </c>
      <c r="B2370">
        <v>1051116.95</v>
      </c>
    </row>
    <row r="2371" spans="1:2" x14ac:dyDescent="0.25">
      <c r="A2371" s="1">
        <v>40809</v>
      </c>
      <c r="B2371">
        <v>895535.31</v>
      </c>
    </row>
    <row r="2372" spans="1:2" x14ac:dyDescent="0.25">
      <c r="A2372" s="1">
        <v>40816</v>
      </c>
      <c r="B2372">
        <v>868191.05</v>
      </c>
    </row>
    <row r="2373" spans="1:2" x14ac:dyDescent="0.25">
      <c r="A2373" s="1">
        <v>40823</v>
      </c>
      <c r="B2373">
        <v>918006.9</v>
      </c>
    </row>
    <row r="2374" spans="1:2" x14ac:dyDescent="0.25">
      <c r="A2374" s="1">
        <v>40830</v>
      </c>
      <c r="B2374">
        <v>884042.63</v>
      </c>
    </row>
    <row r="2375" spans="1:2" x14ac:dyDescent="0.25">
      <c r="A2375" s="1">
        <v>40837</v>
      </c>
      <c r="B2375">
        <v>877380.22</v>
      </c>
    </row>
    <row r="2376" spans="1:2" x14ac:dyDescent="0.25">
      <c r="A2376" s="1">
        <v>40844</v>
      </c>
      <c r="B2376">
        <v>936508.43</v>
      </c>
    </row>
    <row r="2377" spans="1:2" x14ac:dyDescent="0.25">
      <c r="A2377" s="1">
        <v>40851</v>
      </c>
      <c r="B2377">
        <v>927657.63</v>
      </c>
    </row>
    <row r="2378" spans="1:2" x14ac:dyDescent="0.25">
      <c r="A2378" s="1">
        <v>40858</v>
      </c>
      <c r="B2378">
        <v>914759.2</v>
      </c>
    </row>
    <row r="2379" spans="1:2" x14ac:dyDescent="0.25">
      <c r="A2379" s="1">
        <v>40865</v>
      </c>
      <c r="B2379">
        <v>877724.31</v>
      </c>
    </row>
    <row r="2380" spans="1:2" x14ac:dyDescent="0.25">
      <c r="A2380" s="1">
        <v>40872</v>
      </c>
      <c r="B2380">
        <v>1225700.28</v>
      </c>
    </row>
    <row r="2381" spans="1:2" x14ac:dyDescent="0.25">
      <c r="A2381" s="1">
        <v>40879</v>
      </c>
      <c r="B2381">
        <v>945267.68</v>
      </c>
    </row>
    <row r="2382" spans="1:2" x14ac:dyDescent="0.25">
      <c r="A2382" s="1">
        <v>40886</v>
      </c>
      <c r="B2382">
        <v>976522.93</v>
      </c>
    </row>
    <row r="2383" spans="1:2" x14ac:dyDescent="0.25">
      <c r="A2383" s="1">
        <v>40893</v>
      </c>
      <c r="B2383">
        <v>1067754.06</v>
      </c>
    </row>
    <row r="2384" spans="1:2" x14ac:dyDescent="0.25">
      <c r="A2384" s="1">
        <v>40900</v>
      </c>
      <c r="B2384">
        <v>1289156.8999999999</v>
      </c>
    </row>
    <row r="2385" spans="1:2" x14ac:dyDescent="0.25">
      <c r="A2385" s="1">
        <v>40907</v>
      </c>
      <c r="B2385">
        <v>777207.3</v>
      </c>
    </row>
    <row r="2386" spans="1:2" x14ac:dyDescent="0.25">
      <c r="A2386" s="1">
        <v>40914</v>
      </c>
      <c r="B2386">
        <v>1198104.22</v>
      </c>
    </row>
    <row r="2387" spans="1:2" x14ac:dyDescent="0.25">
      <c r="A2387" s="1">
        <v>40921</v>
      </c>
      <c r="B2387">
        <v>873576.95999999996</v>
      </c>
    </row>
    <row r="2388" spans="1:2" x14ac:dyDescent="0.25">
      <c r="A2388" s="1">
        <v>40928</v>
      </c>
      <c r="B2388">
        <v>809272.65</v>
      </c>
    </row>
    <row r="2389" spans="1:2" x14ac:dyDescent="0.25">
      <c r="A2389" s="1">
        <v>40935</v>
      </c>
      <c r="B2389">
        <v>769522.33</v>
      </c>
    </row>
    <row r="2390" spans="1:2" x14ac:dyDescent="0.25">
      <c r="A2390" s="1">
        <v>40942</v>
      </c>
      <c r="B2390">
        <v>864852.85</v>
      </c>
    </row>
    <row r="2391" spans="1:2" x14ac:dyDescent="0.25">
      <c r="A2391" s="1">
        <v>40949</v>
      </c>
      <c r="B2391">
        <v>880165.7</v>
      </c>
    </row>
    <row r="2392" spans="1:2" x14ac:dyDescent="0.25">
      <c r="A2392" s="1">
        <v>40956</v>
      </c>
      <c r="B2392">
        <v>927084.65</v>
      </c>
    </row>
    <row r="2393" spans="1:2" x14ac:dyDescent="0.25">
      <c r="A2393" s="1">
        <v>40963</v>
      </c>
      <c r="B2393">
        <v>843864.43</v>
      </c>
    </row>
    <row r="2394" spans="1:2" x14ac:dyDescent="0.25">
      <c r="A2394" s="1">
        <v>40970</v>
      </c>
      <c r="B2394">
        <v>856178.47</v>
      </c>
    </row>
    <row r="2395" spans="1:2" x14ac:dyDescent="0.25">
      <c r="A2395" s="1">
        <v>40977</v>
      </c>
      <c r="B2395">
        <v>860224.98</v>
      </c>
    </row>
    <row r="2396" spans="1:2" x14ac:dyDescent="0.25">
      <c r="A2396" s="1">
        <v>40984</v>
      </c>
      <c r="B2396">
        <v>853136.46</v>
      </c>
    </row>
    <row r="2397" spans="1:2" x14ac:dyDescent="0.25">
      <c r="A2397" s="1">
        <v>40991</v>
      </c>
      <c r="B2397">
        <v>851762.28</v>
      </c>
    </row>
    <row r="2398" spans="1:2" x14ac:dyDescent="0.25">
      <c r="A2398" s="1">
        <v>40998</v>
      </c>
      <c r="B2398">
        <v>872469.03</v>
      </c>
    </row>
    <row r="2399" spans="1:2" x14ac:dyDescent="0.25">
      <c r="A2399" s="1">
        <v>41005</v>
      </c>
      <c r="B2399">
        <v>986922.62</v>
      </c>
    </row>
    <row r="2400" spans="1:2" x14ac:dyDescent="0.25">
      <c r="A2400" s="1">
        <v>41012</v>
      </c>
      <c r="B2400">
        <v>877055.32</v>
      </c>
    </row>
    <row r="2401" spans="1:2" x14ac:dyDescent="0.25">
      <c r="A2401" s="1">
        <v>41019</v>
      </c>
      <c r="B2401">
        <v>1119979.98</v>
      </c>
    </row>
    <row r="2402" spans="1:2" x14ac:dyDescent="0.25">
      <c r="A2402" s="1">
        <v>41026</v>
      </c>
      <c r="B2402">
        <v>925916.65</v>
      </c>
    </row>
    <row r="2403" spans="1:2" x14ac:dyDescent="0.25">
      <c r="A2403" s="1">
        <v>41033</v>
      </c>
      <c r="B2403">
        <v>930121.14</v>
      </c>
    </row>
    <row r="2404" spans="1:2" x14ac:dyDescent="0.25">
      <c r="A2404" s="1">
        <v>41040</v>
      </c>
      <c r="B2404">
        <v>944100.3</v>
      </c>
    </row>
    <row r="2405" spans="1:2" x14ac:dyDescent="0.25">
      <c r="A2405" s="1">
        <v>41047</v>
      </c>
      <c r="B2405">
        <v>968816.33</v>
      </c>
    </row>
    <row r="2406" spans="1:2" x14ac:dyDescent="0.25">
      <c r="A2406" s="1">
        <v>41054</v>
      </c>
      <c r="B2406">
        <v>984881.59</v>
      </c>
    </row>
    <row r="2407" spans="1:2" x14ac:dyDescent="0.25">
      <c r="A2407" s="1">
        <v>41061</v>
      </c>
      <c r="B2407">
        <v>938914.28</v>
      </c>
    </row>
    <row r="2408" spans="1:2" x14ac:dyDescent="0.25">
      <c r="A2408" s="1">
        <v>41068</v>
      </c>
      <c r="B2408">
        <v>987990.24</v>
      </c>
    </row>
    <row r="2409" spans="1:2" x14ac:dyDescent="0.25">
      <c r="A2409" s="1">
        <v>41075</v>
      </c>
      <c r="B2409">
        <v>964169.67</v>
      </c>
    </row>
    <row r="2410" spans="1:2" x14ac:dyDescent="0.25">
      <c r="A2410" s="1">
        <v>41082</v>
      </c>
      <c r="B2410">
        <v>981210.57</v>
      </c>
    </row>
    <row r="2411" spans="1:2" x14ac:dyDescent="0.25">
      <c r="A2411" s="1">
        <v>41089</v>
      </c>
      <c r="B2411">
        <v>982322.24</v>
      </c>
    </row>
    <row r="2412" spans="1:2" x14ac:dyDescent="0.25">
      <c r="A2412" s="1">
        <v>41096</v>
      </c>
      <c r="B2412">
        <v>1046782.52</v>
      </c>
    </row>
    <row r="2413" spans="1:2" x14ac:dyDescent="0.25">
      <c r="A2413" s="1">
        <v>41103</v>
      </c>
      <c r="B2413">
        <v>960746.04</v>
      </c>
    </row>
    <row r="2414" spans="1:2" x14ac:dyDescent="0.25">
      <c r="A2414" s="1">
        <v>41110</v>
      </c>
      <c r="B2414">
        <v>944698.7</v>
      </c>
    </row>
    <row r="2415" spans="1:2" x14ac:dyDescent="0.25">
      <c r="A2415" s="1">
        <v>41117</v>
      </c>
      <c r="B2415">
        <v>907493.24</v>
      </c>
    </row>
    <row r="2416" spans="1:2" x14ac:dyDescent="0.25">
      <c r="A2416" s="1">
        <v>41124</v>
      </c>
      <c r="B2416">
        <v>877813.33</v>
      </c>
    </row>
    <row r="2417" spans="1:2" x14ac:dyDescent="0.25">
      <c r="A2417" s="1">
        <v>41131</v>
      </c>
      <c r="B2417">
        <v>849074.04</v>
      </c>
    </row>
    <row r="2418" spans="1:2" x14ac:dyDescent="0.25">
      <c r="A2418" s="1">
        <v>41138</v>
      </c>
      <c r="B2418">
        <v>844928.17</v>
      </c>
    </row>
    <row r="2419" spans="1:2" x14ac:dyDescent="0.25">
      <c r="A2419" s="1">
        <v>41145</v>
      </c>
      <c r="B2419">
        <v>924299.78</v>
      </c>
    </row>
    <row r="2420" spans="1:2" x14ac:dyDescent="0.25">
      <c r="A2420" s="1">
        <v>41152</v>
      </c>
      <c r="B2420">
        <v>865924.2</v>
      </c>
    </row>
    <row r="2421" spans="1:2" x14ac:dyDescent="0.25">
      <c r="A2421" s="1">
        <v>41159</v>
      </c>
      <c r="B2421">
        <v>1255633.29</v>
      </c>
    </row>
    <row r="2422" spans="1:2" x14ac:dyDescent="0.25">
      <c r="A2422" s="1">
        <v>41166</v>
      </c>
      <c r="B2422">
        <v>1071040.22</v>
      </c>
    </row>
    <row r="2423" spans="1:2" x14ac:dyDescent="0.25">
      <c r="A2423" s="1">
        <v>41173</v>
      </c>
      <c r="B2423">
        <v>938303.28</v>
      </c>
    </row>
    <row r="2424" spans="1:2" x14ac:dyDescent="0.25">
      <c r="A2424" s="1">
        <v>41180</v>
      </c>
      <c r="B2424">
        <v>972716.24</v>
      </c>
    </row>
    <row r="2425" spans="1:2" x14ac:dyDescent="0.25">
      <c r="A2425" s="1">
        <v>41187</v>
      </c>
      <c r="B2425">
        <v>952609.17</v>
      </c>
    </row>
    <row r="2426" spans="1:2" x14ac:dyDescent="0.25">
      <c r="A2426" s="1">
        <v>41194</v>
      </c>
      <c r="B2426">
        <v>919878.34</v>
      </c>
    </row>
    <row r="2427" spans="1:2" x14ac:dyDescent="0.25">
      <c r="A2427" s="1">
        <v>41201</v>
      </c>
      <c r="B2427">
        <v>957356.84</v>
      </c>
    </row>
    <row r="2428" spans="1:2" x14ac:dyDescent="0.25">
      <c r="A2428" s="1">
        <v>41208</v>
      </c>
      <c r="B2428">
        <v>943465.29</v>
      </c>
    </row>
    <row r="2429" spans="1:2" x14ac:dyDescent="0.25">
      <c r="A2429" s="1">
        <v>40214</v>
      </c>
      <c r="B2429">
        <v>1205307.5</v>
      </c>
    </row>
    <row r="2430" spans="1:2" x14ac:dyDescent="0.25">
      <c r="A2430" s="1">
        <v>40221</v>
      </c>
      <c r="B2430">
        <v>1187880.7</v>
      </c>
    </row>
    <row r="2431" spans="1:2" x14ac:dyDescent="0.25">
      <c r="A2431" s="1">
        <v>40228</v>
      </c>
      <c r="B2431">
        <v>1150663.42</v>
      </c>
    </row>
    <row r="2432" spans="1:2" x14ac:dyDescent="0.25">
      <c r="A2432" s="1">
        <v>40235</v>
      </c>
      <c r="B2432">
        <v>1068157.45</v>
      </c>
    </row>
    <row r="2433" spans="1:2" x14ac:dyDescent="0.25">
      <c r="A2433" s="1">
        <v>40242</v>
      </c>
      <c r="B2433">
        <v>1179738.5</v>
      </c>
    </row>
    <row r="2434" spans="1:2" x14ac:dyDescent="0.25">
      <c r="A2434" s="1">
        <v>40249</v>
      </c>
      <c r="B2434">
        <v>1138800.32</v>
      </c>
    </row>
    <row r="2435" spans="1:2" x14ac:dyDescent="0.25">
      <c r="A2435" s="1">
        <v>40256</v>
      </c>
      <c r="B2435">
        <v>1087507.47</v>
      </c>
    </row>
    <row r="2436" spans="1:2" x14ac:dyDescent="0.25">
      <c r="A2436" s="1">
        <v>40263</v>
      </c>
      <c r="B2436">
        <v>1092704.0900000001</v>
      </c>
    </row>
    <row r="2437" spans="1:2" x14ac:dyDescent="0.25">
      <c r="A2437" s="1">
        <v>40270</v>
      </c>
      <c r="B2437">
        <v>1254107.8400000001</v>
      </c>
    </row>
    <row r="2438" spans="1:2" x14ac:dyDescent="0.25">
      <c r="A2438" s="1">
        <v>40277</v>
      </c>
      <c r="B2438">
        <v>1174447.55</v>
      </c>
    </row>
    <row r="2439" spans="1:2" x14ac:dyDescent="0.25">
      <c r="A2439" s="1">
        <v>40284</v>
      </c>
      <c r="B2439">
        <v>1135577.6200000001</v>
      </c>
    </row>
    <row r="2440" spans="1:2" x14ac:dyDescent="0.25">
      <c r="A2440" s="1">
        <v>40291</v>
      </c>
      <c r="B2440">
        <v>1132433.55</v>
      </c>
    </row>
    <row r="2441" spans="1:2" x14ac:dyDescent="0.25">
      <c r="A2441" s="1">
        <v>40298</v>
      </c>
      <c r="B2441">
        <v>1060446.1599999999</v>
      </c>
    </row>
    <row r="2442" spans="1:2" x14ac:dyDescent="0.25">
      <c r="A2442" s="1">
        <v>40305</v>
      </c>
      <c r="B2442">
        <v>1222255.47</v>
      </c>
    </row>
    <row r="2443" spans="1:2" x14ac:dyDescent="0.25">
      <c r="A2443" s="1">
        <v>40312</v>
      </c>
      <c r="B2443">
        <v>1092616.49</v>
      </c>
    </row>
    <row r="2444" spans="1:2" x14ac:dyDescent="0.25">
      <c r="A2444" s="1">
        <v>40319</v>
      </c>
      <c r="B2444">
        <v>1101621.3600000001</v>
      </c>
    </row>
    <row r="2445" spans="1:2" x14ac:dyDescent="0.25">
      <c r="A2445" s="1">
        <v>40326</v>
      </c>
      <c r="B2445">
        <v>1256282.79</v>
      </c>
    </row>
    <row r="2446" spans="1:2" x14ac:dyDescent="0.25">
      <c r="A2446" s="1">
        <v>40333</v>
      </c>
      <c r="B2446">
        <v>1271311.76</v>
      </c>
    </row>
    <row r="2447" spans="1:2" x14ac:dyDescent="0.25">
      <c r="A2447" s="1">
        <v>40340</v>
      </c>
      <c r="B2447">
        <v>1173521.82</v>
      </c>
    </row>
    <row r="2448" spans="1:2" x14ac:dyDescent="0.25">
      <c r="A2448" s="1">
        <v>40347</v>
      </c>
      <c r="B2448">
        <v>1183225.92</v>
      </c>
    </row>
    <row r="2449" spans="1:2" x14ac:dyDescent="0.25">
      <c r="A2449" s="1">
        <v>40354</v>
      </c>
      <c r="B2449">
        <v>1220983.17</v>
      </c>
    </row>
    <row r="2450" spans="1:2" x14ac:dyDescent="0.25">
      <c r="A2450" s="1">
        <v>40361</v>
      </c>
      <c r="B2450">
        <v>1257928.3500000001</v>
      </c>
    </row>
    <row r="2451" spans="1:2" x14ac:dyDescent="0.25">
      <c r="A2451" s="1">
        <v>40368</v>
      </c>
      <c r="B2451">
        <v>1171391.4099999999</v>
      </c>
    </row>
    <row r="2452" spans="1:2" x14ac:dyDescent="0.25">
      <c r="A2452" s="1">
        <v>40375</v>
      </c>
      <c r="B2452">
        <v>1115514.6100000001</v>
      </c>
    </row>
    <row r="2453" spans="1:2" x14ac:dyDescent="0.25">
      <c r="A2453" s="1">
        <v>40382</v>
      </c>
      <c r="B2453">
        <v>1032908.23</v>
      </c>
    </row>
    <row r="2454" spans="1:2" x14ac:dyDescent="0.25">
      <c r="A2454" s="1">
        <v>40389</v>
      </c>
      <c r="B2454">
        <v>1078557.6200000001</v>
      </c>
    </row>
    <row r="2455" spans="1:2" x14ac:dyDescent="0.25">
      <c r="A2455" s="1">
        <v>40396</v>
      </c>
      <c r="B2455">
        <v>1166117.8500000001</v>
      </c>
    </row>
    <row r="2456" spans="1:2" x14ac:dyDescent="0.25">
      <c r="A2456" s="1">
        <v>40403</v>
      </c>
      <c r="B2456">
        <v>1084722.78</v>
      </c>
    </row>
    <row r="2457" spans="1:2" x14ac:dyDescent="0.25">
      <c r="A2457" s="1">
        <v>40410</v>
      </c>
      <c r="B2457">
        <v>1141860.67</v>
      </c>
    </row>
    <row r="2458" spans="1:2" x14ac:dyDescent="0.25">
      <c r="A2458" s="1">
        <v>40417</v>
      </c>
      <c r="B2458">
        <v>1214302.76</v>
      </c>
    </row>
    <row r="2459" spans="1:2" x14ac:dyDescent="0.25">
      <c r="A2459" s="1">
        <v>40424</v>
      </c>
      <c r="B2459">
        <v>1187359.77</v>
      </c>
    </row>
    <row r="2460" spans="1:2" x14ac:dyDescent="0.25">
      <c r="A2460" s="1">
        <v>40431</v>
      </c>
      <c r="B2460">
        <v>1011201.12</v>
      </c>
    </row>
    <row r="2461" spans="1:2" x14ac:dyDescent="0.25">
      <c r="A2461" s="1">
        <v>40438</v>
      </c>
      <c r="B2461">
        <v>997998.21</v>
      </c>
    </row>
    <row r="2462" spans="1:2" x14ac:dyDescent="0.25">
      <c r="A2462" s="1">
        <v>40445</v>
      </c>
      <c r="B2462">
        <v>950862.92</v>
      </c>
    </row>
    <row r="2463" spans="1:2" x14ac:dyDescent="0.25">
      <c r="A2463" s="1">
        <v>40452</v>
      </c>
      <c r="B2463">
        <v>948977.5</v>
      </c>
    </row>
    <row r="2464" spans="1:2" x14ac:dyDescent="0.25">
      <c r="A2464" s="1">
        <v>40459</v>
      </c>
      <c r="B2464">
        <v>1107432.71</v>
      </c>
    </row>
    <row r="2465" spans="1:2" x14ac:dyDescent="0.25">
      <c r="A2465" s="1">
        <v>40466</v>
      </c>
      <c r="B2465">
        <v>1029618.1</v>
      </c>
    </row>
    <row r="2466" spans="1:2" x14ac:dyDescent="0.25">
      <c r="A2466" s="1">
        <v>40473</v>
      </c>
      <c r="B2466">
        <v>1052120.43</v>
      </c>
    </row>
    <row r="2467" spans="1:2" x14ac:dyDescent="0.25">
      <c r="A2467" s="1">
        <v>40480</v>
      </c>
      <c r="B2467">
        <v>1038576.54</v>
      </c>
    </row>
    <row r="2468" spans="1:2" x14ac:dyDescent="0.25">
      <c r="A2468" s="1">
        <v>40487</v>
      </c>
      <c r="B2468">
        <v>1089530.94</v>
      </c>
    </row>
    <row r="2469" spans="1:2" x14ac:dyDescent="0.25">
      <c r="A2469" s="1">
        <v>40494</v>
      </c>
      <c r="B2469">
        <v>1081322.1200000001</v>
      </c>
    </row>
    <row r="2470" spans="1:2" x14ac:dyDescent="0.25">
      <c r="A2470" s="1">
        <v>40501</v>
      </c>
      <c r="B2470">
        <v>1045722.37</v>
      </c>
    </row>
    <row r="2471" spans="1:2" x14ac:dyDescent="0.25">
      <c r="A2471" s="1">
        <v>40508</v>
      </c>
      <c r="B2471">
        <v>1653759.36</v>
      </c>
    </row>
    <row r="2472" spans="1:2" x14ac:dyDescent="0.25">
      <c r="A2472" s="1">
        <v>40515</v>
      </c>
      <c r="B2472">
        <v>1211026.1299999999</v>
      </c>
    </row>
    <row r="2473" spans="1:2" x14ac:dyDescent="0.25">
      <c r="A2473" s="1">
        <v>40522</v>
      </c>
      <c r="B2473">
        <v>1416168.98</v>
      </c>
    </row>
    <row r="2474" spans="1:2" x14ac:dyDescent="0.25">
      <c r="A2474" s="1">
        <v>40529</v>
      </c>
      <c r="B2474">
        <v>1588430.71</v>
      </c>
    </row>
    <row r="2475" spans="1:2" x14ac:dyDescent="0.25">
      <c r="A2475" s="1">
        <v>40536</v>
      </c>
      <c r="B2475">
        <v>2027507.15</v>
      </c>
    </row>
    <row r="2476" spans="1:2" x14ac:dyDescent="0.25">
      <c r="A2476" s="1">
        <v>40543</v>
      </c>
      <c r="B2476">
        <v>887907.01</v>
      </c>
    </row>
    <row r="2477" spans="1:2" x14ac:dyDescent="0.25">
      <c r="A2477" s="1">
        <v>40550</v>
      </c>
      <c r="B2477">
        <v>933960.3</v>
      </c>
    </row>
    <row r="2478" spans="1:2" x14ac:dyDescent="0.25">
      <c r="A2478" s="1">
        <v>40557</v>
      </c>
      <c r="B2478">
        <v>777175.28</v>
      </c>
    </row>
    <row r="2479" spans="1:2" x14ac:dyDescent="0.25">
      <c r="A2479" s="1">
        <v>40564</v>
      </c>
      <c r="B2479">
        <v>891148.55</v>
      </c>
    </row>
    <row r="2480" spans="1:2" x14ac:dyDescent="0.25">
      <c r="A2480" s="1">
        <v>40571</v>
      </c>
      <c r="B2480">
        <v>849540.85</v>
      </c>
    </row>
    <row r="2481" spans="1:2" x14ac:dyDescent="0.25">
      <c r="A2481" s="1">
        <v>40578</v>
      </c>
      <c r="B2481">
        <v>1055841.24</v>
      </c>
    </row>
    <row r="2482" spans="1:2" x14ac:dyDescent="0.25">
      <c r="A2482" s="1">
        <v>40585</v>
      </c>
      <c r="B2482">
        <v>1122053.58</v>
      </c>
    </row>
    <row r="2483" spans="1:2" x14ac:dyDescent="0.25">
      <c r="A2483" s="1">
        <v>40592</v>
      </c>
      <c r="B2483">
        <v>1095058.57</v>
      </c>
    </row>
    <row r="2484" spans="1:2" x14ac:dyDescent="0.25">
      <c r="A2484" s="1">
        <v>40599</v>
      </c>
      <c r="B2484">
        <v>1005983.31</v>
      </c>
    </row>
    <row r="2485" spans="1:2" x14ac:dyDescent="0.25">
      <c r="A2485" s="1">
        <v>40606</v>
      </c>
      <c r="B2485">
        <v>1063310.6200000001</v>
      </c>
    </row>
    <row r="2486" spans="1:2" x14ac:dyDescent="0.25">
      <c r="A2486" s="1">
        <v>40613</v>
      </c>
      <c r="B2486">
        <v>1002714.25</v>
      </c>
    </row>
    <row r="2487" spans="1:2" x14ac:dyDescent="0.25">
      <c r="A2487" s="1">
        <v>40620</v>
      </c>
      <c r="B2487">
        <v>945889.59</v>
      </c>
    </row>
    <row r="2488" spans="1:2" x14ac:dyDescent="0.25">
      <c r="A2488" s="1">
        <v>40627</v>
      </c>
      <c r="B2488">
        <v>944523.3</v>
      </c>
    </row>
    <row r="2489" spans="1:2" x14ac:dyDescent="0.25">
      <c r="A2489" s="1">
        <v>40634</v>
      </c>
      <c r="B2489">
        <v>938083.17</v>
      </c>
    </row>
    <row r="2490" spans="1:2" x14ac:dyDescent="0.25">
      <c r="A2490" s="1">
        <v>40641</v>
      </c>
      <c r="B2490">
        <v>1018541.3</v>
      </c>
    </row>
    <row r="2491" spans="1:2" x14ac:dyDescent="0.25">
      <c r="A2491" s="1">
        <v>40648</v>
      </c>
      <c r="B2491">
        <v>988157.72</v>
      </c>
    </row>
    <row r="2492" spans="1:2" x14ac:dyDescent="0.25">
      <c r="A2492" s="1">
        <v>40655</v>
      </c>
      <c r="B2492">
        <v>1105860.06</v>
      </c>
    </row>
    <row r="2493" spans="1:2" x14ac:dyDescent="0.25">
      <c r="A2493" s="1">
        <v>40662</v>
      </c>
      <c r="B2493">
        <v>974114.39</v>
      </c>
    </row>
    <row r="2494" spans="1:2" x14ac:dyDescent="0.25">
      <c r="A2494" s="1">
        <v>40669</v>
      </c>
      <c r="B2494">
        <v>1065427.3700000001</v>
      </c>
    </row>
    <row r="2495" spans="1:2" x14ac:dyDescent="0.25">
      <c r="A2495" s="1">
        <v>40676</v>
      </c>
      <c r="B2495">
        <v>993172.98</v>
      </c>
    </row>
    <row r="2496" spans="1:2" x14ac:dyDescent="0.25">
      <c r="A2496" s="1">
        <v>40683</v>
      </c>
      <c r="B2496">
        <v>994610.43</v>
      </c>
    </row>
    <row r="2497" spans="1:2" x14ac:dyDescent="0.25">
      <c r="A2497" s="1">
        <v>40690</v>
      </c>
      <c r="B2497">
        <v>1065214.1399999999</v>
      </c>
    </row>
    <row r="2498" spans="1:2" x14ac:dyDescent="0.25">
      <c r="A2498" s="1">
        <v>40697</v>
      </c>
      <c r="B2498">
        <v>1178039</v>
      </c>
    </row>
    <row r="2499" spans="1:2" x14ac:dyDescent="0.25">
      <c r="A2499" s="1">
        <v>40704</v>
      </c>
      <c r="B2499">
        <v>1044079.2</v>
      </c>
    </row>
    <row r="2500" spans="1:2" x14ac:dyDescent="0.25">
      <c r="A2500" s="1">
        <v>40711</v>
      </c>
      <c r="B2500">
        <v>1045859.39</v>
      </c>
    </row>
    <row r="2501" spans="1:2" x14ac:dyDescent="0.25">
      <c r="A2501" s="1">
        <v>40718</v>
      </c>
      <c r="B2501">
        <v>1056478.6499999999</v>
      </c>
    </row>
    <row r="2502" spans="1:2" x14ac:dyDescent="0.25">
      <c r="A2502" s="1">
        <v>40725</v>
      </c>
      <c r="B2502">
        <v>1087051.26</v>
      </c>
    </row>
    <row r="2503" spans="1:2" x14ac:dyDescent="0.25">
      <c r="A2503" s="1">
        <v>40732</v>
      </c>
      <c r="B2503">
        <v>1048802.6200000001</v>
      </c>
    </row>
    <row r="2504" spans="1:2" x14ac:dyDescent="0.25">
      <c r="A2504" s="1">
        <v>40739</v>
      </c>
      <c r="B2504">
        <v>974916.13</v>
      </c>
    </row>
    <row r="2505" spans="1:2" x14ac:dyDescent="0.25">
      <c r="A2505" s="1">
        <v>40746</v>
      </c>
      <c r="B2505">
        <v>991262.46</v>
      </c>
    </row>
    <row r="2506" spans="1:2" x14ac:dyDescent="0.25">
      <c r="A2506" s="1">
        <v>40753</v>
      </c>
      <c r="B2506">
        <v>954148.64</v>
      </c>
    </row>
    <row r="2507" spans="1:2" x14ac:dyDescent="0.25">
      <c r="A2507" s="1">
        <v>40760</v>
      </c>
      <c r="B2507">
        <v>1002806.39</v>
      </c>
    </row>
    <row r="2508" spans="1:2" x14ac:dyDescent="0.25">
      <c r="A2508" s="1">
        <v>40767</v>
      </c>
      <c r="B2508">
        <v>928470.83</v>
      </c>
    </row>
    <row r="2509" spans="1:2" x14ac:dyDescent="0.25">
      <c r="A2509" s="1">
        <v>40774</v>
      </c>
      <c r="B2509">
        <v>932679.79</v>
      </c>
    </row>
    <row r="2510" spans="1:2" x14ac:dyDescent="0.25">
      <c r="A2510" s="1">
        <v>40781</v>
      </c>
      <c r="B2510">
        <v>1147906.46</v>
      </c>
    </row>
    <row r="2511" spans="1:2" x14ac:dyDescent="0.25">
      <c r="A2511" s="1">
        <v>40788</v>
      </c>
      <c r="B2511">
        <v>540922.93999999994</v>
      </c>
    </row>
    <row r="2512" spans="1:2" x14ac:dyDescent="0.25">
      <c r="A2512" s="1">
        <v>40795</v>
      </c>
      <c r="B2512">
        <v>951549.61</v>
      </c>
    </row>
    <row r="2513" spans="1:2" x14ac:dyDescent="0.25">
      <c r="A2513" s="1">
        <v>40802</v>
      </c>
      <c r="B2513">
        <v>845715.37</v>
      </c>
    </row>
    <row r="2514" spans="1:2" x14ac:dyDescent="0.25">
      <c r="A2514" s="1">
        <v>40809</v>
      </c>
      <c r="B2514">
        <v>853073.17</v>
      </c>
    </row>
    <row r="2515" spans="1:2" x14ac:dyDescent="0.25">
      <c r="A2515" s="1">
        <v>40816</v>
      </c>
      <c r="B2515">
        <v>847348.08</v>
      </c>
    </row>
    <row r="2516" spans="1:2" x14ac:dyDescent="0.25">
      <c r="A2516" s="1">
        <v>40823</v>
      </c>
      <c r="B2516">
        <v>1019741.1</v>
      </c>
    </row>
    <row r="2517" spans="1:2" x14ac:dyDescent="0.25">
      <c r="A2517" s="1">
        <v>40830</v>
      </c>
      <c r="B2517">
        <v>953533.95</v>
      </c>
    </row>
    <row r="2518" spans="1:2" x14ac:dyDescent="0.25">
      <c r="A2518" s="1">
        <v>40837</v>
      </c>
      <c r="B2518">
        <v>1048212.62</v>
      </c>
    </row>
    <row r="2519" spans="1:2" x14ac:dyDescent="0.25">
      <c r="A2519" s="1">
        <v>40844</v>
      </c>
      <c r="B2519">
        <v>1106642.6299999999</v>
      </c>
    </row>
    <row r="2520" spans="1:2" x14ac:dyDescent="0.25">
      <c r="A2520" s="1">
        <v>40851</v>
      </c>
      <c r="B2520">
        <v>1100625.06</v>
      </c>
    </row>
    <row r="2521" spans="1:2" x14ac:dyDescent="0.25">
      <c r="A2521" s="1">
        <v>40858</v>
      </c>
      <c r="B2521">
        <v>1079931.6299999999</v>
      </c>
    </row>
    <row r="2522" spans="1:2" x14ac:dyDescent="0.25">
      <c r="A2522" s="1">
        <v>40865</v>
      </c>
      <c r="B2522">
        <v>1056992.18</v>
      </c>
    </row>
    <row r="2523" spans="1:2" x14ac:dyDescent="0.25">
      <c r="A2523" s="1">
        <v>40872</v>
      </c>
      <c r="B2523">
        <v>1624170.99</v>
      </c>
    </row>
    <row r="2524" spans="1:2" x14ac:dyDescent="0.25">
      <c r="A2524" s="1">
        <v>40879</v>
      </c>
      <c r="B2524">
        <v>1188047.6100000001</v>
      </c>
    </row>
    <row r="2525" spans="1:2" x14ac:dyDescent="0.25">
      <c r="A2525" s="1">
        <v>40886</v>
      </c>
      <c r="B2525">
        <v>1368471.23</v>
      </c>
    </row>
    <row r="2526" spans="1:2" x14ac:dyDescent="0.25">
      <c r="A2526" s="1">
        <v>40893</v>
      </c>
      <c r="B2526">
        <v>1516924.23</v>
      </c>
    </row>
    <row r="2527" spans="1:2" x14ac:dyDescent="0.25">
      <c r="A2527" s="1">
        <v>40900</v>
      </c>
      <c r="B2527">
        <v>1882393.4</v>
      </c>
    </row>
    <row r="2528" spans="1:2" x14ac:dyDescent="0.25">
      <c r="A2528" s="1">
        <v>40907</v>
      </c>
      <c r="B2528">
        <v>1010562.49</v>
      </c>
    </row>
    <row r="2529" spans="1:2" x14ac:dyDescent="0.25">
      <c r="A2529" s="1">
        <v>40914</v>
      </c>
      <c r="B2529">
        <v>977286.07</v>
      </c>
    </row>
    <row r="2530" spans="1:2" x14ac:dyDescent="0.25">
      <c r="A2530" s="1">
        <v>40921</v>
      </c>
      <c r="B2530">
        <v>890130.25</v>
      </c>
    </row>
    <row r="2531" spans="1:2" x14ac:dyDescent="0.25">
      <c r="A2531" s="1">
        <v>40928</v>
      </c>
      <c r="B2531">
        <v>937522.77</v>
      </c>
    </row>
    <row r="2532" spans="1:2" x14ac:dyDescent="0.25">
      <c r="A2532" s="1">
        <v>40935</v>
      </c>
      <c r="B2532">
        <v>825584.22</v>
      </c>
    </row>
    <row r="2533" spans="1:2" x14ac:dyDescent="0.25">
      <c r="A2533" s="1">
        <v>40942</v>
      </c>
      <c r="B2533">
        <v>1049772.04</v>
      </c>
    </row>
    <row r="2534" spans="1:2" x14ac:dyDescent="0.25">
      <c r="A2534" s="1">
        <v>40949</v>
      </c>
      <c r="B2534">
        <v>1161615.51</v>
      </c>
    </row>
    <row r="2535" spans="1:2" x14ac:dyDescent="0.25">
      <c r="A2535" s="1">
        <v>40956</v>
      </c>
      <c r="B2535">
        <v>1115985.81</v>
      </c>
    </row>
    <row r="2536" spans="1:2" x14ac:dyDescent="0.25">
      <c r="A2536" s="1">
        <v>40963</v>
      </c>
      <c r="B2536">
        <v>1037861.11</v>
      </c>
    </row>
    <row r="2537" spans="1:2" x14ac:dyDescent="0.25">
      <c r="A2537" s="1">
        <v>40970</v>
      </c>
      <c r="B2537">
        <v>1047178.91</v>
      </c>
    </row>
    <row r="2538" spans="1:2" x14ac:dyDescent="0.25">
      <c r="A2538" s="1">
        <v>40977</v>
      </c>
      <c r="B2538">
        <v>1084894.47</v>
      </c>
    </row>
    <row r="2539" spans="1:2" x14ac:dyDescent="0.25">
      <c r="A2539" s="1">
        <v>40984</v>
      </c>
      <c r="B2539">
        <v>1022018.43</v>
      </c>
    </row>
    <row r="2540" spans="1:2" x14ac:dyDescent="0.25">
      <c r="A2540" s="1">
        <v>40991</v>
      </c>
      <c r="B2540">
        <v>1031139.3</v>
      </c>
    </row>
    <row r="2541" spans="1:2" x14ac:dyDescent="0.25">
      <c r="A2541" s="1">
        <v>40998</v>
      </c>
      <c r="B2541">
        <v>1009121.2</v>
      </c>
    </row>
    <row r="2542" spans="1:2" x14ac:dyDescent="0.25">
      <c r="A2542" s="1">
        <v>41005</v>
      </c>
      <c r="B2542">
        <v>1200815.3</v>
      </c>
    </row>
    <row r="2543" spans="1:2" x14ac:dyDescent="0.25">
      <c r="A2543" s="1">
        <v>41012</v>
      </c>
      <c r="B2543">
        <v>998443.5</v>
      </c>
    </row>
    <row r="2544" spans="1:2" x14ac:dyDescent="0.25">
      <c r="A2544" s="1">
        <v>41019</v>
      </c>
      <c r="B2544">
        <v>1025813.8</v>
      </c>
    </row>
    <row r="2545" spans="1:2" x14ac:dyDescent="0.25">
      <c r="A2545" s="1">
        <v>41026</v>
      </c>
      <c r="B2545">
        <v>961186.23</v>
      </c>
    </row>
    <row r="2546" spans="1:2" x14ac:dyDescent="0.25">
      <c r="A2546" s="1">
        <v>41033</v>
      </c>
      <c r="B2546">
        <v>1050027.8899999999</v>
      </c>
    </row>
    <row r="2547" spans="1:2" x14ac:dyDescent="0.25">
      <c r="A2547" s="1">
        <v>41040</v>
      </c>
      <c r="B2547">
        <v>1060433.1000000001</v>
      </c>
    </row>
    <row r="2548" spans="1:2" x14ac:dyDescent="0.25">
      <c r="A2548" s="1">
        <v>41047</v>
      </c>
      <c r="B2548">
        <v>1047444.59</v>
      </c>
    </row>
    <row r="2549" spans="1:2" x14ac:dyDescent="0.25">
      <c r="A2549" s="1">
        <v>41054</v>
      </c>
      <c r="B2549">
        <v>1088446.58</v>
      </c>
    </row>
    <row r="2550" spans="1:2" x14ac:dyDescent="0.25">
      <c r="A2550" s="1">
        <v>41061</v>
      </c>
      <c r="B2550">
        <v>1118313.7</v>
      </c>
    </row>
    <row r="2551" spans="1:2" x14ac:dyDescent="0.25">
      <c r="A2551" s="1">
        <v>41068</v>
      </c>
      <c r="B2551">
        <v>1110479.94</v>
      </c>
    </row>
    <row r="2552" spans="1:2" x14ac:dyDescent="0.25">
      <c r="A2552" s="1">
        <v>41075</v>
      </c>
      <c r="B2552">
        <v>1057425.83</v>
      </c>
    </row>
    <row r="2553" spans="1:2" x14ac:dyDescent="0.25">
      <c r="A2553" s="1">
        <v>41082</v>
      </c>
      <c r="B2553">
        <v>1080357.8899999999</v>
      </c>
    </row>
    <row r="2554" spans="1:2" x14ac:dyDescent="0.25">
      <c r="A2554" s="1">
        <v>41089</v>
      </c>
      <c r="B2554">
        <v>1097006.3</v>
      </c>
    </row>
    <row r="2555" spans="1:2" x14ac:dyDescent="0.25">
      <c r="A2555" s="1">
        <v>41096</v>
      </c>
      <c r="B2555">
        <v>1158247.31</v>
      </c>
    </row>
    <row r="2556" spans="1:2" x14ac:dyDescent="0.25">
      <c r="A2556" s="1">
        <v>41103</v>
      </c>
      <c r="B2556">
        <v>1024784.92</v>
      </c>
    </row>
    <row r="2557" spans="1:2" x14ac:dyDescent="0.25">
      <c r="A2557" s="1">
        <v>41110</v>
      </c>
      <c r="B2557">
        <v>1033543.56</v>
      </c>
    </row>
    <row r="2558" spans="1:2" x14ac:dyDescent="0.25">
      <c r="A2558" s="1">
        <v>41117</v>
      </c>
      <c r="B2558">
        <v>924506.26</v>
      </c>
    </row>
    <row r="2559" spans="1:2" x14ac:dyDescent="0.25">
      <c r="A2559" s="1">
        <v>41124</v>
      </c>
      <c r="B2559">
        <v>1052066.58</v>
      </c>
    </row>
    <row r="2560" spans="1:2" x14ac:dyDescent="0.25">
      <c r="A2560" s="1">
        <v>41131</v>
      </c>
      <c r="B2560">
        <v>967304.07</v>
      </c>
    </row>
    <row r="2561" spans="1:2" x14ac:dyDescent="0.25">
      <c r="A2561" s="1">
        <v>41138</v>
      </c>
      <c r="B2561">
        <v>1048134.24</v>
      </c>
    </row>
    <row r="2562" spans="1:2" x14ac:dyDescent="0.25">
      <c r="A2562" s="1">
        <v>41145</v>
      </c>
      <c r="B2562">
        <v>1145840.9099999999</v>
      </c>
    </row>
    <row r="2563" spans="1:2" x14ac:dyDescent="0.25">
      <c r="A2563" s="1">
        <v>41152</v>
      </c>
      <c r="B2563">
        <v>1117097.23</v>
      </c>
    </row>
    <row r="2564" spans="1:2" x14ac:dyDescent="0.25">
      <c r="A2564" s="1">
        <v>41159</v>
      </c>
      <c r="B2564">
        <v>1083521.24</v>
      </c>
    </row>
    <row r="2565" spans="1:2" x14ac:dyDescent="0.25">
      <c r="A2565" s="1">
        <v>41166</v>
      </c>
      <c r="B2565">
        <v>960476.1</v>
      </c>
    </row>
    <row r="2566" spans="1:2" x14ac:dyDescent="0.25">
      <c r="A2566" s="1">
        <v>41173</v>
      </c>
      <c r="B2566">
        <v>971386.65</v>
      </c>
    </row>
    <row r="2567" spans="1:2" x14ac:dyDescent="0.25">
      <c r="A2567" s="1">
        <v>41180</v>
      </c>
      <c r="B2567">
        <v>1002856.2</v>
      </c>
    </row>
    <row r="2568" spans="1:2" x14ac:dyDescent="0.25">
      <c r="A2568" s="1">
        <v>41187</v>
      </c>
      <c r="B2568">
        <v>1092204.79</v>
      </c>
    </row>
    <row r="2569" spans="1:2" x14ac:dyDescent="0.25">
      <c r="A2569" s="1">
        <v>41194</v>
      </c>
      <c r="B2569">
        <v>1074079</v>
      </c>
    </row>
    <row r="2570" spans="1:2" x14ac:dyDescent="0.25">
      <c r="A2570" s="1">
        <v>41201</v>
      </c>
      <c r="B2570">
        <v>1048706.75</v>
      </c>
    </row>
    <row r="2571" spans="1:2" x14ac:dyDescent="0.25">
      <c r="A2571" s="1">
        <v>41208</v>
      </c>
      <c r="B2571">
        <v>1127516.25</v>
      </c>
    </row>
    <row r="2572" spans="1:2" x14ac:dyDescent="0.25">
      <c r="A2572" s="1">
        <v>40214</v>
      </c>
      <c r="B2572">
        <v>1507637.17</v>
      </c>
    </row>
    <row r="2573" spans="1:2" x14ac:dyDescent="0.25">
      <c r="A2573" s="1">
        <v>40221</v>
      </c>
      <c r="B2573">
        <v>1536549.95</v>
      </c>
    </row>
    <row r="2574" spans="1:2" x14ac:dyDescent="0.25">
      <c r="A2574" s="1">
        <v>40228</v>
      </c>
      <c r="B2574">
        <v>1515976.11</v>
      </c>
    </row>
    <row r="2575" spans="1:2" x14ac:dyDescent="0.25">
      <c r="A2575" s="1">
        <v>40235</v>
      </c>
      <c r="B2575">
        <v>1373270.06</v>
      </c>
    </row>
    <row r="2576" spans="1:2" x14ac:dyDescent="0.25">
      <c r="A2576" s="1">
        <v>40242</v>
      </c>
      <c r="B2576">
        <v>1495844.57</v>
      </c>
    </row>
    <row r="2577" spans="1:2" x14ac:dyDescent="0.25">
      <c r="A2577" s="1">
        <v>40249</v>
      </c>
      <c r="B2577">
        <v>1467889.2</v>
      </c>
    </row>
    <row r="2578" spans="1:2" x14ac:dyDescent="0.25">
      <c r="A2578" s="1">
        <v>40256</v>
      </c>
      <c r="B2578">
        <v>1332940.3500000001</v>
      </c>
    </row>
    <row r="2579" spans="1:2" x14ac:dyDescent="0.25">
      <c r="A2579" s="1">
        <v>40263</v>
      </c>
      <c r="B2579">
        <v>1427023.45</v>
      </c>
    </row>
    <row r="2580" spans="1:2" x14ac:dyDescent="0.25">
      <c r="A2580" s="1">
        <v>40270</v>
      </c>
      <c r="B2580">
        <v>1642970.27</v>
      </c>
    </row>
    <row r="2581" spans="1:2" x14ac:dyDescent="0.25">
      <c r="A2581" s="1">
        <v>40277</v>
      </c>
      <c r="B2581">
        <v>1489613.32</v>
      </c>
    </row>
    <row r="2582" spans="1:2" x14ac:dyDescent="0.25">
      <c r="A2582" s="1">
        <v>40284</v>
      </c>
      <c r="B2582">
        <v>1460354.67</v>
      </c>
    </row>
    <row r="2583" spans="1:2" x14ac:dyDescent="0.25">
      <c r="A2583" s="1">
        <v>40291</v>
      </c>
      <c r="B2583">
        <v>1456793.33</v>
      </c>
    </row>
    <row r="2584" spans="1:2" x14ac:dyDescent="0.25">
      <c r="A2584" s="1">
        <v>40298</v>
      </c>
      <c r="B2584">
        <v>1405065.57</v>
      </c>
    </row>
    <row r="2585" spans="1:2" x14ac:dyDescent="0.25">
      <c r="A2585" s="1">
        <v>40305</v>
      </c>
      <c r="B2585">
        <v>1566219.77</v>
      </c>
    </row>
    <row r="2586" spans="1:2" x14ac:dyDescent="0.25">
      <c r="A2586" s="1">
        <v>40312</v>
      </c>
      <c r="B2586">
        <v>1437319.45</v>
      </c>
    </row>
    <row r="2587" spans="1:2" x14ac:dyDescent="0.25">
      <c r="A2587" s="1">
        <v>40319</v>
      </c>
      <c r="B2587">
        <v>1377716.17</v>
      </c>
    </row>
    <row r="2588" spans="1:2" x14ac:dyDescent="0.25">
      <c r="A2588" s="1">
        <v>40326</v>
      </c>
      <c r="B2588">
        <v>1648882.62</v>
      </c>
    </row>
    <row r="2589" spans="1:2" x14ac:dyDescent="0.25">
      <c r="A2589" s="1">
        <v>40333</v>
      </c>
      <c r="B2589">
        <v>1519013.49</v>
      </c>
    </row>
    <row r="2590" spans="1:2" x14ac:dyDescent="0.25">
      <c r="A2590" s="1">
        <v>40340</v>
      </c>
      <c r="B2590">
        <v>1410683.94</v>
      </c>
    </row>
    <row r="2591" spans="1:2" x14ac:dyDescent="0.25">
      <c r="A2591" s="1">
        <v>40347</v>
      </c>
      <c r="B2591">
        <v>1457314.39</v>
      </c>
    </row>
    <row r="2592" spans="1:2" x14ac:dyDescent="0.25">
      <c r="A2592" s="1">
        <v>40354</v>
      </c>
      <c r="B2592">
        <v>1450407.32</v>
      </c>
    </row>
    <row r="2593" spans="1:2" x14ac:dyDescent="0.25">
      <c r="A2593" s="1">
        <v>40361</v>
      </c>
      <c r="B2593">
        <v>1549018.68</v>
      </c>
    </row>
    <row r="2594" spans="1:2" x14ac:dyDescent="0.25">
      <c r="A2594" s="1">
        <v>40368</v>
      </c>
      <c r="B2594">
        <v>1577541.24</v>
      </c>
    </row>
    <row r="2595" spans="1:2" x14ac:dyDescent="0.25">
      <c r="A2595" s="1">
        <v>40375</v>
      </c>
      <c r="B2595">
        <v>1412157.02</v>
      </c>
    </row>
    <row r="2596" spans="1:2" x14ac:dyDescent="0.25">
      <c r="A2596" s="1">
        <v>40382</v>
      </c>
      <c r="B2596">
        <v>1372043.71</v>
      </c>
    </row>
    <row r="2597" spans="1:2" x14ac:dyDescent="0.25">
      <c r="A2597" s="1">
        <v>40389</v>
      </c>
      <c r="B2597">
        <v>1366395.96</v>
      </c>
    </row>
    <row r="2598" spans="1:2" x14ac:dyDescent="0.25">
      <c r="A2598" s="1">
        <v>40396</v>
      </c>
      <c r="B2598">
        <v>1492060.89</v>
      </c>
    </row>
    <row r="2599" spans="1:2" x14ac:dyDescent="0.25">
      <c r="A2599" s="1">
        <v>40403</v>
      </c>
      <c r="B2599">
        <v>1418027.08</v>
      </c>
    </row>
    <row r="2600" spans="1:2" x14ac:dyDescent="0.25">
      <c r="A2600" s="1">
        <v>40410</v>
      </c>
      <c r="B2600">
        <v>1419383.19</v>
      </c>
    </row>
    <row r="2601" spans="1:2" x14ac:dyDescent="0.25">
      <c r="A2601" s="1">
        <v>40417</v>
      </c>
      <c r="B2601">
        <v>1557888.16</v>
      </c>
    </row>
    <row r="2602" spans="1:2" x14ac:dyDescent="0.25">
      <c r="A2602" s="1">
        <v>40424</v>
      </c>
      <c r="B2602">
        <v>1623519.64</v>
      </c>
    </row>
    <row r="2603" spans="1:2" x14ac:dyDescent="0.25">
      <c r="A2603" s="1">
        <v>40431</v>
      </c>
      <c r="B2603">
        <v>1591453.39</v>
      </c>
    </row>
    <row r="2604" spans="1:2" x14ac:dyDescent="0.25">
      <c r="A2604" s="1">
        <v>40438</v>
      </c>
      <c r="B2604">
        <v>1386789.31</v>
      </c>
    </row>
    <row r="2605" spans="1:2" x14ac:dyDescent="0.25">
      <c r="A2605" s="1">
        <v>40445</v>
      </c>
      <c r="B2605">
        <v>1318343.58</v>
      </c>
    </row>
    <row r="2606" spans="1:2" x14ac:dyDescent="0.25">
      <c r="A2606" s="1">
        <v>40452</v>
      </c>
      <c r="B2606">
        <v>1379456.3</v>
      </c>
    </row>
    <row r="2607" spans="1:2" x14ac:dyDescent="0.25">
      <c r="A2607" s="1">
        <v>40459</v>
      </c>
      <c r="B2607">
        <v>1428960.72</v>
      </c>
    </row>
    <row r="2608" spans="1:2" x14ac:dyDescent="0.25">
      <c r="A2608" s="1">
        <v>40466</v>
      </c>
      <c r="B2608">
        <v>1369317.63</v>
      </c>
    </row>
    <row r="2609" spans="1:2" x14ac:dyDescent="0.25">
      <c r="A2609" s="1">
        <v>40473</v>
      </c>
      <c r="B2609">
        <v>1357154.71</v>
      </c>
    </row>
    <row r="2610" spans="1:2" x14ac:dyDescent="0.25">
      <c r="A2610" s="1">
        <v>40480</v>
      </c>
      <c r="B2610">
        <v>1404576.48</v>
      </c>
    </row>
    <row r="2611" spans="1:2" x14ac:dyDescent="0.25">
      <c r="A2611" s="1">
        <v>40487</v>
      </c>
      <c r="B2611">
        <v>1435379.25</v>
      </c>
    </row>
    <row r="2612" spans="1:2" x14ac:dyDescent="0.25">
      <c r="A2612" s="1">
        <v>40494</v>
      </c>
      <c r="B2612">
        <v>1490235.86</v>
      </c>
    </row>
    <row r="2613" spans="1:2" x14ac:dyDescent="0.25">
      <c r="A2613" s="1">
        <v>40501</v>
      </c>
      <c r="B2613">
        <v>1377593.1</v>
      </c>
    </row>
    <row r="2614" spans="1:2" x14ac:dyDescent="0.25">
      <c r="A2614" s="1">
        <v>40508</v>
      </c>
      <c r="B2614">
        <v>1993367.83</v>
      </c>
    </row>
    <row r="2615" spans="1:2" x14ac:dyDescent="0.25">
      <c r="A2615" s="1">
        <v>40515</v>
      </c>
      <c r="B2615">
        <v>1615987.96</v>
      </c>
    </row>
    <row r="2616" spans="1:2" x14ac:dyDescent="0.25">
      <c r="A2616" s="1">
        <v>40522</v>
      </c>
      <c r="B2616">
        <v>1799070.98</v>
      </c>
    </row>
    <row r="2617" spans="1:2" x14ac:dyDescent="0.25">
      <c r="A2617" s="1">
        <v>40529</v>
      </c>
      <c r="B2617">
        <v>1911967.44</v>
      </c>
    </row>
    <row r="2618" spans="1:2" x14ac:dyDescent="0.25">
      <c r="A2618" s="1">
        <v>40536</v>
      </c>
      <c r="B2618">
        <v>2678206.42</v>
      </c>
    </row>
    <row r="2619" spans="1:2" x14ac:dyDescent="0.25">
      <c r="A2619" s="1">
        <v>40543</v>
      </c>
      <c r="B2619">
        <v>1275146.94</v>
      </c>
    </row>
    <row r="2620" spans="1:2" x14ac:dyDescent="0.25">
      <c r="A2620" s="1">
        <v>40550</v>
      </c>
      <c r="B2620">
        <v>1224175.99</v>
      </c>
    </row>
    <row r="2621" spans="1:2" x14ac:dyDescent="0.25">
      <c r="A2621" s="1">
        <v>40557</v>
      </c>
      <c r="B2621">
        <v>1181204.53</v>
      </c>
    </row>
    <row r="2622" spans="1:2" x14ac:dyDescent="0.25">
      <c r="A2622" s="1">
        <v>40564</v>
      </c>
      <c r="B2622">
        <v>1212967.8400000001</v>
      </c>
    </row>
    <row r="2623" spans="1:2" x14ac:dyDescent="0.25">
      <c r="A2623" s="1">
        <v>40571</v>
      </c>
      <c r="B2623">
        <v>1284185.49</v>
      </c>
    </row>
    <row r="2624" spans="1:2" x14ac:dyDescent="0.25">
      <c r="A2624" s="1">
        <v>40578</v>
      </c>
      <c r="B2624">
        <v>1370562.11</v>
      </c>
    </row>
    <row r="2625" spans="1:2" x14ac:dyDescent="0.25">
      <c r="A2625" s="1">
        <v>40585</v>
      </c>
      <c r="B2625">
        <v>1430851.11</v>
      </c>
    </row>
    <row r="2626" spans="1:2" x14ac:dyDescent="0.25">
      <c r="A2626" s="1">
        <v>40592</v>
      </c>
      <c r="B2626">
        <v>1457270.16</v>
      </c>
    </row>
    <row r="2627" spans="1:2" x14ac:dyDescent="0.25">
      <c r="A2627" s="1">
        <v>40599</v>
      </c>
      <c r="B2627">
        <v>1296658.47</v>
      </c>
    </row>
    <row r="2628" spans="1:2" x14ac:dyDescent="0.25">
      <c r="A2628" s="1">
        <v>40606</v>
      </c>
      <c r="B2628">
        <v>1433569.44</v>
      </c>
    </row>
    <row r="2629" spans="1:2" x14ac:dyDescent="0.25">
      <c r="A2629" s="1">
        <v>40613</v>
      </c>
      <c r="B2629">
        <v>1351450.43</v>
      </c>
    </row>
    <row r="2630" spans="1:2" x14ac:dyDescent="0.25">
      <c r="A2630" s="1">
        <v>40620</v>
      </c>
      <c r="B2630">
        <v>1257972.3700000001</v>
      </c>
    </row>
    <row r="2631" spans="1:2" x14ac:dyDescent="0.25">
      <c r="A2631" s="1">
        <v>40627</v>
      </c>
      <c r="B2631">
        <v>1266564.94</v>
      </c>
    </row>
    <row r="2632" spans="1:2" x14ac:dyDescent="0.25">
      <c r="A2632" s="1">
        <v>40634</v>
      </c>
      <c r="B2632">
        <v>1305950.22</v>
      </c>
    </row>
    <row r="2633" spans="1:2" x14ac:dyDescent="0.25">
      <c r="A2633" s="1">
        <v>40641</v>
      </c>
      <c r="B2633">
        <v>1419911.91</v>
      </c>
    </row>
    <row r="2634" spans="1:2" x14ac:dyDescent="0.25">
      <c r="A2634" s="1">
        <v>40648</v>
      </c>
      <c r="B2634">
        <v>1392093.04</v>
      </c>
    </row>
    <row r="2635" spans="1:2" x14ac:dyDescent="0.25">
      <c r="A2635" s="1">
        <v>40655</v>
      </c>
      <c r="B2635">
        <v>1514288.82</v>
      </c>
    </row>
    <row r="2636" spans="1:2" x14ac:dyDescent="0.25">
      <c r="A2636" s="1">
        <v>40662</v>
      </c>
      <c r="B2636">
        <v>1297237.7</v>
      </c>
    </row>
    <row r="2637" spans="1:2" x14ac:dyDescent="0.25">
      <c r="A2637" s="1">
        <v>40669</v>
      </c>
      <c r="B2637">
        <v>1451953.95</v>
      </c>
    </row>
    <row r="2638" spans="1:2" x14ac:dyDescent="0.25">
      <c r="A2638" s="1">
        <v>40676</v>
      </c>
      <c r="B2638">
        <v>1429143.06</v>
      </c>
    </row>
    <row r="2639" spans="1:2" x14ac:dyDescent="0.25">
      <c r="A2639" s="1">
        <v>40683</v>
      </c>
      <c r="B2639">
        <v>1355234.3</v>
      </c>
    </row>
    <row r="2640" spans="1:2" x14ac:dyDescent="0.25">
      <c r="A2640" s="1">
        <v>40690</v>
      </c>
      <c r="B2640">
        <v>1388553.11</v>
      </c>
    </row>
    <row r="2641" spans="1:2" x14ac:dyDescent="0.25">
      <c r="A2641" s="1">
        <v>40697</v>
      </c>
      <c r="B2641">
        <v>1457345.75</v>
      </c>
    </row>
    <row r="2642" spans="1:2" x14ac:dyDescent="0.25">
      <c r="A2642" s="1">
        <v>40704</v>
      </c>
      <c r="B2642">
        <v>1467473.63</v>
      </c>
    </row>
    <row r="2643" spans="1:2" x14ac:dyDescent="0.25">
      <c r="A2643" s="1">
        <v>40711</v>
      </c>
      <c r="B2643">
        <v>1418973.62</v>
      </c>
    </row>
    <row r="2644" spans="1:2" x14ac:dyDescent="0.25">
      <c r="A2644" s="1">
        <v>40718</v>
      </c>
      <c r="B2644">
        <v>1440785.7</v>
      </c>
    </row>
    <row r="2645" spans="1:2" x14ac:dyDescent="0.25">
      <c r="A2645" s="1">
        <v>40725</v>
      </c>
      <c r="B2645">
        <v>1462731.93</v>
      </c>
    </row>
    <row r="2646" spans="1:2" x14ac:dyDescent="0.25">
      <c r="A2646" s="1">
        <v>40732</v>
      </c>
      <c r="B2646">
        <v>1465489.75</v>
      </c>
    </row>
    <row r="2647" spans="1:2" x14ac:dyDescent="0.25">
      <c r="A2647" s="1">
        <v>40739</v>
      </c>
      <c r="B2647">
        <v>1391580.41</v>
      </c>
    </row>
    <row r="2648" spans="1:2" x14ac:dyDescent="0.25">
      <c r="A2648" s="1">
        <v>40746</v>
      </c>
      <c r="B2648">
        <v>1377119.45</v>
      </c>
    </row>
    <row r="2649" spans="1:2" x14ac:dyDescent="0.25">
      <c r="A2649" s="1">
        <v>40753</v>
      </c>
      <c r="B2649">
        <v>1298775.8</v>
      </c>
    </row>
    <row r="2650" spans="1:2" x14ac:dyDescent="0.25">
      <c r="A2650" s="1">
        <v>40760</v>
      </c>
      <c r="B2650">
        <v>1408968.55</v>
      </c>
    </row>
    <row r="2651" spans="1:2" x14ac:dyDescent="0.25">
      <c r="A2651" s="1">
        <v>40767</v>
      </c>
      <c r="B2651">
        <v>1360969.45</v>
      </c>
    </row>
    <row r="2652" spans="1:2" x14ac:dyDescent="0.25">
      <c r="A2652" s="1">
        <v>40774</v>
      </c>
      <c r="B2652">
        <v>1391792.69</v>
      </c>
    </row>
    <row r="2653" spans="1:2" x14ac:dyDescent="0.25">
      <c r="A2653" s="1">
        <v>40781</v>
      </c>
      <c r="B2653">
        <v>1547729.24</v>
      </c>
    </row>
    <row r="2654" spans="1:2" x14ac:dyDescent="0.25">
      <c r="A2654" s="1">
        <v>40788</v>
      </c>
      <c r="B2654">
        <v>1609951.02</v>
      </c>
    </row>
    <row r="2655" spans="1:2" x14ac:dyDescent="0.25">
      <c r="A2655" s="1">
        <v>40795</v>
      </c>
      <c r="B2655">
        <v>1566712.79</v>
      </c>
    </row>
    <row r="2656" spans="1:2" x14ac:dyDescent="0.25">
      <c r="A2656" s="1">
        <v>40802</v>
      </c>
      <c r="B2656">
        <v>1365633.53</v>
      </c>
    </row>
    <row r="2657" spans="1:2" x14ac:dyDescent="0.25">
      <c r="A2657" s="1">
        <v>40809</v>
      </c>
      <c r="B2657">
        <v>1300375.76</v>
      </c>
    </row>
    <row r="2658" spans="1:2" x14ac:dyDescent="0.25">
      <c r="A2658" s="1">
        <v>40816</v>
      </c>
      <c r="B2658">
        <v>1330757.22</v>
      </c>
    </row>
    <row r="2659" spans="1:2" x14ac:dyDescent="0.25">
      <c r="A2659" s="1">
        <v>40823</v>
      </c>
      <c r="B2659">
        <v>1461718.87</v>
      </c>
    </row>
    <row r="2660" spans="1:2" x14ac:dyDescent="0.25">
      <c r="A2660" s="1">
        <v>40830</v>
      </c>
      <c r="B2660">
        <v>1318905.53</v>
      </c>
    </row>
    <row r="2661" spans="1:2" x14ac:dyDescent="0.25">
      <c r="A2661" s="1">
        <v>40837</v>
      </c>
      <c r="B2661">
        <v>1374863.1</v>
      </c>
    </row>
    <row r="2662" spans="1:2" x14ac:dyDescent="0.25">
      <c r="A2662" s="1">
        <v>40844</v>
      </c>
      <c r="B2662">
        <v>1396612.36</v>
      </c>
    </row>
    <row r="2663" spans="1:2" x14ac:dyDescent="0.25">
      <c r="A2663" s="1">
        <v>40851</v>
      </c>
      <c r="B2663">
        <v>1480289.64</v>
      </c>
    </row>
    <row r="2664" spans="1:2" x14ac:dyDescent="0.25">
      <c r="A2664" s="1">
        <v>40858</v>
      </c>
      <c r="B2664">
        <v>1502078.93</v>
      </c>
    </row>
    <row r="2665" spans="1:2" x14ac:dyDescent="0.25">
      <c r="A2665" s="1">
        <v>40865</v>
      </c>
      <c r="B2665">
        <v>1411835.57</v>
      </c>
    </row>
    <row r="2666" spans="1:2" x14ac:dyDescent="0.25">
      <c r="A2666" s="1">
        <v>40872</v>
      </c>
      <c r="B2666">
        <v>1974646.78</v>
      </c>
    </row>
    <row r="2667" spans="1:2" x14ac:dyDescent="0.25">
      <c r="A2667" s="1">
        <v>40879</v>
      </c>
      <c r="B2667">
        <v>1484708.38</v>
      </c>
    </row>
    <row r="2668" spans="1:2" x14ac:dyDescent="0.25">
      <c r="A2668" s="1">
        <v>40886</v>
      </c>
      <c r="B2668">
        <v>1713769.06</v>
      </c>
    </row>
    <row r="2669" spans="1:2" x14ac:dyDescent="0.25">
      <c r="A2669" s="1">
        <v>40893</v>
      </c>
      <c r="B2669">
        <v>1852179.15</v>
      </c>
    </row>
    <row r="2670" spans="1:2" x14ac:dyDescent="0.25">
      <c r="A2670" s="1">
        <v>40900</v>
      </c>
      <c r="B2670">
        <v>2480159.4700000002</v>
      </c>
    </row>
    <row r="2671" spans="1:2" x14ac:dyDescent="0.25">
      <c r="A2671" s="1">
        <v>40907</v>
      </c>
      <c r="B2671">
        <v>1405168.06</v>
      </c>
    </row>
    <row r="2672" spans="1:2" x14ac:dyDescent="0.25">
      <c r="A2672" s="1">
        <v>40914</v>
      </c>
      <c r="B2672">
        <v>1266570.3999999999</v>
      </c>
    </row>
    <row r="2673" spans="1:2" x14ac:dyDescent="0.25">
      <c r="A2673" s="1">
        <v>40921</v>
      </c>
      <c r="B2673">
        <v>1182198.7</v>
      </c>
    </row>
    <row r="2674" spans="1:2" x14ac:dyDescent="0.25">
      <c r="A2674" s="1">
        <v>40928</v>
      </c>
      <c r="B2674">
        <v>1237104.73</v>
      </c>
    </row>
    <row r="2675" spans="1:2" x14ac:dyDescent="0.25">
      <c r="A2675" s="1">
        <v>40935</v>
      </c>
      <c r="B2675">
        <v>1279623.26</v>
      </c>
    </row>
    <row r="2676" spans="1:2" x14ac:dyDescent="0.25">
      <c r="A2676" s="1">
        <v>40942</v>
      </c>
      <c r="B2676">
        <v>1345311.65</v>
      </c>
    </row>
    <row r="2677" spans="1:2" x14ac:dyDescent="0.25">
      <c r="A2677" s="1">
        <v>40949</v>
      </c>
      <c r="B2677">
        <v>1499496.67</v>
      </c>
    </row>
    <row r="2678" spans="1:2" x14ac:dyDescent="0.25">
      <c r="A2678" s="1">
        <v>40956</v>
      </c>
      <c r="B2678">
        <v>1424720.27</v>
      </c>
    </row>
    <row r="2679" spans="1:2" x14ac:dyDescent="0.25">
      <c r="A2679" s="1">
        <v>40963</v>
      </c>
      <c r="B2679">
        <v>1352470.09</v>
      </c>
    </row>
    <row r="2680" spans="1:2" x14ac:dyDescent="0.25">
      <c r="A2680" s="1">
        <v>40970</v>
      </c>
      <c r="B2680">
        <v>1308977.05</v>
      </c>
    </row>
    <row r="2681" spans="1:2" x14ac:dyDescent="0.25">
      <c r="A2681" s="1">
        <v>40977</v>
      </c>
      <c r="B2681">
        <v>1358816.46</v>
      </c>
    </row>
    <row r="2682" spans="1:2" x14ac:dyDescent="0.25">
      <c r="A2682" s="1">
        <v>40984</v>
      </c>
      <c r="B2682">
        <v>1312849.1000000001</v>
      </c>
    </row>
    <row r="2683" spans="1:2" x14ac:dyDescent="0.25">
      <c r="A2683" s="1">
        <v>40991</v>
      </c>
      <c r="B2683">
        <v>1342254.55</v>
      </c>
    </row>
    <row r="2684" spans="1:2" x14ac:dyDescent="0.25">
      <c r="A2684" s="1">
        <v>40998</v>
      </c>
      <c r="B2684">
        <v>1327139.3500000001</v>
      </c>
    </row>
    <row r="2685" spans="1:2" x14ac:dyDescent="0.25">
      <c r="A2685" s="1">
        <v>41005</v>
      </c>
      <c r="B2685">
        <v>1631737.68</v>
      </c>
    </row>
    <row r="2686" spans="1:2" x14ac:dyDescent="0.25">
      <c r="A2686" s="1">
        <v>41012</v>
      </c>
      <c r="B2686">
        <v>1365098.46</v>
      </c>
    </row>
    <row r="2687" spans="1:2" x14ac:dyDescent="0.25">
      <c r="A2687" s="1">
        <v>41019</v>
      </c>
      <c r="B2687">
        <v>1255087.26</v>
      </c>
    </row>
    <row r="2688" spans="1:2" x14ac:dyDescent="0.25">
      <c r="A2688" s="1">
        <v>41026</v>
      </c>
      <c r="B2688">
        <v>1285897.24</v>
      </c>
    </row>
    <row r="2689" spans="1:2" x14ac:dyDescent="0.25">
      <c r="A2689" s="1">
        <v>41033</v>
      </c>
      <c r="B2689">
        <v>1405007.44</v>
      </c>
    </row>
    <row r="2690" spans="1:2" x14ac:dyDescent="0.25">
      <c r="A2690" s="1">
        <v>41040</v>
      </c>
      <c r="B2690">
        <v>1442873.22</v>
      </c>
    </row>
    <row r="2691" spans="1:2" x14ac:dyDescent="0.25">
      <c r="A2691" s="1">
        <v>41047</v>
      </c>
      <c r="B2691">
        <v>1366937.1</v>
      </c>
    </row>
    <row r="2692" spans="1:2" x14ac:dyDescent="0.25">
      <c r="A2692" s="1">
        <v>41054</v>
      </c>
      <c r="B2692">
        <v>1485540.28</v>
      </c>
    </row>
    <row r="2693" spans="1:2" x14ac:dyDescent="0.25">
      <c r="A2693" s="1">
        <v>41061</v>
      </c>
      <c r="B2693">
        <v>1450733.29</v>
      </c>
    </row>
    <row r="2694" spans="1:2" x14ac:dyDescent="0.25">
      <c r="A2694" s="1">
        <v>41068</v>
      </c>
      <c r="B2694">
        <v>1390122.11</v>
      </c>
    </row>
    <row r="2695" spans="1:2" x14ac:dyDescent="0.25">
      <c r="A2695" s="1">
        <v>41075</v>
      </c>
      <c r="B2695">
        <v>1440263.15</v>
      </c>
    </row>
    <row r="2696" spans="1:2" x14ac:dyDescent="0.25">
      <c r="A2696" s="1">
        <v>41082</v>
      </c>
      <c r="B2696">
        <v>1468350.36</v>
      </c>
    </row>
    <row r="2697" spans="1:2" x14ac:dyDescent="0.25">
      <c r="A2697" s="1">
        <v>41089</v>
      </c>
      <c r="B2697">
        <v>1379652.65</v>
      </c>
    </row>
    <row r="2698" spans="1:2" x14ac:dyDescent="0.25">
      <c r="A2698" s="1">
        <v>41096</v>
      </c>
      <c r="B2698">
        <v>1557120.44</v>
      </c>
    </row>
    <row r="2699" spans="1:2" x14ac:dyDescent="0.25">
      <c r="A2699" s="1">
        <v>41103</v>
      </c>
      <c r="B2699">
        <v>1321741.3500000001</v>
      </c>
    </row>
    <row r="2700" spans="1:2" x14ac:dyDescent="0.25">
      <c r="A2700" s="1">
        <v>41110</v>
      </c>
      <c r="B2700">
        <v>1317672.92</v>
      </c>
    </row>
    <row r="2701" spans="1:2" x14ac:dyDescent="0.25">
      <c r="A2701" s="1">
        <v>41117</v>
      </c>
      <c r="B2701">
        <v>1248915.43</v>
      </c>
    </row>
    <row r="2702" spans="1:2" x14ac:dyDescent="0.25">
      <c r="A2702" s="1">
        <v>41124</v>
      </c>
      <c r="B2702">
        <v>1342123.78</v>
      </c>
    </row>
    <row r="2703" spans="1:2" x14ac:dyDescent="0.25">
      <c r="A2703" s="1">
        <v>41131</v>
      </c>
      <c r="B2703">
        <v>1408907.89</v>
      </c>
    </row>
    <row r="2704" spans="1:2" x14ac:dyDescent="0.25">
      <c r="A2704" s="1">
        <v>41138</v>
      </c>
      <c r="B2704">
        <v>1375101.26</v>
      </c>
    </row>
    <row r="2705" spans="1:2" x14ac:dyDescent="0.25">
      <c r="A2705" s="1">
        <v>41145</v>
      </c>
      <c r="B2705">
        <v>1544653.37</v>
      </c>
    </row>
    <row r="2706" spans="1:2" x14ac:dyDescent="0.25">
      <c r="A2706" s="1">
        <v>41152</v>
      </c>
      <c r="B2706">
        <v>1542719.87</v>
      </c>
    </row>
    <row r="2707" spans="1:2" x14ac:dyDescent="0.25">
      <c r="A2707" s="1">
        <v>41159</v>
      </c>
      <c r="B2707">
        <v>1497073.82</v>
      </c>
    </row>
    <row r="2708" spans="1:2" x14ac:dyDescent="0.25">
      <c r="A2708" s="1">
        <v>41166</v>
      </c>
      <c r="B2708">
        <v>1370653.41</v>
      </c>
    </row>
    <row r="2709" spans="1:2" x14ac:dyDescent="0.25">
      <c r="A2709" s="1">
        <v>41173</v>
      </c>
      <c r="B2709">
        <v>1338572.29</v>
      </c>
    </row>
    <row r="2710" spans="1:2" x14ac:dyDescent="0.25">
      <c r="A2710" s="1">
        <v>41180</v>
      </c>
      <c r="B2710">
        <v>1338299.02</v>
      </c>
    </row>
    <row r="2711" spans="1:2" x14ac:dyDescent="0.25">
      <c r="A2711" s="1">
        <v>41187</v>
      </c>
      <c r="B2711">
        <v>1408016.1</v>
      </c>
    </row>
    <row r="2712" spans="1:2" x14ac:dyDescent="0.25">
      <c r="A2712" s="1">
        <v>41194</v>
      </c>
      <c r="B2712">
        <v>1352809.5</v>
      </c>
    </row>
    <row r="2713" spans="1:2" x14ac:dyDescent="0.25">
      <c r="A2713" s="1">
        <v>41201</v>
      </c>
      <c r="B2713">
        <v>1321102.3500000001</v>
      </c>
    </row>
    <row r="2714" spans="1:2" x14ac:dyDescent="0.25">
      <c r="A2714" s="1">
        <v>41208</v>
      </c>
      <c r="B2714">
        <v>1322117.96</v>
      </c>
    </row>
    <row r="2715" spans="1:2" x14ac:dyDescent="0.25">
      <c r="A2715" s="1">
        <v>40214</v>
      </c>
      <c r="B2715">
        <v>2401395.4700000002</v>
      </c>
    </row>
    <row r="2716" spans="1:2" x14ac:dyDescent="0.25">
      <c r="A2716" s="1">
        <v>40221</v>
      </c>
      <c r="B2716">
        <v>2109107.9</v>
      </c>
    </row>
    <row r="2717" spans="1:2" x14ac:dyDescent="0.25">
      <c r="A2717" s="1">
        <v>40228</v>
      </c>
      <c r="B2717">
        <v>2161549.7599999998</v>
      </c>
    </row>
    <row r="2718" spans="1:2" x14ac:dyDescent="0.25">
      <c r="A2718" s="1">
        <v>40235</v>
      </c>
      <c r="B2718">
        <v>1898193.95</v>
      </c>
    </row>
    <row r="2719" spans="1:2" x14ac:dyDescent="0.25">
      <c r="A2719" s="1">
        <v>40242</v>
      </c>
      <c r="B2719">
        <v>2119213.7200000002</v>
      </c>
    </row>
    <row r="2720" spans="1:2" x14ac:dyDescent="0.25">
      <c r="A2720" s="1">
        <v>40249</v>
      </c>
      <c r="B2720">
        <v>2010974.84</v>
      </c>
    </row>
    <row r="2721" spans="1:2" x14ac:dyDescent="0.25">
      <c r="A2721" s="1">
        <v>40256</v>
      </c>
      <c r="B2721">
        <v>1951848.43</v>
      </c>
    </row>
    <row r="2722" spans="1:2" x14ac:dyDescent="0.25">
      <c r="A2722" s="1">
        <v>40263</v>
      </c>
      <c r="B2722">
        <v>1894742.95</v>
      </c>
    </row>
    <row r="2723" spans="1:2" x14ac:dyDescent="0.25">
      <c r="A2723" s="1">
        <v>40270</v>
      </c>
      <c r="B2723">
        <v>2405395.2200000002</v>
      </c>
    </row>
    <row r="2724" spans="1:2" x14ac:dyDescent="0.25">
      <c r="A2724" s="1">
        <v>40277</v>
      </c>
      <c r="B2724">
        <v>2007796.26</v>
      </c>
    </row>
    <row r="2725" spans="1:2" x14ac:dyDescent="0.25">
      <c r="A2725" s="1">
        <v>40284</v>
      </c>
      <c r="B2725">
        <v>1985784.59</v>
      </c>
    </row>
    <row r="2726" spans="1:2" x14ac:dyDescent="0.25">
      <c r="A2726" s="1">
        <v>40291</v>
      </c>
      <c r="B2726">
        <v>1878862.42</v>
      </c>
    </row>
    <row r="2727" spans="1:2" x14ac:dyDescent="0.25">
      <c r="A2727" s="1">
        <v>40298</v>
      </c>
      <c r="B2727">
        <v>1919053.21</v>
      </c>
    </row>
    <row r="2728" spans="1:2" x14ac:dyDescent="0.25">
      <c r="A2728" s="1">
        <v>40305</v>
      </c>
      <c r="B2728">
        <v>2137202.38</v>
      </c>
    </row>
    <row r="2729" spans="1:2" x14ac:dyDescent="0.25">
      <c r="A2729" s="1">
        <v>40312</v>
      </c>
      <c r="B2729">
        <v>2033211.62</v>
      </c>
    </row>
    <row r="2730" spans="1:2" x14ac:dyDescent="0.25">
      <c r="A2730" s="1">
        <v>40319</v>
      </c>
      <c r="B2730">
        <v>1893736.9</v>
      </c>
    </row>
    <row r="2731" spans="1:2" x14ac:dyDescent="0.25">
      <c r="A2731" s="1">
        <v>40326</v>
      </c>
      <c r="B2731">
        <v>2065984.95</v>
      </c>
    </row>
    <row r="2732" spans="1:2" x14ac:dyDescent="0.25">
      <c r="A2732" s="1">
        <v>40333</v>
      </c>
      <c r="B2732">
        <v>2203619.35</v>
      </c>
    </row>
    <row r="2733" spans="1:2" x14ac:dyDescent="0.25">
      <c r="A2733" s="1">
        <v>40340</v>
      </c>
      <c r="B2733">
        <v>2100489.79</v>
      </c>
    </row>
    <row r="2734" spans="1:2" x14ac:dyDescent="0.25">
      <c r="A2734" s="1">
        <v>40347</v>
      </c>
      <c r="B2734">
        <v>2091903.63</v>
      </c>
    </row>
    <row r="2735" spans="1:2" x14ac:dyDescent="0.25">
      <c r="A2735" s="1">
        <v>40354</v>
      </c>
      <c r="B2735">
        <v>1973135.87</v>
      </c>
    </row>
    <row r="2736" spans="1:2" x14ac:dyDescent="0.25">
      <c r="A2736" s="1">
        <v>40361</v>
      </c>
      <c r="B2736">
        <v>2143676.77</v>
      </c>
    </row>
    <row r="2737" spans="1:2" x14ac:dyDescent="0.25">
      <c r="A2737" s="1">
        <v>40368</v>
      </c>
      <c r="B2737">
        <v>2107285.85</v>
      </c>
    </row>
    <row r="2738" spans="1:2" x14ac:dyDescent="0.25">
      <c r="A2738" s="1">
        <v>40375</v>
      </c>
      <c r="B2738">
        <v>2031852.16</v>
      </c>
    </row>
    <row r="2739" spans="1:2" x14ac:dyDescent="0.25">
      <c r="A2739" s="1">
        <v>40382</v>
      </c>
      <c r="B2739">
        <v>1900535.9</v>
      </c>
    </row>
    <row r="2740" spans="1:2" x14ac:dyDescent="0.25">
      <c r="A2740" s="1">
        <v>40389</v>
      </c>
      <c r="B2740">
        <v>1955896.59</v>
      </c>
    </row>
    <row r="2741" spans="1:2" x14ac:dyDescent="0.25">
      <c r="A2741" s="1">
        <v>40396</v>
      </c>
      <c r="B2741">
        <v>1910177.38</v>
      </c>
    </row>
    <row r="2742" spans="1:2" x14ac:dyDescent="0.25">
      <c r="A2742" s="1">
        <v>40403</v>
      </c>
      <c r="B2742">
        <v>2071022.45</v>
      </c>
    </row>
    <row r="2743" spans="1:2" x14ac:dyDescent="0.25">
      <c r="A2743" s="1">
        <v>40410</v>
      </c>
      <c r="B2743">
        <v>1975374.56</v>
      </c>
    </row>
    <row r="2744" spans="1:2" x14ac:dyDescent="0.25">
      <c r="A2744" s="1">
        <v>40417</v>
      </c>
      <c r="B2744">
        <v>1946369.57</v>
      </c>
    </row>
    <row r="2745" spans="1:2" x14ac:dyDescent="0.25">
      <c r="A2745" s="1">
        <v>40424</v>
      </c>
      <c r="B2745">
        <v>2121561.41</v>
      </c>
    </row>
    <row r="2746" spans="1:2" x14ac:dyDescent="0.25">
      <c r="A2746" s="1">
        <v>40431</v>
      </c>
      <c r="B2746">
        <v>2014954.79</v>
      </c>
    </row>
    <row r="2747" spans="1:2" x14ac:dyDescent="0.25">
      <c r="A2747" s="1">
        <v>40438</v>
      </c>
      <c r="B2747">
        <v>1948359.78</v>
      </c>
    </row>
    <row r="2748" spans="1:2" x14ac:dyDescent="0.25">
      <c r="A2748" s="1">
        <v>40445</v>
      </c>
      <c r="B2748">
        <v>1789687.65</v>
      </c>
    </row>
    <row r="2749" spans="1:2" x14ac:dyDescent="0.25">
      <c r="A2749" s="1">
        <v>40452</v>
      </c>
      <c r="B2749">
        <v>1933719.21</v>
      </c>
    </row>
    <row r="2750" spans="1:2" x14ac:dyDescent="0.25">
      <c r="A2750" s="1">
        <v>40459</v>
      </c>
      <c r="B2750">
        <v>2060389.27</v>
      </c>
    </row>
    <row r="2751" spans="1:2" x14ac:dyDescent="0.25">
      <c r="A2751" s="1">
        <v>40466</v>
      </c>
      <c r="B2751">
        <v>1950676.39</v>
      </c>
    </row>
    <row r="2752" spans="1:2" x14ac:dyDescent="0.25">
      <c r="A2752" s="1">
        <v>40473</v>
      </c>
      <c r="B2752">
        <v>1893955.27</v>
      </c>
    </row>
    <row r="2753" spans="1:2" x14ac:dyDescent="0.25">
      <c r="A2753" s="1">
        <v>40480</v>
      </c>
      <c r="B2753">
        <v>1891816</v>
      </c>
    </row>
    <row r="2754" spans="1:2" x14ac:dyDescent="0.25">
      <c r="A2754" s="1">
        <v>40487</v>
      </c>
      <c r="B2754">
        <v>2184316.64</v>
      </c>
    </row>
    <row r="2755" spans="1:2" x14ac:dyDescent="0.25">
      <c r="A2755" s="1">
        <v>40494</v>
      </c>
      <c r="B2755">
        <v>2187765.2799999998</v>
      </c>
    </row>
    <row r="2756" spans="1:2" x14ac:dyDescent="0.25">
      <c r="A2756" s="1">
        <v>40501</v>
      </c>
      <c r="B2756">
        <v>2105058.91</v>
      </c>
    </row>
    <row r="2757" spans="1:2" x14ac:dyDescent="0.25">
      <c r="A2757" s="1">
        <v>40508</v>
      </c>
      <c r="B2757">
        <v>2811634.04</v>
      </c>
    </row>
    <row r="2758" spans="1:2" x14ac:dyDescent="0.25">
      <c r="A2758" s="1">
        <v>40515</v>
      </c>
      <c r="B2758">
        <v>2416051.17</v>
      </c>
    </row>
    <row r="2759" spans="1:2" x14ac:dyDescent="0.25">
      <c r="A2759" s="1">
        <v>40522</v>
      </c>
      <c r="B2759">
        <v>2752122.08</v>
      </c>
    </row>
    <row r="2760" spans="1:2" x14ac:dyDescent="0.25">
      <c r="A2760" s="1">
        <v>40529</v>
      </c>
      <c r="B2760">
        <v>2819193.17</v>
      </c>
    </row>
    <row r="2761" spans="1:2" x14ac:dyDescent="0.25">
      <c r="A2761" s="1">
        <v>40536</v>
      </c>
      <c r="B2761">
        <v>3766687.43</v>
      </c>
    </row>
    <row r="2762" spans="1:2" x14ac:dyDescent="0.25">
      <c r="A2762" s="1">
        <v>40543</v>
      </c>
      <c r="B2762">
        <v>1799737.79</v>
      </c>
    </row>
    <row r="2763" spans="1:2" x14ac:dyDescent="0.25">
      <c r="A2763" s="1">
        <v>40550</v>
      </c>
      <c r="B2763">
        <v>1843030.95</v>
      </c>
    </row>
    <row r="2764" spans="1:2" x14ac:dyDescent="0.25">
      <c r="A2764" s="1">
        <v>40557</v>
      </c>
      <c r="B2764">
        <v>1884345.01</v>
      </c>
    </row>
    <row r="2765" spans="1:2" x14ac:dyDescent="0.25">
      <c r="A2765" s="1">
        <v>40564</v>
      </c>
      <c r="B2765">
        <v>1781805.66</v>
      </c>
    </row>
    <row r="2766" spans="1:2" x14ac:dyDescent="0.25">
      <c r="A2766" s="1">
        <v>40571</v>
      </c>
      <c r="B2766">
        <v>1761506.68</v>
      </c>
    </row>
    <row r="2767" spans="1:2" x14ac:dyDescent="0.25">
      <c r="A2767" s="1">
        <v>40578</v>
      </c>
      <c r="B2767">
        <v>2351143.0699999998</v>
      </c>
    </row>
    <row r="2768" spans="1:2" x14ac:dyDescent="0.25">
      <c r="A2768" s="1">
        <v>40585</v>
      </c>
      <c r="B2768">
        <v>2211388.14</v>
      </c>
    </row>
    <row r="2769" spans="1:2" x14ac:dyDescent="0.25">
      <c r="A2769" s="1">
        <v>40592</v>
      </c>
      <c r="B2769">
        <v>2258616.2400000002</v>
      </c>
    </row>
    <row r="2770" spans="1:2" x14ac:dyDescent="0.25">
      <c r="A2770" s="1">
        <v>40599</v>
      </c>
      <c r="B2770">
        <v>1938608.52</v>
      </c>
    </row>
    <row r="2771" spans="1:2" x14ac:dyDescent="0.25">
      <c r="A2771" s="1">
        <v>40606</v>
      </c>
      <c r="B2771">
        <v>2143424.61</v>
      </c>
    </row>
    <row r="2772" spans="1:2" x14ac:dyDescent="0.25">
      <c r="A2772" s="1">
        <v>40613</v>
      </c>
      <c r="B2772">
        <v>1990932.77</v>
      </c>
    </row>
    <row r="2773" spans="1:2" x14ac:dyDescent="0.25">
      <c r="A2773" s="1">
        <v>40620</v>
      </c>
      <c r="B2773">
        <v>1931668.64</v>
      </c>
    </row>
    <row r="2774" spans="1:2" x14ac:dyDescent="0.25">
      <c r="A2774" s="1">
        <v>40627</v>
      </c>
      <c r="B2774">
        <v>1824711.21</v>
      </c>
    </row>
    <row r="2775" spans="1:2" x14ac:dyDescent="0.25">
      <c r="A2775" s="1">
        <v>40634</v>
      </c>
      <c r="B2775">
        <v>1927993.09</v>
      </c>
    </row>
    <row r="2776" spans="1:2" x14ac:dyDescent="0.25">
      <c r="A2776" s="1">
        <v>40641</v>
      </c>
      <c r="B2776">
        <v>2027056.39</v>
      </c>
    </row>
    <row r="2777" spans="1:2" x14ac:dyDescent="0.25">
      <c r="A2777" s="1">
        <v>40648</v>
      </c>
      <c r="B2777">
        <v>2057406.33</v>
      </c>
    </row>
    <row r="2778" spans="1:2" x14ac:dyDescent="0.25">
      <c r="A2778" s="1">
        <v>40655</v>
      </c>
      <c r="B2778">
        <v>2313861.81</v>
      </c>
    </row>
    <row r="2779" spans="1:2" x14ac:dyDescent="0.25">
      <c r="A2779" s="1">
        <v>40662</v>
      </c>
      <c r="B2779">
        <v>1881788.19</v>
      </c>
    </row>
    <row r="2780" spans="1:2" x14ac:dyDescent="0.25">
      <c r="A2780" s="1">
        <v>40669</v>
      </c>
      <c r="B2780">
        <v>2090838.44</v>
      </c>
    </row>
    <row r="2781" spans="1:2" x14ac:dyDescent="0.25">
      <c r="A2781" s="1">
        <v>40676</v>
      </c>
      <c r="B2781">
        <v>2036748.53</v>
      </c>
    </row>
    <row r="2782" spans="1:2" x14ac:dyDescent="0.25">
      <c r="A2782" s="1">
        <v>40683</v>
      </c>
      <c r="B2782">
        <v>1953416.06</v>
      </c>
    </row>
    <row r="2783" spans="1:2" x14ac:dyDescent="0.25">
      <c r="A2783" s="1">
        <v>40690</v>
      </c>
      <c r="B2783">
        <v>1944433.17</v>
      </c>
    </row>
    <row r="2784" spans="1:2" x14ac:dyDescent="0.25">
      <c r="A2784" s="1">
        <v>40697</v>
      </c>
      <c r="B2784">
        <v>2182246.69</v>
      </c>
    </row>
    <row r="2785" spans="1:2" x14ac:dyDescent="0.25">
      <c r="A2785" s="1">
        <v>40704</v>
      </c>
      <c r="B2785">
        <v>2135062.04</v>
      </c>
    </row>
    <row r="2786" spans="1:2" x14ac:dyDescent="0.25">
      <c r="A2786" s="1">
        <v>40711</v>
      </c>
      <c r="B2786">
        <v>2065191.27</v>
      </c>
    </row>
    <row r="2787" spans="1:2" x14ac:dyDescent="0.25">
      <c r="A2787" s="1">
        <v>40718</v>
      </c>
      <c r="B2787">
        <v>1950826.32</v>
      </c>
    </row>
    <row r="2788" spans="1:2" x14ac:dyDescent="0.25">
      <c r="A2788" s="1">
        <v>40725</v>
      </c>
      <c r="B2788">
        <v>2053165.41</v>
      </c>
    </row>
    <row r="2789" spans="1:2" x14ac:dyDescent="0.25">
      <c r="A2789" s="1">
        <v>40732</v>
      </c>
      <c r="B2789">
        <v>2123787.79</v>
      </c>
    </row>
    <row r="2790" spans="1:2" x14ac:dyDescent="0.25">
      <c r="A2790" s="1">
        <v>40739</v>
      </c>
      <c r="B2790">
        <v>2039875.75</v>
      </c>
    </row>
    <row r="2791" spans="1:2" x14ac:dyDescent="0.25">
      <c r="A2791" s="1">
        <v>40746</v>
      </c>
      <c r="B2791">
        <v>1950904.84</v>
      </c>
    </row>
    <row r="2792" spans="1:2" x14ac:dyDescent="0.25">
      <c r="A2792" s="1">
        <v>40753</v>
      </c>
      <c r="B2792">
        <v>1858440.92</v>
      </c>
    </row>
    <row r="2793" spans="1:2" x14ac:dyDescent="0.25">
      <c r="A2793" s="1">
        <v>40760</v>
      </c>
      <c r="B2793">
        <v>2189353.63</v>
      </c>
    </row>
    <row r="2794" spans="1:2" x14ac:dyDescent="0.25">
      <c r="A2794" s="1">
        <v>40767</v>
      </c>
      <c r="B2794">
        <v>2052246.4</v>
      </c>
    </row>
    <row r="2795" spans="1:2" x14ac:dyDescent="0.25">
      <c r="A2795" s="1">
        <v>40774</v>
      </c>
      <c r="B2795">
        <v>1990017.93</v>
      </c>
    </row>
    <row r="2796" spans="1:2" x14ac:dyDescent="0.25">
      <c r="A2796" s="1">
        <v>40781</v>
      </c>
      <c r="B2796">
        <v>1933577.2</v>
      </c>
    </row>
    <row r="2797" spans="1:2" x14ac:dyDescent="0.25">
      <c r="A2797" s="1">
        <v>40788</v>
      </c>
      <c r="B2797">
        <v>2141765.98</v>
      </c>
    </row>
    <row r="2798" spans="1:2" x14ac:dyDescent="0.25">
      <c r="A2798" s="1">
        <v>40795</v>
      </c>
      <c r="B2798">
        <v>2050542.56</v>
      </c>
    </row>
    <row r="2799" spans="1:2" x14ac:dyDescent="0.25">
      <c r="A2799" s="1">
        <v>40802</v>
      </c>
      <c r="B2799">
        <v>1979009.46</v>
      </c>
    </row>
    <row r="2800" spans="1:2" x14ac:dyDescent="0.25">
      <c r="A2800" s="1">
        <v>40809</v>
      </c>
      <c r="B2800">
        <v>1888119.7</v>
      </c>
    </row>
    <row r="2801" spans="1:2" x14ac:dyDescent="0.25">
      <c r="A2801" s="1">
        <v>40816</v>
      </c>
      <c r="B2801">
        <v>1945808.26</v>
      </c>
    </row>
    <row r="2802" spans="1:2" x14ac:dyDescent="0.25">
      <c r="A2802" s="1">
        <v>40823</v>
      </c>
      <c r="B2802">
        <v>2135982.79</v>
      </c>
    </row>
    <row r="2803" spans="1:2" x14ac:dyDescent="0.25">
      <c r="A2803" s="1">
        <v>40830</v>
      </c>
      <c r="B2803">
        <v>2010107.68</v>
      </c>
    </row>
    <row r="2804" spans="1:2" x14ac:dyDescent="0.25">
      <c r="A2804" s="1">
        <v>40837</v>
      </c>
      <c r="B2804">
        <v>2104241.9</v>
      </c>
    </row>
    <row r="2805" spans="1:2" x14ac:dyDescent="0.25">
      <c r="A2805" s="1">
        <v>40844</v>
      </c>
      <c r="B2805">
        <v>2065421.52</v>
      </c>
    </row>
    <row r="2806" spans="1:2" x14ac:dyDescent="0.25">
      <c r="A2806" s="1">
        <v>40851</v>
      </c>
      <c r="B2806">
        <v>2284106.6</v>
      </c>
    </row>
    <row r="2807" spans="1:2" x14ac:dyDescent="0.25">
      <c r="A2807" s="1">
        <v>40858</v>
      </c>
      <c r="B2807">
        <v>2269975.85</v>
      </c>
    </row>
    <row r="2808" spans="1:2" x14ac:dyDescent="0.25">
      <c r="A2808" s="1">
        <v>40865</v>
      </c>
      <c r="B2808">
        <v>2169933.8199999998</v>
      </c>
    </row>
    <row r="2809" spans="1:2" x14ac:dyDescent="0.25">
      <c r="A2809" s="1">
        <v>40872</v>
      </c>
      <c r="B2809">
        <v>2906233.25</v>
      </c>
    </row>
    <row r="2810" spans="1:2" x14ac:dyDescent="0.25">
      <c r="A2810" s="1">
        <v>40879</v>
      </c>
      <c r="B2810">
        <v>2298776.83</v>
      </c>
    </row>
    <row r="2811" spans="1:2" x14ac:dyDescent="0.25">
      <c r="A2811" s="1">
        <v>40886</v>
      </c>
      <c r="B2811">
        <v>2546123.7799999998</v>
      </c>
    </row>
    <row r="2812" spans="1:2" x14ac:dyDescent="0.25">
      <c r="A2812" s="1">
        <v>40893</v>
      </c>
      <c r="B2812">
        <v>2762816.65</v>
      </c>
    </row>
    <row r="2813" spans="1:2" x14ac:dyDescent="0.25">
      <c r="A2813" s="1">
        <v>40900</v>
      </c>
      <c r="B2813">
        <v>3555371.03</v>
      </c>
    </row>
    <row r="2814" spans="1:2" x14ac:dyDescent="0.25">
      <c r="A2814" s="1">
        <v>40907</v>
      </c>
      <c r="B2814">
        <v>2043245</v>
      </c>
    </row>
    <row r="2815" spans="1:2" x14ac:dyDescent="0.25">
      <c r="A2815" s="1">
        <v>40914</v>
      </c>
      <c r="B2815">
        <v>1964701.94</v>
      </c>
    </row>
    <row r="2816" spans="1:2" x14ac:dyDescent="0.25">
      <c r="A2816" s="1">
        <v>40921</v>
      </c>
      <c r="B2816">
        <v>1911510.64</v>
      </c>
    </row>
    <row r="2817" spans="1:2" x14ac:dyDescent="0.25">
      <c r="A2817" s="1">
        <v>40928</v>
      </c>
      <c r="B2817">
        <v>1892775.94</v>
      </c>
    </row>
    <row r="2818" spans="1:2" x14ac:dyDescent="0.25">
      <c r="A2818" s="1">
        <v>40935</v>
      </c>
      <c r="B2818">
        <v>1761016.51</v>
      </c>
    </row>
    <row r="2819" spans="1:2" x14ac:dyDescent="0.25">
      <c r="A2819" s="1">
        <v>40942</v>
      </c>
      <c r="B2819">
        <v>2203523.2000000002</v>
      </c>
    </row>
    <row r="2820" spans="1:2" x14ac:dyDescent="0.25">
      <c r="A2820" s="1">
        <v>40949</v>
      </c>
      <c r="B2820">
        <v>2462978.2799999998</v>
      </c>
    </row>
    <row r="2821" spans="1:2" x14ac:dyDescent="0.25">
      <c r="A2821" s="1">
        <v>40956</v>
      </c>
      <c r="B2821">
        <v>2309025.16</v>
      </c>
    </row>
    <row r="2822" spans="1:2" x14ac:dyDescent="0.25">
      <c r="A2822" s="1">
        <v>40963</v>
      </c>
      <c r="B2822">
        <v>2045837.55</v>
      </c>
    </row>
    <row r="2823" spans="1:2" x14ac:dyDescent="0.25">
      <c r="A2823" s="1">
        <v>40970</v>
      </c>
      <c r="B2823">
        <v>2148822.7599999998</v>
      </c>
    </row>
    <row r="2824" spans="1:2" x14ac:dyDescent="0.25">
      <c r="A2824" s="1">
        <v>40977</v>
      </c>
      <c r="B2824">
        <v>2139265.4</v>
      </c>
    </row>
    <row r="2825" spans="1:2" x14ac:dyDescent="0.25">
      <c r="A2825" s="1">
        <v>40984</v>
      </c>
      <c r="B2825">
        <v>2064991.71</v>
      </c>
    </row>
    <row r="2826" spans="1:2" x14ac:dyDescent="0.25">
      <c r="A2826" s="1">
        <v>40991</v>
      </c>
      <c r="B2826">
        <v>1992436.96</v>
      </c>
    </row>
    <row r="2827" spans="1:2" x14ac:dyDescent="0.25">
      <c r="A2827" s="1">
        <v>40998</v>
      </c>
      <c r="B2827">
        <v>2074721.74</v>
      </c>
    </row>
    <row r="2828" spans="1:2" x14ac:dyDescent="0.25">
      <c r="A2828" s="1">
        <v>41005</v>
      </c>
      <c r="B2828">
        <v>2565259.92</v>
      </c>
    </row>
    <row r="2829" spans="1:2" x14ac:dyDescent="0.25">
      <c r="A2829" s="1">
        <v>41012</v>
      </c>
      <c r="B2829">
        <v>2045396.06</v>
      </c>
    </row>
    <row r="2830" spans="1:2" x14ac:dyDescent="0.25">
      <c r="A2830" s="1">
        <v>41019</v>
      </c>
      <c r="B2830">
        <v>1884427.84</v>
      </c>
    </row>
    <row r="2831" spans="1:2" x14ac:dyDescent="0.25">
      <c r="A2831" s="1">
        <v>41026</v>
      </c>
      <c r="B2831">
        <v>1886503.93</v>
      </c>
    </row>
    <row r="2832" spans="1:2" x14ac:dyDescent="0.25">
      <c r="A2832" s="1">
        <v>41033</v>
      </c>
      <c r="B2832">
        <v>2163510.89</v>
      </c>
    </row>
    <row r="2833" spans="1:2" x14ac:dyDescent="0.25">
      <c r="A2833" s="1">
        <v>41040</v>
      </c>
      <c r="B2833">
        <v>2168097.11</v>
      </c>
    </row>
    <row r="2834" spans="1:2" x14ac:dyDescent="0.25">
      <c r="A2834" s="1">
        <v>41047</v>
      </c>
      <c r="B2834">
        <v>2039222.26</v>
      </c>
    </row>
    <row r="2835" spans="1:2" x14ac:dyDescent="0.25">
      <c r="A2835" s="1">
        <v>41054</v>
      </c>
      <c r="B2835">
        <v>2114989</v>
      </c>
    </row>
    <row r="2836" spans="1:2" x14ac:dyDescent="0.25">
      <c r="A2836" s="1">
        <v>41061</v>
      </c>
      <c r="B2836">
        <v>2143126.59</v>
      </c>
    </row>
    <row r="2837" spans="1:2" x14ac:dyDescent="0.25">
      <c r="A2837" s="1">
        <v>41068</v>
      </c>
      <c r="B2837">
        <v>2231962.13</v>
      </c>
    </row>
    <row r="2838" spans="1:2" x14ac:dyDescent="0.25">
      <c r="A2838" s="1">
        <v>41075</v>
      </c>
      <c r="B2838">
        <v>2165160.29</v>
      </c>
    </row>
    <row r="2839" spans="1:2" x14ac:dyDescent="0.25">
      <c r="A2839" s="1">
        <v>41082</v>
      </c>
      <c r="B2839">
        <v>2060588.69</v>
      </c>
    </row>
    <row r="2840" spans="1:2" x14ac:dyDescent="0.25">
      <c r="A2840" s="1">
        <v>41089</v>
      </c>
      <c r="B2840">
        <v>2055952.61</v>
      </c>
    </row>
    <row r="2841" spans="1:2" x14ac:dyDescent="0.25">
      <c r="A2841" s="1">
        <v>41096</v>
      </c>
      <c r="B2841">
        <v>2358055.2999999998</v>
      </c>
    </row>
    <row r="2842" spans="1:2" x14ac:dyDescent="0.25">
      <c r="A2842" s="1">
        <v>41103</v>
      </c>
      <c r="B2842">
        <v>2134680.12</v>
      </c>
    </row>
    <row r="2843" spans="1:2" x14ac:dyDescent="0.25">
      <c r="A2843" s="1">
        <v>41110</v>
      </c>
      <c r="B2843">
        <v>1970170.29</v>
      </c>
    </row>
    <row r="2844" spans="1:2" x14ac:dyDescent="0.25">
      <c r="A2844" s="1">
        <v>41117</v>
      </c>
      <c r="B2844">
        <v>1911559.1</v>
      </c>
    </row>
    <row r="2845" spans="1:2" x14ac:dyDescent="0.25">
      <c r="A2845" s="1">
        <v>41124</v>
      </c>
      <c r="B2845">
        <v>2094515.71</v>
      </c>
    </row>
    <row r="2846" spans="1:2" x14ac:dyDescent="0.25">
      <c r="A2846" s="1">
        <v>41131</v>
      </c>
      <c r="B2846">
        <v>2144245.39</v>
      </c>
    </row>
    <row r="2847" spans="1:2" x14ac:dyDescent="0.25">
      <c r="A2847" s="1">
        <v>41138</v>
      </c>
      <c r="B2847">
        <v>2045061.22</v>
      </c>
    </row>
    <row r="2848" spans="1:2" x14ac:dyDescent="0.25">
      <c r="A2848" s="1">
        <v>41145</v>
      </c>
      <c r="B2848">
        <v>2005341.43</v>
      </c>
    </row>
    <row r="2849" spans="1:2" x14ac:dyDescent="0.25">
      <c r="A2849" s="1">
        <v>41152</v>
      </c>
      <c r="B2849">
        <v>2062481.56</v>
      </c>
    </row>
    <row r="2850" spans="1:2" x14ac:dyDescent="0.25">
      <c r="A2850" s="1">
        <v>41159</v>
      </c>
      <c r="B2850">
        <v>2080529.06</v>
      </c>
    </row>
    <row r="2851" spans="1:2" x14ac:dyDescent="0.25">
      <c r="A2851" s="1">
        <v>41166</v>
      </c>
      <c r="B2851">
        <v>2047949.98</v>
      </c>
    </row>
    <row r="2852" spans="1:2" x14ac:dyDescent="0.25">
      <c r="A2852" s="1">
        <v>41173</v>
      </c>
      <c r="B2852">
        <v>2028587.24</v>
      </c>
    </row>
    <row r="2853" spans="1:2" x14ac:dyDescent="0.25">
      <c r="A2853" s="1">
        <v>41180</v>
      </c>
      <c r="B2853">
        <v>2008350.58</v>
      </c>
    </row>
    <row r="2854" spans="1:2" x14ac:dyDescent="0.25">
      <c r="A2854" s="1">
        <v>41187</v>
      </c>
      <c r="B2854">
        <v>2246411.89</v>
      </c>
    </row>
    <row r="2855" spans="1:2" x14ac:dyDescent="0.25">
      <c r="A2855" s="1">
        <v>41194</v>
      </c>
      <c r="B2855">
        <v>2162951.36</v>
      </c>
    </row>
    <row r="2856" spans="1:2" x14ac:dyDescent="0.25">
      <c r="A2856" s="1">
        <v>41201</v>
      </c>
      <c r="B2856">
        <v>1999363.49</v>
      </c>
    </row>
    <row r="2857" spans="1:2" x14ac:dyDescent="0.25">
      <c r="A2857" s="1">
        <v>41208</v>
      </c>
      <c r="B2857">
        <v>2031650.55</v>
      </c>
    </row>
    <row r="2858" spans="1:2" x14ac:dyDescent="0.25">
      <c r="A2858" s="1">
        <v>40214</v>
      </c>
      <c r="B2858">
        <v>798593.88</v>
      </c>
    </row>
    <row r="2859" spans="1:2" x14ac:dyDescent="0.25">
      <c r="A2859" s="1">
        <v>40221</v>
      </c>
      <c r="B2859">
        <v>809321.44</v>
      </c>
    </row>
    <row r="2860" spans="1:2" x14ac:dyDescent="0.25">
      <c r="A2860" s="1">
        <v>40228</v>
      </c>
      <c r="B2860">
        <v>867283.25</v>
      </c>
    </row>
    <row r="2861" spans="1:2" x14ac:dyDescent="0.25">
      <c r="A2861" s="1">
        <v>40235</v>
      </c>
      <c r="B2861">
        <v>749597.24</v>
      </c>
    </row>
    <row r="2862" spans="1:2" x14ac:dyDescent="0.25">
      <c r="A2862" s="1">
        <v>40242</v>
      </c>
      <c r="B2862">
        <v>747444.32</v>
      </c>
    </row>
    <row r="2863" spans="1:2" x14ac:dyDescent="0.25">
      <c r="A2863" s="1">
        <v>40249</v>
      </c>
      <c r="B2863">
        <v>712312.89</v>
      </c>
    </row>
    <row r="2864" spans="1:2" x14ac:dyDescent="0.25">
      <c r="A2864" s="1">
        <v>40256</v>
      </c>
      <c r="B2864">
        <v>727070</v>
      </c>
    </row>
    <row r="2865" spans="1:2" x14ac:dyDescent="0.25">
      <c r="A2865" s="1">
        <v>40263</v>
      </c>
      <c r="B2865">
        <v>686497.53</v>
      </c>
    </row>
    <row r="2866" spans="1:2" x14ac:dyDescent="0.25">
      <c r="A2866" s="1">
        <v>40270</v>
      </c>
      <c r="B2866">
        <v>753664.12</v>
      </c>
    </row>
    <row r="2867" spans="1:2" x14ac:dyDescent="0.25">
      <c r="A2867" s="1">
        <v>40277</v>
      </c>
      <c r="B2867">
        <v>751181.4</v>
      </c>
    </row>
    <row r="2868" spans="1:2" x14ac:dyDescent="0.25">
      <c r="A2868" s="1">
        <v>40284</v>
      </c>
      <c r="B2868">
        <v>716026.51</v>
      </c>
    </row>
    <row r="2869" spans="1:2" x14ac:dyDescent="0.25">
      <c r="A2869" s="1">
        <v>40291</v>
      </c>
      <c r="B2869">
        <v>718780.59</v>
      </c>
    </row>
    <row r="2870" spans="1:2" x14ac:dyDescent="0.25">
      <c r="A2870" s="1">
        <v>40298</v>
      </c>
      <c r="B2870">
        <v>680532.69</v>
      </c>
    </row>
    <row r="2871" spans="1:2" x14ac:dyDescent="0.25">
      <c r="A2871" s="1">
        <v>40305</v>
      </c>
      <c r="B2871">
        <v>744969.42</v>
      </c>
    </row>
    <row r="2872" spans="1:2" x14ac:dyDescent="0.25">
      <c r="A2872" s="1">
        <v>40312</v>
      </c>
      <c r="B2872">
        <v>723559.88</v>
      </c>
    </row>
    <row r="2873" spans="1:2" x14ac:dyDescent="0.25">
      <c r="A2873" s="1">
        <v>40319</v>
      </c>
      <c r="B2873">
        <v>753361.72</v>
      </c>
    </row>
    <row r="2874" spans="1:2" x14ac:dyDescent="0.25">
      <c r="A2874" s="1">
        <v>40326</v>
      </c>
      <c r="B2874">
        <v>755214.26</v>
      </c>
    </row>
    <row r="2875" spans="1:2" x14ac:dyDescent="0.25">
      <c r="A2875" s="1">
        <v>40333</v>
      </c>
      <c r="B2875">
        <v>806012.48</v>
      </c>
    </row>
    <row r="2876" spans="1:2" x14ac:dyDescent="0.25">
      <c r="A2876" s="1">
        <v>40340</v>
      </c>
      <c r="B2876">
        <v>784305.55</v>
      </c>
    </row>
    <row r="2877" spans="1:2" x14ac:dyDescent="0.25">
      <c r="A2877" s="1">
        <v>40347</v>
      </c>
      <c r="B2877">
        <v>785104.29</v>
      </c>
    </row>
    <row r="2878" spans="1:2" x14ac:dyDescent="0.25">
      <c r="A2878" s="1">
        <v>40354</v>
      </c>
      <c r="B2878">
        <v>769848.75</v>
      </c>
    </row>
    <row r="2879" spans="1:2" x14ac:dyDescent="0.25">
      <c r="A2879" s="1">
        <v>40361</v>
      </c>
      <c r="B2879">
        <v>711470.8</v>
      </c>
    </row>
    <row r="2880" spans="1:2" x14ac:dyDescent="0.25">
      <c r="A2880" s="1">
        <v>40368</v>
      </c>
      <c r="B2880">
        <v>714677.47</v>
      </c>
    </row>
    <row r="2881" spans="1:2" x14ac:dyDescent="0.25">
      <c r="A2881" s="1">
        <v>40375</v>
      </c>
      <c r="B2881">
        <v>755098.41</v>
      </c>
    </row>
    <row r="2882" spans="1:2" x14ac:dyDescent="0.25">
      <c r="A2882" s="1">
        <v>40382</v>
      </c>
      <c r="B2882">
        <v>765823.48</v>
      </c>
    </row>
    <row r="2883" spans="1:2" x14ac:dyDescent="0.25">
      <c r="A2883" s="1">
        <v>40389</v>
      </c>
      <c r="B2883">
        <v>715876.27</v>
      </c>
    </row>
    <row r="2884" spans="1:2" x14ac:dyDescent="0.25">
      <c r="A2884" s="1">
        <v>40396</v>
      </c>
      <c r="B2884">
        <v>739279.19</v>
      </c>
    </row>
    <row r="2885" spans="1:2" x14ac:dyDescent="0.25">
      <c r="A2885" s="1">
        <v>40403</v>
      </c>
      <c r="B2885">
        <v>793589.18</v>
      </c>
    </row>
    <row r="2886" spans="1:2" x14ac:dyDescent="0.25">
      <c r="A2886" s="1">
        <v>40410</v>
      </c>
      <c r="B2886">
        <v>848873.28</v>
      </c>
    </row>
    <row r="2887" spans="1:2" x14ac:dyDescent="0.25">
      <c r="A2887" s="1">
        <v>40417</v>
      </c>
      <c r="B2887">
        <v>855882.57</v>
      </c>
    </row>
    <row r="2888" spans="1:2" x14ac:dyDescent="0.25">
      <c r="A2888" s="1">
        <v>40424</v>
      </c>
      <c r="B2888">
        <v>727772.8</v>
      </c>
    </row>
    <row r="2889" spans="1:2" x14ac:dyDescent="0.25">
      <c r="A2889" s="1">
        <v>40431</v>
      </c>
      <c r="B2889">
        <v>674055.81</v>
      </c>
    </row>
    <row r="2890" spans="1:2" x14ac:dyDescent="0.25">
      <c r="A2890" s="1">
        <v>40438</v>
      </c>
      <c r="B2890">
        <v>684340.86</v>
      </c>
    </row>
    <row r="2891" spans="1:2" x14ac:dyDescent="0.25">
      <c r="A2891" s="1">
        <v>40445</v>
      </c>
      <c r="B2891">
        <v>671688.06</v>
      </c>
    </row>
    <row r="2892" spans="1:2" x14ac:dyDescent="0.25">
      <c r="A2892" s="1">
        <v>40452</v>
      </c>
      <c r="B2892">
        <v>677158.39</v>
      </c>
    </row>
    <row r="2893" spans="1:2" x14ac:dyDescent="0.25">
      <c r="A2893" s="1">
        <v>40459</v>
      </c>
      <c r="B2893">
        <v>680579.49</v>
      </c>
    </row>
    <row r="2894" spans="1:2" x14ac:dyDescent="0.25">
      <c r="A2894" s="1">
        <v>40466</v>
      </c>
      <c r="B2894">
        <v>693412.05</v>
      </c>
    </row>
    <row r="2895" spans="1:2" x14ac:dyDescent="0.25">
      <c r="A2895" s="1">
        <v>40473</v>
      </c>
      <c r="B2895">
        <v>710668.45</v>
      </c>
    </row>
    <row r="2896" spans="1:2" x14ac:dyDescent="0.25">
      <c r="A2896" s="1">
        <v>40480</v>
      </c>
      <c r="B2896">
        <v>731756.65</v>
      </c>
    </row>
    <row r="2897" spans="1:2" x14ac:dyDescent="0.25">
      <c r="A2897" s="1">
        <v>40487</v>
      </c>
      <c r="B2897">
        <v>719888.76</v>
      </c>
    </row>
    <row r="2898" spans="1:2" x14ac:dyDescent="0.25">
      <c r="A2898" s="1">
        <v>40494</v>
      </c>
      <c r="B2898">
        <v>735796.38</v>
      </c>
    </row>
    <row r="2899" spans="1:2" x14ac:dyDescent="0.25">
      <c r="A2899" s="1">
        <v>40501</v>
      </c>
      <c r="B2899">
        <v>756288.89</v>
      </c>
    </row>
    <row r="2900" spans="1:2" x14ac:dyDescent="0.25">
      <c r="A2900" s="1">
        <v>40508</v>
      </c>
      <c r="B2900">
        <v>1245628.6100000001</v>
      </c>
    </row>
    <row r="2901" spans="1:2" x14ac:dyDescent="0.25">
      <c r="A2901" s="1">
        <v>40515</v>
      </c>
      <c r="B2901">
        <v>829210.73</v>
      </c>
    </row>
    <row r="2902" spans="1:2" x14ac:dyDescent="0.25">
      <c r="A2902" s="1">
        <v>40522</v>
      </c>
      <c r="B2902">
        <v>943891.64</v>
      </c>
    </row>
    <row r="2903" spans="1:2" x14ac:dyDescent="0.25">
      <c r="A2903" s="1">
        <v>40529</v>
      </c>
      <c r="B2903">
        <v>1147556.83</v>
      </c>
    </row>
    <row r="2904" spans="1:2" x14ac:dyDescent="0.25">
      <c r="A2904" s="1">
        <v>40536</v>
      </c>
      <c r="B2904">
        <v>1587257.78</v>
      </c>
    </row>
    <row r="2905" spans="1:2" x14ac:dyDescent="0.25">
      <c r="A2905" s="1">
        <v>40543</v>
      </c>
      <c r="B2905">
        <v>672903.23</v>
      </c>
    </row>
    <row r="2906" spans="1:2" x14ac:dyDescent="0.25">
      <c r="A2906" s="1">
        <v>40550</v>
      </c>
      <c r="B2906">
        <v>629152.06000000006</v>
      </c>
    </row>
    <row r="2907" spans="1:2" x14ac:dyDescent="0.25">
      <c r="A2907" s="1">
        <v>40557</v>
      </c>
      <c r="B2907">
        <v>650789.13</v>
      </c>
    </row>
    <row r="2908" spans="1:2" x14ac:dyDescent="0.25">
      <c r="A2908" s="1">
        <v>40564</v>
      </c>
      <c r="B2908">
        <v>663941.73</v>
      </c>
    </row>
    <row r="2909" spans="1:2" x14ac:dyDescent="0.25">
      <c r="A2909" s="1">
        <v>40571</v>
      </c>
      <c r="B2909">
        <v>649878.29</v>
      </c>
    </row>
    <row r="2910" spans="1:2" x14ac:dyDescent="0.25">
      <c r="A2910" s="1">
        <v>40578</v>
      </c>
      <c r="B2910">
        <v>596218.24</v>
      </c>
    </row>
    <row r="2911" spans="1:2" x14ac:dyDescent="0.25">
      <c r="A2911" s="1">
        <v>40585</v>
      </c>
      <c r="B2911">
        <v>771908.51</v>
      </c>
    </row>
    <row r="2912" spans="1:2" x14ac:dyDescent="0.25">
      <c r="A2912" s="1">
        <v>40592</v>
      </c>
      <c r="B2912">
        <v>884701.92</v>
      </c>
    </row>
    <row r="2913" spans="1:2" x14ac:dyDescent="0.25">
      <c r="A2913" s="1">
        <v>40599</v>
      </c>
      <c r="B2913">
        <v>768313.85</v>
      </c>
    </row>
    <row r="2914" spans="1:2" x14ac:dyDescent="0.25">
      <c r="A2914" s="1">
        <v>40606</v>
      </c>
      <c r="B2914">
        <v>796277.72</v>
      </c>
    </row>
    <row r="2915" spans="1:2" x14ac:dyDescent="0.25">
      <c r="A2915" s="1">
        <v>40613</v>
      </c>
      <c r="B2915">
        <v>763479.9</v>
      </c>
    </row>
    <row r="2916" spans="1:2" x14ac:dyDescent="0.25">
      <c r="A2916" s="1">
        <v>40620</v>
      </c>
      <c r="B2916">
        <v>793569</v>
      </c>
    </row>
    <row r="2917" spans="1:2" x14ac:dyDescent="0.25">
      <c r="A2917" s="1">
        <v>40627</v>
      </c>
      <c r="B2917">
        <v>753711.32</v>
      </c>
    </row>
    <row r="2918" spans="1:2" x14ac:dyDescent="0.25">
      <c r="A2918" s="1">
        <v>40634</v>
      </c>
      <c r="B2918">
        <v>732056.37</v>
      </c>
    </row>
    <row r="2919" spans="1:2" x14ac:dyDescent="0.25">
      <c r="A2919" s="1">
        <v>40641</v>
      </c>
      <c r="B2919">
        <v>744782.89</v>
      </c>
    </row>
    <row r="2920" spans="1:2" x14ac:dyDescent="0.25">
      <c r="A2920" s="1">
        <v>40648</v>
      </c>
      <c r="B2920">
        <v>768390.05</v>
      </c>
    </row>
    <row r="2921" spans="1:2" x14ac:dyDescent="0.25">
      <c r="A2921" s="1">
        <v>40655</v>
      </c>
      <c r="B2921">
        <v>801302.01</v>
      </c>
    </row>
    <row r="2922" spans="1:2" x14ac:dyDescent="0.25">
      <c r="A2922" s="1">
        <v>40662</v>
      </c>
      <c r="B2922">
        <v>783250.75</v>
      </c>
    </row>
    <row r="2923" spans="1:2" x14ac:dyDescent="0.25">
      <c r="A2923" s="1">
        <v>40669</v>
      </c>
      <c r="B2923">
        <v>718898.33</v>
      </c>
    </row>
    <row r="2924" spans="1:2" x14ac:dyDescent="0.25">
      <c r="A2924" s="1">
        <v>40676</v>
      </c>
      <c r="B2924">
        <v>754236.7</v>
      </c>
    </row>
    <row r="2925" spans="1:2" x14ac:dyDescent="0.25">
      <c r="A2925" s="1">
        <v>40683</v>
      </c>
      <c r="B2925">
        <v>744836.56</v>
      </c>
    </row>
    <row r="2926" spans="1:2" x14ac:dyDescent="0.25">
      <c r="A2926" s="1">
        <v>40690</v>
      </c>
      <c r="B2926">
        <v>744389.81</v>
      </c>
    </row>
    <row r="2927" spans="1:2" x14ac:dyDescent="0.25">
      <c r="A2927" s="1">
        <v>40697</v>
      </c>
      <c r="B2927">
        <v>773878.58</v>
      </c>
    </row>
    <row r="2928" spans="1:2" x14ac:dyDescent="0.25">
      <c r="A2928" s="1">
        <v>40704</v>
      </c>
      <c r="B2928">
        <v>794397.89</v>
      </c>
    </row>
    <row r="2929" spans="1:2" x14ac:dyDescent="0.25">
      <c r="A2929" s="1">
        <v>40711</v>
      </c>
      <c r="B2929">
        <v>-3.5</v>
      </c>
    </row>
    <row r="2930" spans="1:2" x14ac:dyDescent="0.25">
      <c r="A2930" s="1">
        <v>40718</v>
      </c>
      <c r="B2930">
        <v>771298.98</v>
      </c>
    </row>
    <row r="2931" spans="1:2" x14ac:dyDescent="0.25">
      <c r="A2931" s="1">
        <v>40725</v>
      </c>
      <c r="B2931">
        <v>784639.12</v>
      </c>
    </row>
    <row r="2932" spans="1:2" x14ac:dyDescent="0.25">
      <c r="A2932" s="1">
        <v>40732</v>
      </c>
      <c r="B2932">
        <v>734099.4</v>
      </c>
    </row>
    <row r="2933" spans="1:2" x14ac:dyDescent="0.25">
      <c r="A2933" s="1">
        <v>40739</v>
      </c>
      <c r="B2933">
        <v>728311.15</v>
      </c>
    </row>
    <row r="2934" spans="1:2" x14ac:dyDescent="0.25">
      <c r="A2934" s="1">
        <v>40746</v>
      </c>
      <c r="B2934">
        <v>784490.67</v>
      </c>
    </row>
    <row r="2935" spans="1:2" x14ac:dyDescent="0.25">
      <c r="A2935" s="1">
        <v>40753</v>
      </c>
      <c r="B2935">
        <v>751167.12</v>
      </c>
    </row>
    <row r="2936" spans="1:2" x14ac:dyDescent="0.25">
      <c r="A2936" s="1">
        <v>40760</v>
      </c>
      <c r="B2936">
        <v>783614.89</v>
      </c>
    </row>
    <row r="2937" spans="1:2" x14ac:dyDescent="0.25">
      <c r="A2937" s="1">
        <v>40767</v>
      </c>
      <c r="B2937">
        <v>776933.37</v>
      </c>
    </row>
    <row r="2938" spans="1:2" x14ac:dyDescent="0.25">
      <c r="A2938" s="1">
        <v>40774</v>
      </c>
      <c r="B2938">
        <v>855546.5</v>
      </c>
    </row>
    <row r="2939" spans="1:2" x14ac:dyDescent="0.25">
      <c r="A2939" s="1">
        <v>40781</v>
      </c>
      <c r="B2939">
        <v>821127.53</v>
      </c>
    </row>
    <row r="2940" spans="1:2" x14ac:dyDescent="0.25">
      <c r="A2940" s="1">
        <v>40788</v>
      </c>
      <c r="B2940">
        <v>705557.8</v>
      </c>
    </row>
    <row r="2941" spans="1:2" x14ac:dyDescent="0.25">
      <c r="A2941" s="1">
        <v>40795</v>
      </c>
      <c r="B2941">
        <v>653989.65</v>
      </c>
    </row>
    <row r="2942" spans="1:2" x14ac:dyDescent="0.25">
      <c r="A2942" s="1">
        <v>40802</v>
      </c>
      <c r="B2942">
        <v>653525.84</v>
      </c>
    </row>
    <row r="2943" spans="1:2" x14ac:dyDescent="0.25">
      <c r="A2943" s="1">
        <v>40809</v>
      </c>
      <c r="B2943">
        <v>681913.29</v>
      </c>
    </row>
    <row r="2944" spans="1:2" x14ac:dyDescent="0.25">
      <c r="A2944" s="1">
        <v>40816</v>
      </c>
      <c r="B2944">
        <v>651970.48</v>
      </c>
    </row>
    <row r="2945" spans="1:2" x14ac:dyDescent="0.25">
      <c r="A2945" s="1">
        <v>40823</v>
      </c>
      <c r="B2945">
        <v>663452.46</v>
      </c>
    </row>
    <row r="2946" spans="1:2" x14ac:dyDescent="0.25">
      <c r="A2946" s="1">
        <v>40830</v>
      </c>
      <c r="B2946">
        <v>671379.44</v>
      </c>
    </row>
    <row r="2947" spans="1:2" x14ac:dyDescent="0.25">
      <c r="A2947" s="1">
        <v>40837</v>
      </c>
      <c r="B2947">
        <v>729036.06</v>
      </c>
    </row>
    <row r="2948" spans="1:2" x14ac:dyDescent="0.25">
      <c r="A2948" s="1">
        <v>40844</v>
      </c>
      <c r="B2948">
        <v>738812</v>
      </c>
    </row>
    <row r="2949" spans="1:2" x14ac:dyDescent="0.25">
      <c r="A2949" s="1">
        <v>40851</v>
      </c>
      <c r="B2949">
        <v>767358.37</v>
      </c>
    </row>
    <row r="2950" spans="1:2" x14ac:dyDescent="0.25">
      <c r="A2950" s="1">
        <v>40858</v>
      </c>
      <c r="B2950">
        <v>757369.87</v>
      </c>
    </row>
    <row r="2951" spans="1:2" x14ac:dyDescent="0.25">
      <c r="A2951" s="1">
        <v>40865</v>
      </c>
      <c r="B2951">
        <v>737014.09</v>
      </c>
    </row>
    <row r="2952" spans="1:2" x14ac:dyDescent="0.25">
      <c r="A2952" s="1">
        <v>40872</v>
      </c>
      <c r="B2952">
        <v>1219263.3999999999</v>
      </c>
    </row>
    <row r="2953" spans="1:2" x14ac:dyDescent="0.25">
      <c r="A2953" s="1">
        <v>40879</v>
      </c>
      <c r="B2953">
        <v>793184.25</v>
      </c>
    </row>
    <row r="2954" spans="1:2" x14ac:dyDescent="0.25">
      <c r="A2954" s="1">
        <v>40886</v>
      </c>
      <c r="B2954">
        <v>897747.13</v>
      </c>
    </row>
    <row r="2955" spans="1:2" x14ac:dyDescent="0.25">
      <c r="A2955" s="1">
        <v>40893</v>
      </c>
      <c r="B2955">
        <v>1027584.51</v>
      </c>
    </row>
    <row r="2956" spans="1:2" x14ac:dyDescent="0.25">
      <c r="A2956" s="1">
        <v>40900</v>
      </c>
      <c r="B2956">
        <v>1384552.17</v>
      </c>
    </row>
    <row r="2957" spans="1:2" x14ac:dyDescent="0.25">
      <c r="A2957" s="1">
        <v>40907</v>
      </c>
      <c r="B2957">
        <v>804362.36</v>
      </c>
    </row>
    <row r="2958" spans="1:2" x14ac:dyDescent="0.25">
      <c r="A2958" s="1">
        <v>40914</v>
      </c>
      <c r="B2958">
        <v>640181.86</v>
      </c>
    </row>
    <row r="2959" spans="1:2" x14ac:dyDescent="0.25">
      <c r="A2959" s="1">
        <v>40921</v>
      </c>
      <c r="B2959">
        <v>631181.25</v>
      </c>
    </row>
    <row r="2960" spans="1:2" x14ac:dyDescent="0.25">
      <c r="A2960" s="1">
        <v>40928</v>
      </c>
      <c r="B2960">
        <v>651178.19999999995</v>
      </c>
    </row>
    <row r="2961" spans="1:2" x14ac:dyDescent="0.25">
      <c r="A2961" s="1">
        <v>40935</v>
      </c>
      <c r="B2961">
        <v>611258.71</v>
      </c>
    </row>
    <row r="2962" spans="1:2" x14ac:dyDescent="0.25">
      <c r="A2962" s="1">
        <v>40942</v>
      </c>
      <c r="B2962">
        <v>680725.43</v>
      </c>
    </row>
    <row r="2963" spans="1:2" x14ac:dyDescent="0.25">
      <c r="A2963" s="1">
        <v>40949</v>
      </c>
      <c r="B2963">
        <v>770652.79</v>
      </c>
    </row>
    <row r="2964" spans="1:2" x14ac:dyDescent="0.25">
      <c r="A2964" s="1">
        <v>40956</v>
      </c>
      <c r="B2964">
        <v>834663.52</v>
      </c>
    </row>
    <row r="2965" spans="1:2" x14ac:dyDescent="0.25">
      <c r="A2965" s="1">
        <v>40963</v>
      </c>
      <c r="B2965">
        <v>747099.07</v>
      </c>
    </row>
    <row r="2966" spans="1:2" x14ac:dyDescent="0.25">
      <c r="A2966" s="1">
        <v>40970</v>
      </c>
      <c r="B2966">
        <v>764385.4</v>
      </c>
    </row>
    <row r="2967" spans="1:2" x14ac:dyDescent="0.25">
      <c r="A2967" s="1">
        <v>40977</v>
      </c>
      <c r="B2967">
        <v>755084.4</v>
      </c>
    </row>
    <row r="2968" spans="1:2" x14ac:dyDescent="0.25">
      <c r="A2968" s="1">
        <v>40984</v>
      </c>
      <c r="B2968">
        <v>767338.32</v>
      </c>
    </row>
    <row r="2969" spans="1:2" x14ac:dyDescent="0.25">
      <c r="A2969" s="1">
        <v>40991</v>
      </c>
      <c r="B2969">
        <v>729759.97</v>
      </c>
    </row>
    <row r="2970" spans="1:2" x14ac:dyDescent="0.25">
      <c r="A2970" s="1">
        <v>40998</v>
      </c>
      <c r="B2970">
        <v>724798.76</v>
      </c>
    </row>
    <row r="2971" spans="1:2" x14ac:dyDescent="0.25">
      <c r="A2971" s="1">
        <v>41005</v>
      </c>
      <c r="B2971">
        <v>761956.58</v>
      </c>
    </row>
    <row r="2972" spans="1:2" x14ac:dyDescent="0.25">
      <c r="A2972" s="1">
        <v>41012</v>
      </c>
      <c r="B2972">
        <v>769319.04</v>
      </c>
    </row>
    <row r="2973" spans="1:2" x14ac:dyDescent="0.25">
      <c r="A2973" s="1">
        <v>41019</v>
      </c>
      <c r="B2973">
        <v>734858.91</v>
      </c>
    </row>
    <row r="2974" spans="1:2" x14ac:dyDescent="0.25">
      <c r="A2974" s="1">
        <v>41026</v>
      </c>
      <c r="B2974">
        <v>674829.58</v>
      </c>
    </row>
    <row r="2975" spans="1:2" x14ac:dyDescent="0.25">
      <c r="A2975" s="1">
        <v>41033</v>
      </c>
      <c r="B2975">
        <v>697645.32</v>
      </c>
    </row>
    <row r="2976" spans="1:2" x14ac:dyDescent="0.25">
      <c r="A2976" s="1">
        <v>41040</v>
      </c>
      <c r="B2976">
        <v>649945.54</v>
      </c>
    </row>
    <row r="2977" spans="1:2" x14ac:dyDescent="0.25">
      <c r="A2977" s="1">
        <v>41047</v>
      </c>
      <c r="B2977">
        <v>700554.16</v>
      </c>
    </row>
    <row r="2978" spans="1:2" x14ac:dyDescent="0.25">
      <c r="A2978" s="1">
        <v>41054</v>
      </c>
      <c r="B2978">
        <v>722891.24</v>
      </c>
    </row>
    <row r="2979" spans="1:2" x14ac:dyDescent="0.25">
      <c r="A2979" s="1">
        <v>41061</v>
      </c>
      <c r="B2979">
        <v>695439.83</v>
      </c>
    </row>
    <row r="2980" spans="1:2" x14ac:dyDescent="0.25">
      <c r="A2980" s="1">
        <v>41068</v>
      </c>
      <c r="B2980">
        <v>707895.72</v>
      </c>
    </row>
    <row r="2981" spans="1:2" x14ac:dyDescent="0.25">
      <c r="A2981" s="1">
        <v>41075</v>
      </c>
      <c r="B2981">
        <v>727049.04</v>
      </c>
    </row>
    <row r="2982" spans="1:2" x14ac:dyDescent="0.25">
      <c r="A2982" s="1">
        <v>41082</v>
      </c>
      <c r="B2982">
        <v>735870</v>
      </c>
    </row>
    <row r="2983" spans="1:2" x14ac:dyDescent="0.25">
      <c r="A2983" s="1">
        <v>41089</v>
      </c>
      <c r="B2983">
        <v>716341.39</v>
      </c>
    </row>
    <row r="2984" spans="1:2" x14ac:dyDescent="0.25">
      <c r="A2984" s="1">
        <v>41096</v>
      </c>
      <c r="B2984">
        <v>693013.59</v>
      </c>
    </row>
    <row r="2985" spans="1:2" x14ac:dyDescent="0.25">
      <c r="A2985" s="1">
        <v>41103</v>
      </c>
      <c r="B2985">
        <v>668132.36</v>
      </c>
    </row>
    <row r="2986" spans="1:2" x14ac:dyDescent="0.25">
      <c r="A2986" s="1">
        <v>41110</v>
      </c>
      <c r="B2986">
        <v>691200.33</v>
      </c>
    </row>
    <row r="2987" spans="1:2" x14ac:dyDescent="0.25">
      <c r="A2987" s="1">
        <v>41117</v>
      </c>
      <c r="B2987">
        <v>677789.14</v>
      </c>
    </row>
    <row r="2988" spans="1:2" x14ac:dyDescent="0.25">
      <c r="A2988" s="1">
        <v>41124</v>
      </c>
      <c r="B2988">
        <v>693785.85</v>
      </c>
    </row>
    <row r="2989" spans="1:2" x14ac:dyDescent="0.25">
      <c r="A2989" s="1">
        <v>41131</v>
      </c>
      <c r="B2989">
        <v>700272.01</v>
      </c>
    </row>
    <row r="2990" spans="1:2" x14ac:dyDescent="0.25">
      <c r="A2990" s="1">
        <v>41138</v>
      </c>
      <c r="B2990">
        <v>751963.81</v>
      </c>
    </row>
    <row r="2991" spans="1:2" x14ac:dyDescent="0.25">
      <c r="A2991" s="1">
        <v>41145</v>
      </c>
      <c r="B2991">
        <v>802003.61</v>
      </c>
    </row>
    <row r="2992" spans="1:2" x14ac:dyDescent="0.25">
      <c r="A2992" s="1">
        <v>41152</v>
      </c>
      <c r="B2992">
        <v>763867.59</v>
      </c>
    </row>
    <row r="2993" spans="1:2" x14ac:dyDescent="0.25">
      <c r="A2993" s="1">
        <v>41159</v>
      </c>
      <c r="B2993">
        <v>642827.29</v>
      </c>
    </row>
    <row r="2994" spans="1:2" x14ac:dyDescent="0.25">
      <c r="A2994" s="1">
        <v>41166</v>
      </c>
      <c r="B2994">
        <v>628494.63</v>
      </c>
    </row>
    <row r="2995" spans="1:2" x14ac:dyDescent="0.25">
      <c r="A2995" s="1">
        <v>41173</v>
      </c>
      <c r="B2995">
        <v>667151.46</v>
      </c>
    </row>
    <row r="2996" spans="1:2" x14ac:dyDescent="0.25">
      <c r="A2996" s="1">
        <v>41180</v>
      </c>
      <c r="B2996">
        <v>647097.65</v>
      </c>
    </row>
    <row r="2997" spans="1:2" x14ac:dyDescent="0.25">
      <c r="A2997" s="1">
        <v>41187</v>
      </c>
      <c r="B2997">
        <v>651768.91</v>
      </c>
    </row>
    <row r="2998" spans="1:2" x14ac:dyDescent="0.25">
      <c r="A2998" s="1">
        <v>41194</v>
      </c>
      <c r="B2998">
        <v>653043.43999999994</v>
      </c>
    </row>
    <row r="2999" spans="1:2" x14ac:dyDescent="0.25">
      <c r="A2999" s="1">
        <v>41201</v>
      </c>
      <c r="B2999">
        <v>641368.14</v>
      </c>
    </row>
    <row r="3000" spans="1:2" x14ac:dyDescent="0.25">
      <c r="A3000" s="1">
        <v>41208</v>
      </c>
      <c r="B3000">
        <v>675202.87</v>
      </c>
    </row>
    <row r="3001" spans="1:2" x14ac:dyDescent="0.25">
      <c r="A3001" s="1">
        <v>40214</v>
      </c>
      <c r="B3001">
        <v>1033017.37</v>
      </c>
    </row>
    <row r="3002" spans="1:2" x14ac:dyDescent="0.25">
      <c r="A3002" s="1">
        <v>40221</v>
      </c>
      <c r="B3002">
        <v>1022571.25</v>
      </c>
    </row>
    <row r="3003" spans="1:2" x14ac:dyDescent="0.25">
      <c r="A3003" s="1">
        <v>40228</v>
      </c>
      <c r="B3003">
        <v>988467.61</v>
      </c>
    </row>
    <row r="3004" spans="1:2" x14ac:dyDescent="0.25">
      <c r="A3004" s="1">
        <v>40235</v>
      </c>
      <c r="B3004">
        <v>899761.48</v>
      </c>
    </row>
    <row r="3005" spans="1:2" x14ac:dyDescent="0.25">
      <c r="A3005" s="1">
        <v>40242</v>
      </c>
      <c r="B3005">
        <v>1009201.24</v>
      </c>
    </row>
    <row r="3006" spans="1:2" x14ac:dyDescent="0.25">
      <c r="A3006" s="1">
        <v>40249</v>
      </c>
      <c r="B3006">
        <v>967187.37</v>
      </c>
    </row>
    <row r="3007" spans="1:2" x14ac:dyDescent="0.25">
      <c r="A3007" s="1">
        <v>40256</v>
      </c>
      <c r="B3007">
        <v>966145.09</v>
      </c>
    </row>
    <row r="3008" spans="1:2" x14ac:dyDescent="0.25">
      <c r="A3008" s="1">
        <v>40263</v>
      </c>
      <c r="B3008">
        <v>1012075.12</v>
      </c>
    </row>
    <row r="3009" spans="1:2" x14ac:dyDescent="0.25">
      <c r="A3009" s="1">
        <v>40270</v>
      </c>
      <c r="B3009">
        <v>1177340.99</v>
      </c>
    </row>
    <row r="3010" spans="1:2" x14ac:dyDescent="0.25">
      <c r="A3010" s="1">
        <v>40277</v>
      </c>
      <c r="B3010">
        <v>1033171.07</v>
      </c>
    </row>
    <row r="3011" spans="1:2" x14ac:dyDescent="0.25">
      <c r="A3011" s="1">
        <v>40284</v>
      </c>
      <c r="B3011">
        <v>1000968.67</v>
      </c>
    </row>
    <row r="3012" spans="1:2" x14ac:dyDescent="0.25">
      <c r="A3012" s="1">
        <v>40291</v>
      </c>
      <c r="B3012">
        <v>969594.47</v>
      </c>
    </row>
    <row r="3013" spans="1:2" x14ac:dyDescent="0.25">
      <c r="A3013" s="1">
        <v>40298</v>
      </c>
      <c r="B3013">
        <v>977683.06</v>
      </c>
    </row>
    <row r="3014" spans="1:2" x14ac:dyDescent="0.25">
      <c r="A3014" s="1">
        <v>40305</v>
      </c>
      <c r="B3014">
        <v>1052973.28</v>
      </c>
    </row>
    <row r="3015" spans="1:2" x14ac:dyDescent="0.25">
      <c r="A3015" s="1">
        <v>40312</v>
      </c>
      <c r="B3015">
        <v>973585.33</v>
      </c>
    </row>
    <row r="3016" spans="1:2" x14ac:dyDescent="0.25">
      <c r="A3016" s="1">
        <v>40319</v>
      </c>
      <c r="B3016">
        <v>979977.89</v>
      </c>
    </row>
    <row r="3017" spans="1:2" x14ac:dyDescent="0.25">
      <c r="A3017" s="1">
        <v>40326</v>
      </c>
      <c r="B3017">
        <v>1103740.3999999999</v>
      </c>
    </row>
    <row r="3018" spans="1:2" x14ac:dyDescent="0.25">
      <c r="A3018" s="1">
        <v>40333</v>
      </c>
      <c r="B3018">
        <v>1095539.1299999999</v>
      </c>
    </row>
    <row r="3019" spans="1:2" x14ac:dyDescent="0.25">
      <c r="A3019" s="1">
        <v>40340</v>
      </c>
      <c r="B3019">
        <v>1061196.47</v>
      </c>
    </row>
    <row r="3020" spans="1:2" x14ac:dyDescent="0.25">
      <c r="A3020" s="1">
        <v>40347</v>
      </c>
      <c r="B3020">
        <v>1052895.25</v>
      </c>
    </row>
    <row r="3021" spans="1:2" x14ac:dyDescent="0.25">
      <c r="A3021" s="1">
        <v>40354</v>
      </c>
      <c r="B3021">
        <v>1095020.33</v>
      </c>
    </row>
    <row r="3022" spans="1:2" x14ac:dyDescent="0.25">
      <c r="A3022" s="1">
        <v>40361</v>
      </c>
      <c r="B3022">
        <v>1120259.71</v>
      </c>
    </row>
    <row r="3023" spans="1:2" x14ac:dyDescent="0.25">
      <c r="A3023" s="1">
        <v>40368</v>
      </c>
      <c r="B3023">
        <v>1092654.26</v>
      </c>
    </row>
    <row r="3024" spans="1:2" x14ac:dyDescent="0.25">
      <c r="A3024" s="1">
        <v>40375</v>
      </c>
      <c r="B3024">
        <v>988392.99</v>
      </c>
    </row>
    <row r="3025" spans="1:2" x14ac:dyDescent="0.25">
      <c r="A3025" s="1">
        <v>40382</v>
      </c>
      <c r="B3025">
        <v>974123.2</v>
      </c>
    </row>
    <row r="3026" spans="1:2" x14ac:dyDescent="0.25">
      <c r="A3026" s="1">
        <v>40389</v>
      </c>
      <c r="B3026">
        <v>970773.64</v>
      </c>
    </row>
    <row r="3027" spans="1:2" x14ac:dyDescent="0.25">
      <c r="A3027" s="1">
        <v>40396</v>
      </c>
      <c r="B3027">
        <v>1010326.14</v>
      </c>
    </row>
    <row r="3028" spans="1:2" x14ac:dyDescent="0.25">
      <c r="A3028" s="1">
        <v>40403</v>
      </c>
      <c r="B3028">
        <v>993097.43</v>
      </c>
    </row>
    <row r="3029" spans="1:2" x14ac:dyDescent="0.25">
      <c r="A3029" s="1">
        <v>40410</v>
      </c>
      <c r="B3029">
        <v>1017045.44</v>
      </c>
    </row>
    <row r="3030" spans="1:2" x14ac:dyDescent="0.25">
      <c r="A3030" s="1">
        <v>40417</v>
      </c>
      <c r="B3030">
        <v>1081420.96</v>
      </c>
    </row>
    <row r="3031" spans="1:2" x14ac:dyDescent="0.25">
      <c r="A3031" s="1">
        <v>40424</v>
      </c>
      <c r="B3031">
        <v>1074535.8799999999</v>
      </c>
    </row>
    <row r="3032" spans="1:2" x14ac:dyDescent="0.25">
      <c r="A3032" s="1">
        <v>40431</v>
      </c>
      <c r="B3032">
        <v>924174.4</v>
      </c>
    </row>
    <row r="3033" spans="1:2" x14ac:dyDescent="0.25">
      <c r="A3033" s="1">
        <v>40438</v>
      </c>
      <c r="B3033">
        <v>918285.97</v>
      </c>
    </row>
    <row r="3034" spans="1:2" x14ac:dyDescent="0.25">
      <c r="A3034" s="1">
        <v>40445</v>
      </c>
      <c r="B3034">
        <v>902779.25</v>
      </c>
    </row>
    <row r="3035" spans="1:2" x14ac:dyDescent="0.25">
      <c r="A3035" s="1">
        <v>40452</v>
      </c>
      <c r="B3035">
        <v>905987.17</v>
      </c>
    </row>
    <row r="3036" spans="1:2" x14ac:dyDescent="0.25">
      <c r="A3036" s="1">
        <v>40459</v>
      </c>
      <c r="B3036">
        <v>1015051.62</v>
      </c>
    </row>
    <row r="3037" spans="1:2" x14ac:dyDescent="0.25">
      <c r="A3037" s="1">
        <v>40466</v>
      </c>
      <c r="B3037">
        <v>954401.46</v>
      </c>
    </row>
    <row r="3038" spans="1:2" x14ac:dyDescent="0.25">
      <c r="A3038" s="1">
        <v>40473</v>
      </c>
      <c r="B3038">
        <v>960998.52</v>
      </c>
    </row>
    <row r="3039" spans="1:2" x14ac:dyDescent="0.25">
      <c r="A3039" s="1">
        <v>40480</v>
      </c>
      <c r="B3039">
        <v>1025766.27</v>
      </c>
    </row>
    <row r="3040" spans="1:2" x14ac:dyDescent="0.25">
      <c r="A3040" s="1">
        <v>40487</v>
      </c>
      <c r="B3040">
        <v>1006888.16</v>
      </c>
    </row>
    <row r="3041" spans="1:2" x14ac:dyDescent="0.25">
      <c r="A3041" s="1">
        <v>40494</v>
      </c>
      <c r="B3041">
        <v>1043698.64</v>
      </c>
    </row>
    <row r="3042" spans="1:2" x14ac:dyDescent="0.25">
      <c r="A3042" s="1">
        <v>40501</v>
      </c>
      <c r="B3042">
        <v>985896.44</v>
      </c>
    </row>
    <row r="3043" spans="1:2" x14ac:dyDescent="0.25">
      <c r="A3043" s="1">
        <v>40508</v>
      </c>
      <c r="B3043">
        <v>1564502.26</v>
      </c>
    </row>
    <row r="3044" spans="1:2" x14ac:dyDescent="0.25">
      <c r="A3044" s="1">
        <v>40515</v>
      </c>
      <c r="B3044">
        <v>1230514.58</v>
      </c>
    </row>
    <row r="3045" spans="1:2" x14ac:dyDescent="0.25">
      <c r="A3045" s="1">
        <v>40522</v>
      </c>
      <c r="B3045">
        <v>1367202.84</v>
      </c>
    </row>
    <row r="3046" spans="1:2" x14ac:dyDescent="0.25">
      <c r="A3046" s="1">
        <v>40529</v>
      </c>
      <c r="B3046">
        <v>1527682.99</v>
      </c>
    </row>
    <row r="3047" spans="1:2" x14ac:dyDescent="0.25">
      <c r="A3047" s="1">
        <v>40536</v>
      </c>
      <c r="B3047">
        <v>1962445.04</v>
      </c>
    </row>
    <row r="3048" spans="1:2" x14ac:dyDescent="0.25">
      <c r="A3048" s="1">
        <v>40543</v>
      </c>
      <c r="B3048">
        <v>774262.28</v>
      </c>
    </row>
    <row r="3049" spans="1:2" x14ac:dyDescent="0.25">
      <c r="A3049" s="1">
        <v>40550</v>
      </c>
      <c r="B3049">
        <v>873954.7</v>
      </c>
    </row>
    <row r="3050" spans="1:2" x14ac:dyDescent="0.25">
      <c r="A3050" s="1">
        <v>40557</v>
      </c>
      <c r="B3050">
        <v>807535.52</v>
      </c>
    </row>
    <row r="3051" spans="1:2" x14ac:dyDescent="0.25">
      <c r="A3051" s="1">
        <v>40564</v>
      </c>
      <c r="B3051">
        <v>855001.02</v>
      </c>
    </row>
    <row r="3052" spans="1:2" x14ac:dyDescent="0.25">
      <c r="A3052" s="1">
        <v>40571</v>
      </c>
      <c r="B3052">
        <v>799369.15</v>
      </c>
    </row>
    <row r="3053" spans="1:2" x14ac:dyDescent="0.25">
      <c r="A3053" s="1">
        <v>40578</v>
      </c>
      <c r="B3053">
        <v>946060.98</v>
      </c>
    </row>
    <row r="3054" spans="1:2" x14ac:dyDescent="0.25">
      <c r="A3054" s="1">
        <v>40585</v>
      </c>
      <c r="B3054">
        <v>1009206.33</v>
      </c>
    </row>
    <row r="3055" spans="1:2" x14ac:dyDescent="0.25">
      <c r="A3055" s="1">
        <v>40592</v>
      </c>
      <c r="B3055">
        <v>975964.86</v>
      </c>
    </row>
    <row r="3056" spans="1:2" x14ac:dyDescent="0.25">
      <c r="A3056" s="1">
        <v>40599</v>
      </c>
      <c r="B3056">
        <v>911245.43</v>
      </c>
    </row>
    <row r="3057" spans="1:2" x14ac:dyDescent="0.25">
      <c r="A3057" s="1">
        <v>40606</v>
      </c>
      <c r="B3057">
        <v>997353.15</v>
      </c>
    </row>
    <row r="3058" spans="1:2" x14ac:dyDescent="0.25">
      <c r="A3058" s="1">
        <v>40613</v>
      </c>
      <c r="B3058">
        <v>944587.23</v>
      </c>
    </row>
    <row r="3059" spans="1:2" x14ac:dyDescent="0.25">
      <c r="A3059" s="1">
        <v>40620</v>
      </c>
      <c r="B3059">
        <v>926427.12</v>
      </c>
    </row>
    <row r="3060" spans="1:2" x14ac:dyDescent="0.25">
      <c r="A3060" s="1">
        <v>40627</v>
      </c>
      <c r="B3060">
        <v>933528.39</v>
      </c>
    </row>
    <row r="3061" spans="1:2" x14ac:dyDescent="0.25">
      <c r="A3061" s="1">
        <v>40634</v>
      </c>
      <c r="B3061">
        <v>951588.37</v>
      </c>
    </row>
    <row r="3062" spans="1:2" x14ac:dyDescent="0.25">
      <c r="A3062" s="1">
        <v>40641</v>
      </c>
      <c r="B3062">
        <v>969046.69</v>
      </c>
    </row>
    <row r="3063" spans="1:2" x14ac:dyDescent="0.25">
      <c r="A3063" s="1">
        <v>40648</v>
      </c>
      <c r="B3063">
        <v>1008557.04</v>
      </c>
    </row>
    <row r="3064" spans="1:2" x14ac:dyDescent="0.25">
      <c r="A3064" s="1">
        <v>40655</v>
      </c>
      <c r="B3064">
        <v>1152781.8999999999</v>
      </c>
    </row>
    <row r="3065" spans="1:2" x14ac:dyDescent="0.25">
      <c r="A3065" s="1">
        <v>40662</v>
      </c>
      <c r="B3065">
        <v>926133.8</v>
      </c>
    </row>
    <row r="3066" spans="1:2" x14ac:dyDescent="0.25">
      <c r="A3066" s="1">
        <v>40669</v>
      </c>
      <c r="B3066">
        <v>1032076.06</v>
      </c>
    </row>
    <row r="3067" spans="1:2" x14ac:dyDescent="0.25">
      <c r="A3067" s="1">
        <v>40676</v>
      </c>
      <c r="B3067">
        <v>1001558.74</v>
      </c>
    </row>
    <row r="3068" spans="1:2" x14ac:dyDescent="0.25">
      <c r="A3068" s="1">
        <v>40683</v>
      </c>
      <c r="B3068">
        <v>970307.83</v>
      </c>
    </row>
    <row r="3069" spans="1:2" x14ac:dyDescent="0.25">
      <c r="A3069" s="1">
        <v>40690</v>
      </c>
      <c r="B3069">
        <v>1021568.34</v>
      </c>
    </row>
    <row r="3070" spans="1:2" x14ac:dyDescent="0.25">
      <c r="A3070" s="1">
        <v>40697</v>
      </c>
      <c r="B3070">
        <v>1125169.92</v>
      </c>
    </row>
    <row r="3071" spans="1:2" x14ac:dyDescent="0.25">
      <c r="A3071" s="1">
        <v>40704</v>
      </c>
      <c r="B3071">
        <v>1060868.49</v>
      </c>
    </row>
    <row r="3072" spans="1:2" x14ac:dyDescent="0.25">
      <c r="A3072" s="1">
        <v>40711</v>
      </c>
      <c r="B3072">
        <v>1042454.61</v>
      </c>
    </row>
    <row r="3073" spans="1:2" x14ac:dyDescent="0.25">
      <c r="A3073" s="1">
        <v>40718</v>
      </c>
      <c r="B3073">
        <v>1012584.2</v>
      </c>
    </row>
    <row r="3074" spans="1:2" x14ac:dyDescent="0.25">
      <c r="A3074" s="1">
        <v>40725</v>
      </c>
      <c r="B3074">
        <v>1077491.68</v>
      </c>
    </row>
    <row r="3075" spans="1:2" x14ac:dyDescent="0.25">
      <c r="A3075" s="1">
        <v>40732</v>
      </c>
      <c r="B3075">
        <v>1017050.65</v>
      </c>
    </row>
    <row r="3076" spans="1:2" x14ac:dyDescent="0.25">
      <c r="A3076" s="1">
        <v>40739</v>
      </c>
      <c r="B3076">
        <v>961953.57</v>
      </c>
    </row>
    <row r="3077" spans="1:2" x14ac:dyDescent="0.25">
      <c r="A3077" s="1">
        <v>40746</v>
      </c>
      <c r="B3077">
        <v>964683.8</v>
      </c>
    </row>
    <row r="3078" spans="1:2" x14ac:dyDescent="0.25">
      <c r="A3078" s="1">
        <v>40753</v>
      </c>
      <c r="B3078">
        <v>0</v>
      </c>
    </row>
    <row r="3079" spans="1:2" x14ac:dyDescent="0.25">
      <c r="A3079" s="1">
        <v>40760</v>
      </c>
      <c r="B3079">
        <v>983232.96</v>
      </c>
    </row>
    <row r="3080" spans="1:2" x14ac:dyDescent="0.25">
      <c r="A3080" s="1">
        <v>40767</v>
      </c>
      <c r="B3080">
        <v>991779.2</v>
      </c>
    </row>
    <row r="3081" spans="1:2" x14ac:dyDescent="0.25">
      <c r="A3081" s="1">
        <v>40774</v>
      </c>
      <c r="B3081">
        <v>973004.91</v>
      </c>
    </row>
    <row r="3082" spans="1:2" x14ac:dyDescent="0.25">
      <c r="A3082" s="1">
        <v>40781</v>
      </c>
      <c r="B3082">
        <v>1181815.31</v>
      </c>
    </row>
    <row r="3083" spans="1:2" x14ac:dyDescent="0.25">
      <c r="A3083" s="1">
        <v>40788</v>
      </c>
      <c r="B3083">
        <v>912762.76</v>
      </c>
    </row>
    <row r="3084" spans="1:2" x14ac:dyDescent="0.25">
      <c r="A3084" s="1">
        <v>40795</v>
      </c>
      <c r="B3084">
        <v>1004434.54</v>
      </c>
    </row>
    <row r="3085" spans="1:2" x14ac:dyDescent="0.25">
      <c r="A3085" s="1">
        <v>40802</v>
      </c>
      <c r="B3085">
        <v>937420.65</v>
      </c>
    </row>
    <row r="3086" spans="1:2" x14ac:dyDescent="0.25">
      <c r="A3086" s="1">
        <v>40809</v>
      </c>
      <c r="B3086">
        <v>899834.75</v>
      </c>
    </row>
    <row r="3087" spans="1:2" x14ac:dyDescent="0.25">
      <c r="A3087" s="1">
        <v>40816</v>
      </c>
      <c r="B3087">
        <v>953314.16</v>
      </c>
    </row>
    <row r="3088" spans="1:2" x14ac:dyDescent="0.25">
      <c r="A3088" s="1">
        <v>40823</v>
      </c>
      <c r="B3088">
        <v>993436.67</v>
      </c>
    </row>
    <row r="3089" spans="1:2" x14ac:dyDescent="0.25">
      <c r="A3089" s="1">
        <v>40830</v>
      </c>
      <c r="B3089">
        <v>944337.32</v>
      </c>
    </row>
    <row r="3090" spans="1:2" x14ac:dyDescent="0.25">
      <c r="A3090" s="1">
        <v>40837</v>
      </c>
      <c r="B3090">
        <v>981567.22</v>
      </c>
    </row>
    <row r="3091" spans="1:2" x14ac:dyDescent="0.25">
      <c r="A3091" s="1">
        <v>40844</v>
      </c>
      <c r="B3091">
        <v>1099351.68</v>
      </c>
    </row>
    <row r="3092" spans="1:2" x14ac:dyDescent="0.25">
      <c r="A3092" s="1">
        <v>40851</v>
      </c>
      <c r="B3092">
        <v>1106575.5900000001</v>
      </c>
    </row>
    <row r="3093" spans="1:2" x14ac:dyDescent="0.25">
      <c r="A3093" s="1">
        <v>40858</v>
      </c>
      <c r="B3093">
        <v>1051740.29</v>
      </c>
    </row>
    <row r="3094" spans="1:2" x14ac:dyDescent="0.25">
      <c r="A3094" s="1">
        <v>40865</v>
      </c>
      <c r="B3094">
        <v>1007579.44</v>
      </c>
    </row>
    <row r="3095" spans="1:2" x14ac:dyDescent="0.25">
      <c r="A3095" s="1">
        <v>40872</v>
      </c>
      <c r="B3095">
        <v>1535857.49</v>
      </c>
    </row>
    <row r="3096" spans="1:2" x14ac:dyDescent="0.25">
      <c r="A3096" s="1">
        <v>40879</v>
      </c>
      <c r="B3096">
        <v>1167621.1399999999</v>
      </c>
    </row>
    <row r="3097" spans="1:2" x14ac:dyDescent="0.25">
      <c r="A3097" s="1">
        <v>40886</v>
      </c>
      <c r="B3097">
        <v>1308967.44</v>
      </c>
    </row>
    <row r="3098" spans="1:2" x14ac:dyDescent="0.25">
      <c r="A3098" s="1">
        <v>40893</v>
      </c>
      <c r="B3098">
        <v>1453153.33</v>
      </c>
    </row>
    <row r="3099" spans="1:2" x14ac:dyDescent="0.25">
      <c r="A3099" s="1">
        <v>40900</v>
      </c>
      <c r="B3099">
        <v>1863195.68</v>
      </c>
    </row>
    <row r="3100" spans="1:2" x14ac:dyDescent="0.25">
      <c r="A3100" s="1">
        <v>40907</v>
      </c>
      <c r="B3100">
        <v>982661.14</v>
      </c>
    </row>
    <row r="3101" spans="1:2" x14ac:dyDescent="0.25">
      <c r="A3101" s="1">
        <v>40914</v>
      </c>
      <c r="B3101">
        <v>895358.2</v>
      </c>
    </row>
    <row r="3102" spans="1:2" x14ac:dyDescent="0.25">
      <c r="A3102" s="1">
        <v>40921</v>
      </c>
      <c r="B3102">
        <v>855437.57</v>
      </c>
    </row>
    <row r="3103" spans="1:2" x14ac:dyDescent="0.25">
      <c r="A3103" s="1">
        <v>40928</v>
      </c>
      <c r="B3103">
        <v>897027.44</v>
      </c>
    </row>
    <row r="3104" spans="1:2" x14ac:dyDescent="0.25">
      <c r="A3104" s="1">
        <v>40935</v>
      </c>
      <c r="B3104">
        <v>786459.23</v>
      </c>
    </row>
    <row r="3105" spans="1:2" x14ac:dyDescent="0.25">
      <c r="A3105" s="1">
        <v>40942</v>
      </c>
      <c r="B3105">
        <v>958487.75</v>
      </c>
    </row>
    <row r="3106" spans="1:2" x14ac:dyDescent="0.25">
      <c r="A3106" s="1">
        <v>40949</v>
      </c>
      <c r="B3106">
        <v>1034448.07</v>
      </c>
    </row>
    <row r="3107" spans="1:2" x14ac:dyDescent="0.25">
      <c r="A3107" s="1">
        <v>40956</v>
      </c>
      <c r="B3107">
        <v>1004749.41</v>
      </c>
    </row>
    <row r="3108" spans="1:2" x14ac:dyDescent="0.25">
      <c r="A3108" s="1">
        <v>40963</v>
      </c>
      <c r="B3108">
        <v>912958.95</v>
      </c>
    </row>
    <row r="3109" spans="1:2" x14ac:dyDescent="0.25">
      <c r="A3109" s="1">
        <v>40970</v>
      </c>
      <c r="B3109">
        <v>974866.65</v>
      </c>
    </row>
    <row r="3110" spans="1:2" x14ac:dyDescent="0.25">
      <c r="A3110" s="1">
        <v>40977</v>
      </c>
      <c r="B3110">
        <v>991127.01</v>
      </c>
    </row>
    <row r="3111" spans="1:2" x14ac:dyDescent="0.25">
      <c r="A3111" s="1">
        <v>40984</v>
      </c>
      <c r="B3111">
        <v>966780.01</v>
      </c>
    </row>
    <row r="3112" spans="1:2" x14ac:dyDescent="0.25">
      <c r="A3112" s="1">
        <v>40991</v>
      </c>
      <c r="B3112">
        <v>992774.4</v>
      </c>
    </row>
    <row r="3113" spans="1:2" x14ac:dyDescent="0.25">
      <c r="A3113" s="1">
        <v>40998</v>
      </c>
      <c r="B3113">
        <v>965769.93</v>
      </c>
    </row>
    <row r="3114" spans="1:2" x14ac:dyDescent="0.25">
      <c r="A3114" s="1">
        <v>41005</v>
      </c>
      <c r="B3114">
        <v>1197489.6599999999</v>
      </c>
    </row>
    <row r="3115" spans="1:2" x14ac:dyDescent="0.25">
      <c r="A3115" s="1">
        <v>41012</v>
      </c>
      <c r="B3115">
        <v>939118.24</v>
      </c>
    </row>
    <row r="3116" spans="1:2" x14ac:dyDescent="0.25">
      <c r="A3116" s="1">
        <v>41019</v>
      </c>
      <c r="B3116">
        <v>1000342.87</v>
      </c>
    </row>
    <row r="3117" spans="1:2" x14ac:dyDescent="0.25">
      <c r="A3117" s="1">
        <v>41026</v>
      </c>
      <c r="B3117">
        <v>922539.94</v>
      </c>
    </row>
    <row r="3118" spans="1:2" x14ac:dyDescent="0.25">
      <c r="A3118" s="1">
        <v>41033</v>
      </c>
      <c r="B3118">
        <v>1005083.31</v>
      </c>
    </row>
    <row r="3119" spans="1:2" x14ac:dyDescent="0.25">
      <c r="A3119" s="1">
        <v>41040</v>
      </c>
      <c r="B3119">
        <v>997868.63</v>
      </c>
    </row>
    <row r="3120" spans="1:2" x14ac:dyDescent="0.25">
      <c r="A3120" s="1">
        <v>41047</v>
      </c>
      <c r="B3120">
        <v>986612.02</v>
      </c>
    </row>
    <row r="3121" spans="1:2" x14ac:dyDescent="0.25">
      <c r="A3121" s="1">
        <v>41054</v>
      </c>
      <c r="B3121">
        <v>1047297.38</v>
      </c>
    </row>
    <row r="3122" spans="1:2" x14ac:dyDescent="0.25">
      <c r="A3122" s="1">
        <v>41061</v>
      </c>
      <c r="B3122">
        <v>1102857.3700000001</v>
      </c>
    </row>
    <row r="3123" spans="1:2" x14ac:dyDescent="0.25">
      <c r="A3123" s="1">
        <v>41068</v>
      </c>
      <c r="B3123">
        <v>1061134.3700000001</v>
      </c>
    </row>
    <row r="3124" spans="1:2" x14ac:dyDescent="0.25">
      <c r="A3124" s="1">
        <v>41075</v>
      </c>
      <c r="B3124">
        <v>1061219.19</v>
      </c>
    </row>
    <row r="3125" spans="1:2" x14ac:dyDescent="0.25">
      <c r="A3125" s="1">
        <v>41082</v>
      </c>
      <c r="B3125">
        <v>1112449.3</v>
      </c>
    </row>
    <row r="3126" spans="1:2" x14ac:dyDescent="0.25">
      <c r="A3126" s="1">
        <v>41089</v>
      </c>
      <c r="B3126">
        <v>1053881.78</v>
      </c>
    </row>
    <row r="3127" spans="1:2" x14ac:dyDescent="0.25">
      <c r="A3127" s="1">
        <v>41096</v>
      </c>
      <c r="B3127">
        <v>1097786.1399999999</v>
      </c>
    </row>
    <row r="3128" spans="1:2" x14ac:dyDescent="0.25">
      <c r="A3128" s="1">
        <v>41103</v>
      </c>
      <c r="B3128">
        <v>971361.38</v>
      </c>
    </row>
    <row r="3129" spans="1:2" x14ac:dyDescent="0.25">
      <c r="A3129" s="1">
        <v>41110</v>
      </c>
      <c r="B3129">
        <v>991969.37</v>
      </c>
    </row>
    <row r="3130" spans="1:2" x14ac:dyDescent="0.25">
      <c r="A3130" s="1">
        <v>41117</v>
      </c>
      <c r="B3130">
        <v>925731.21</v>
      </c>
    </row>
    <row r="3131" spans="1:2" x14ac:dyDescent="0.25">
      <c r="A3131" s="1">
        <v>41124</v>
      </c>
      <c r="B3131">
        <v>1007257.83</v>
      </c>
    </row>
    <row r="3132" spans="1:2" x14ac:dyDescent="0.25">
      <c r="A3132" s="1">
        <v>41131</v>
      </c>
      <c r="B3132">
        <v>973812.79</v>
      </c>
    </row>
    <row r="3133" spans="1:2" x14ac:dyDescent="0.25">
      <c r="A3133" s="1">
        <v>41138</v>
      </c>
      <c r="B3133">
        <v>981273.26</v>
      </c>
    </row>
    <row r="3134" spans="1:2" x14ac:dyDescent="0.25">
      <c r="A3134" s="1">
        <v>41145</v>
      </c>
      <c r="B3134">
        <v>1060906.75</v>
      </c>
    </row>
    <row r="3135" spans="1:2" x14ac:dyDescent="0.25">
      <c r="A3135" s="1">
        <v>41152</v>
      </c>
      <c r="B3135">
        <v>1022270.86</v>
      </c>
    </row>
    <row r="3136" spans="1:2" x14ac:dyDescent="0.25">
      <c r="A3136" s="1">
        <v>41159</v>
      </c>
      <c r="B3136">
        <v>996628.8</v>
      </c>
    </row>
    <row r="3137" spans="1:2" x14ac:dyDescent="0.25">
      <c r="A3137" s="1">
        <v>41166</v>
      </c>
      <c r="B3137">
        <v>918049.28000000003</v>
      </c>
    </row>
    <row r="3138" spans="1:2" x14ac:dyDescent="0.25">
      <c r="A3138" s="1">
        <v>41173</v>
      </c>
      <c r="B3138">
        <v>921612.53</v>
      </c>
    </row>
    <row r="3139" spans="1:2" x14ac:dyDescent="0.25">
      <c r="A3139" s="1">
        <v>41180</v>
      </c>
      <c r="B3139">
        <v>976479.51</v>
      </c>
    </row>
    <row r="3140" spans="1:2" x14ac:dyDescent="0.25">
      <c r="A3140" s="1">
        <v>41187</v>
      </c>
      <c r="B3140">
        <v>1009887.36</v>
      </c>
    </row>
    <row r="3141" spans="1:2" x14ac:dyDescent="0.25">
      <c r="A3141" s="1">
        <v>41194</v>
      </c>
      <c r="B3141">
        <v>1004039.84</v>
      </c>
    </row>
    <row r="3142" spans="1:2" x14ac:dyDescent="0.25">
      <c r="A3142" s="1">
        <v>41201</v>
      </c>
      <c r="B3142">
        <v>978027.95</v>
      </c>
    </row>
    <row r="3143" spans="1:2" x14ac:dyDescent="0.25">
      <c r="A3143" s="1">
        <v>41208</v>
      </c>
      <c r="B3143">
        <v>1094422.69</v>
      </c>
    </row>
    <row r="3144" spans="1:2" x14ac:dyDescent="0.25">
      <c r="A3144" s="1">
        <v>40214</v>
      </c>
      <c r="B3144">
        <v>1364721.58</v>
      </c>
    </row>
    <row r="3145" spans="1:2" x14ac:dyDescent="0.25">
      <c r="A3145" s="1">
        <v>40221</v>
      </c>
      <c r="B3145">
        <v>1380892.08</v>
      </c>
    </row>
    <row r="3146" spans="1:2" x14ac:dyDescent="0.25">
      <c r="A3146" s="1">
        <v>40228</v>
      </c>
      <c r="B3146">
        <v>1319588.04</v>
      </c>
    </row>
    <row r="3147" spans="1:2" x14ac:dyDescent="0.25">
      <c r="A3147" s="1">
        <v>40235</v>
      </c>
      <c r="B3147">
        <v>1198709.6499999999</v>
      </c>
    </row>
    <row r="3148" spans="1:2" x14ac:dyDescent="0.25">
      <c r="A3148" s="1">
        <v>40242</v>
      </c>
      <c r="B3148">
        <v>1311175.93</v>
      </c>
    </row>
    <row r="3149" spans="1:2" x14ac:dyDescent="0.25">
      <c r="A3149" s="1">
        <v>40249</v>
      </c>
      <c r="B3149">
        <v>1408082.96</v>
      </c>
    </row>
    <row r="3150" spans="1:2" x14ac:dyDescent="0.25">
      <c r="A3150" s="1">
        <v>40256</v>
      </c>
      <c r="B3150">
        <v>1229008.32</v>
      </c>
    </row>
    <row r="3151" spans="1:2" x14ac:dyDescent="0.25">
      <c r="A3151" s="1">
        <v>40263</v>
      </c>
      <c r="B3151">
        <v>1310701.8</v>
      </c>
    </row>
    <row r="3152" spans="1:2" x14ac:dyDescent="0.25">
      <c r="A3152" s="1">
        <v>40270</v>
      </c>
      <c r="B3152">
        <v>1556627.62</v>
      </c>
    </row>
    <row r="3153" spans="1:2" x14ac:dyDescent="0.25">
      <c r="A3153" s="1">
        <v>40277</v>
      </c>
      <c r="B3153">
        <v>1264434.7</v>
      </c>
    </row>
    <row r="3154" spans="1:2" x14ac:dyDescent="0.25">
      <c r="A3154" s="1">
        <v>40284</v>
      </c>
      <c r="B3154">
        <v>1288823.72</v>
      </c>
    </row>
    <row r="3155" spans="1:2" x14ac:dyDescent="0.25">
      <c r="A3155" s="1">
        <v>40291</v>
      </c>
      <c r="B3155">
        <v>1315023.08</v>
      </c>
    </row>
    <row r="3156" spans="1:2" x14ac:dyDescent="0.25">
      <c r="A3156" s="1">
        <v>40298</v>
      </c>
      <c r="B3156">
        <v>1259414.52</v>
      </c>
    </row>
    <row r="3157" spans="1:2" x14ac:dyDescent="0.25">
      <c r="A3157" s="1">
        <v>40305</v>
      </c>
      <c r="B3157">
        <v>1365552.28</v>
      </c>
    </row>
    <row r="3158" spans="1:2" x14ac:dyDescent="0.25">
      <c r="A3158" s="1">
        <v>40312</v>
      </c>
      <c r="B3158">
        <v>1303055.0900000001</v>
      </c>
    </row>
    <row r="3159" spans="1:2" x14ac:dyDescent="0.25">
      <c r="A3159" s="1">
        <v>40319</v>
      </c>
      <c r="B3159">
        <v>1327424.28</v>
      </c>
    </row>
    <row r="3160" spans="1:2" x14ac:dyDescent="0.25">
      <c r="A3160" s="1">
        <v>40326</v>
      </c>
      <c r="B3160">
        <v>1571158.56</v>
      </c>
    </row>
    <row r="3161" spans="1:2" x14ac:dyDescent="0.25">
      <c r="A3161" s="1">
        <v>40333</v>
      </c>
      <c r="B3161">
        <v>1514435.51</v>
      </c>
    </row>
    <row r="3162" spans="1:2" x14ac:dyDescent="0.25">
      <c r="A3162" s="1">
        <v>40340</v>
      </c>
      <c r="B3162">
        <v>1439432.06</v>
      </c>
    </row>
    <row r="3163" spans="1:2" x14ac:dyDescent="0.25">
      <c r="A3163" s="1">
        <v>40347</v>
      </c>
      <c r="B3163">
        <v>1507708.93</v>
      </c>
    </row>
    <row r="3164" spans="1:2" x14ac:dyDescent="0.25">
      <c r="A3164" s="1">
        <v>40354</v>
      </c>
      <c r="B3164">
        <v>1415204.88</v>
      </c>
    </row>
    <row r="3165" spans="1:2" x14ac:dyDescent="0.25">
      <c r="A3165" s="1">
        <v>40361</v>
      </c>
      <c r="B3165">
        <v>1549113.18</v>
      </c>
    </row>
    <row r="3166" spans="1:2" x14ac:dyDescent="0.25">
      <c r="A3166" s="1">
        <v>40368</v>
      </c>
      <c r="B3166">
        <v>1417535.78</v>
      </c>
    </row>
    <row r="3167" spans="1:2" x14ac:dyDescent="0.25">
      <c r="A3167" s="1">
        <v>40375</v>
      </c>
      <c r="B3167">
        <v>1413124.11</v>
      </c>
    </row>
    <row r="3168" spans="1:2" x14ac:dyDescent="0.25">
      <c r="A3168" s="1">
        <v>40382</v>
      </c>
      <c r="B3168">
        <v>1333634.45</v>
      </c>
    </row>
    <row r="3169" spans="1:2" x14ac:dyDescent="0.25">
      <c r="A3169" s="1">
        <v>40389</v>
      </c>
      <c r="B3169">
        <v>1319773.55</v>
      </c>
    </row>
    <row r="3170" spans="1:2" x14ac:dyDescent="0.25">
      <c r="A3170" s="1">
        <v>40396</v>
      </c>
      <c r="B3170">
        <v>1417013.07</v>
      </c>
    </row>
    <row r="3171" spans="1:2" x14ac:dyDescent="0.25">
      <c r="A3171" s="1">
        <v>40403</v>
      </c>
      <c r="B3171">
        <v>1346345.97</v>
      </c>
    </row>
    <row r="3172" spans="1:2" x14ac:dyDescent="0.25">
      <c r="A3172" s="1">
        <v>40410</v>
      </c>
      <c r="B3172">
        <v>1439901.05</v>
      </c>
    </row>
    <row r="3173" spans="1:2" x14ac:dyDescent="0.25">
      <c r="A3173" s="1">
        <v>40417</v>
      </c>
      <c r="B3173">
        <v>1584623.36</v>
      </c>
    </row>
    <row r="3174" spans="1:2" x14ac:dyDescent="0.25">
      <c r="A3174" s="1">
        <v>40424</v>
      </c>
      <c r="B3174">
        <v>1405119.23</v>
      </c>
    </row>
    <row r="3175" spans="1:2" x14ac:dyDescent="0.25">
      <c r="A3175" s="1">
        <v>40431</v>
      </c>
      <c r="B3175">
        <v>1272842.8500000001</v>
      </c>
    </row>
    <row r="3176" spans="1:2" x14ac:dyDescent="0.25">
      <c r="A3176" s="1">
        <v>40438</v>
      </c>
      <c r="B3176">
        <v>1159132.58</v>
      </c>
    </row>
    <row r="3177" spans="1:2" x14ac:dyDescent="0.25">
      <c r="A3177" s="1">
        <v>40445</v>
      </c>
      <c r="B3177">
        <v>1099055.6499999999</v>
      </c>
    </row>
    <row r="3178" spans="1:2" x14ac:dyDescent="0.25">
      <c r="A3178" s="1">
        <v>40452</v>
      </c>
      <c r="B3178">
        <v>1129909.44</v>
      </c>
    </row>
    <row r="3179" spans="1:2" x14ac:dyDescent="0.25">
      <c r="A3179" s="1">
        <v>40459</v>
      </c>
      <c r="B3179">
        <v>1179851.68</v>
      </c>
    </row>
    <row r="3180" spans="1:2" x14ac:dyDescent="0.25">
      <c r="A3180" s="1">
        <v>40466</v>
      </c>
      <c r="B3180">
        <v>1119809.71</v>
      </c>
    </row>
    <row r="3181" spans="1:2" x14ac:dyDescent="0.25">
      <c r="A3181" s="1">
        <v>40473</v>
      </c>
      <c r="B3181">
        <v>1147503.92</v>
      </c>
    </row>
    <row r="3182" spans="1:2" x14ac:dyDescent="0.25">
      <c r="A3182" s="1">
        <v>40480</v>
      </c>
      <c r="B3182">
        <v>1112871.23</v>
      </c>
    </row>
    <row r="3183" spans="1:2" x14ac:dyDescent="0.25">
      <c r="A3183" s="1">
        <v>40487</v>
      </c>
      <c r="B3183">
        <v>1203119.96</v>
      </c>
    </row>
    <row r="3184" spans="1:2" x14ac:dyDescent="0.25">
      <c r="A3184" s="1">
        <v>40494</v>
      </c>
      <c r="B3184">
        <v>1387953.75</v>
      </c>
    </row>
    <row r="3185" spans="1:2" x14ac:dyDescent="0.25">
      <c r="A3185" s="1">
        <v>40501</v>
      </c>
      <c r="B3185">
        <v>1314994.32</v>
      </c>
    </row>
    <row r="3186" spans="1:2" x14ac:dyDescent="0.25">
      <c r="A3186" s="1">
        <v>40508</v>
      </c>
      <c r="B3186">
        <v>2072685.05</v>
      </c>
    </row>
    <row r="3187" spans="1:2" x14ac:dyDescent="0.25">
      <c r="A3187" s="1">
        <v>40515</v>
      </c>
      <c r="B3187">
        <v>1617025.41</v>
      </c>
    </row>
    <row r="3188" spans="1:2" x14ac:dyDescent="0.25">
      <c r="A3188" s="1">
        <v>40522</v>
      </c>
      <c r="B3188">
        <v>1872365.99</v>
      </c>
    </row>
    <row r="3189" spans="1:2" x14ac:dyDescent="0.25">
      <c r="A3189" s="1">
        <v>40529</v>
      </c>
      <c r="B3189">
        <v>2238573.48</v>
      </c>
    </row>
    <row r="3190" spans="1:2" x14ac:dyDescent="0.25">
      <c r="A3190" s="1">
        <v>40536</v>
      </c>
      <c r="B3190">
        <v>2734277.1</v>
      </c>
    </row>
    <row r="3191" spans="1:2" x14ac:dyDescent="0.25">
      <c r="A3191" s="1">
        <v>40543</v>
      </c>
      <c r="B3191">
        <v>1169773.8500000001</v>
      </c>
    </row>
    <row r="3192" spans="1:2" x14ac:dyDescent="0.25">
      <c r="A3192" s="1">
        <v>40550</v>
      </c>
      <c r="B3192">
        <v>1122034.48</v>
      </c>
    </row>
    <row r="3193" spans="1:2" x14ac:dyDescent="0.25">
      <c r="A3193" s="1">
        <v>40557</v>
      </c>
      <c r="B3193">
        <v>1016756.1</v>
      </c>
    </row>
    <row r="3194" spans="1:2" x14ac:dyDescent="0.25">
      <c r="A3194" s="1">
        <v>40564</v>
      </c>
      <c r="B3194">
        <v>1110706.06</v>
      </c>
    </row>
    <row r="3195" spans="1:2" x14ac:dyDescent="0.25">
      <c r="A3195" s="1">
        <v>40571</v>
      </c>
      <c r="B3195">
        <v>1083657.6100000001</v>
      </c>
    </row>
    <row r="3196" spans="1:2" x14ac:dyDescent="0.25">
      <c r="A3196" s="1">
        <v>40578</v>
      </c>
      <c r="B3196">
        <v>1159438.53</v>
      </c>
    </row>
    <row r="3197" spans="1:2" x14ac:dyDescent="0.25">
      <c r="A3197" s="1">
        <v>40585</v>
      </c>
      <c r="B3197">
        <v>1249786.3999999999</v>
      </c>
    </row>
    <row r="3198" spans="1:2" x14ac:dyDescent="0.25">
      <c r="A3198" s="1">
        <v>40592</v>
      </c>
      <c r="B3198">
        <v>1369971.57</v>
      </c>
    </row>
    <row r="3199" spans="1:2" x14ac:dyDescent="0.25">
      <c r="A3199" s="1">
        <v>40599</v>
      </c>
      <c r="B3199">
        <v>1206917.2</v>
      </c>
    </row>
    <row r="3200" spans="1:2" x14ac:dyDescent="0.25">
      <c r="A3200" s="1">
        <v>40606</v>
      </c>
      <c r="B3200">
        <v>1301185.28</v>
      </c>
    </row>
    <row r="3201" spans="1:2" x14ac:dyDescent="0.25">
      <c r="A3201" s="1">
        <v>40613</v>
      </c>
      <c r="B3201">
        <v>1042043.55</v>
      </c>
    </row>
    <row r="3202" spans="1:2" x14ac:dyDescent="0.25">
      <c r="A3202" s="1">
        <v>40620</v>
      </c>
      <c r="B3202">
        <v>1203682.6200000001</v>
      </c>
    </row>
    <row r="3203" spans="1:2" x14ac:dyDescent="0.25">
      <c r="A3203" s="1">
        <v>40627</v>
      </c>
      <c r="B3203">
        <v>1148624.83</v>
      </c>
    </row>
    <row r="3204" spans="1:2" x14ac:dyDescent="0.25">
      <c r="A3204" s="1">
        <v>40634</v>
      </c>
      <c r="B3204">
        <v>1182694.95</v>
      </c>
    </row>
    <row r="3205" spans="1:2" x14ac:dyDescent="0.25">
      <c r="A3205" s="1">
        <v>40641</v>
      </c>
      <c r="B3205">
        <v>1248901.98</v>
      </c>
    </row>
    <row r="3206" spans="1:2" x14ac:dyDescent="0.25">
      <c r="A3206" s="1">
        <v>40648</v>
      </c>
      <c r="B3206">
        <v>1263680.51</v>
      </c>
    </row>
    <row r="3207" spans="1:2" x14ac:dyDescent="0.25">
      <c r="A3207" s="1">
        <v>40655</v>
      </c>
      <c r="B3207">
        <v>1447301.24</v>
      </c>
    </row>
    <row r="3208" spans="1:2" x14ac:dyDescent="0.25">
      <c r="A3208" s="1">
        <v>40662</v>
      </c>
      <c r="B3208">
        <v>1173307.3999999999</v>
      </c>
    </row>
    <row r="3209" spans="1:2" x14ac:dyDescent="0.25">
      <c r="A3209" s="1">
        <v>40669</v>
      </c>
      <c r="B3209">
        <v>1359921.13</v>
      </c>
    </row>
    <row r="3210" spans="1:2" x14ac:dyDescent="0.25">
      <c r="A3210" s="1">
        <v>40676</v>
      </c>
      <c r="B3210">
        <v>1254914.8700000001</v>
      </c>
    </row>
    <row r="3211" spans="1:2" x14ac:dyDescent="0.25">
      <c r="A3211" s="1">
        <v>40683</v>
      </c>
      <c r="B3211">
        <v>1337617.55</v>
      </c>
    </row>
    <row r="3212" spans="1:2" x14ac:dyDescent="0.25">
      <c r="A3212" s="1">
        <v>40690</v>
      </c>
      <c r="B3212">
        <v>1361945.18</v>
      </c>
    </row>
    <row r="3213" spans="1:2" x14ac:dyDescent="0.25">
      <c r="A3213" s="1">
        <v>40697</v>
      </c>
      <c r="B3213">
        <v>1562161.97</v>
      </c>
    </row>
    <row r="3214" spans="1:2" x14ac:dyDescent="0.25">
      <c r="A3214" s="1">
        <v>40704</v>
      </c>
      <c r="B3214">
        <v>1447028.06</v>
      </c>
    </row>
    <row r="3215" spans="1:2" x14ac:dyDescent="0.25">
      <c r="A3215" s="1">
        <v>40711</v>
      </c>
      <c r="B3215">
        <v>1470520.83</v>
      </c>
    </row>
    <row r="3216" spans="1:2" x14ac:dyDescent="0.25">
      <c r="A3216" s="1">
        <v>40718</v>
      </c>
      <c r="B3216">
        <v>1434036.18</v>
      </c>
    </row>
    <row r="3217" spans="1:2" x14ac:dyDescent="0.25">
      <c r="A3217" s="1">
        <v>40725</v>
      </c>
      <c r="B3217">
        <v>1492507.44</v>
      </c>
    </row>
    <row r="3218" spans="1:2" x14ac:dyDescent="0.25">
      <c r="A3218" s="1">
        <v>40732</v>
      </c>
      <c r="B3218">
        <v>1379488.05</v>
      </c>
    </row>
    <row r="3219" spans="1:2" x14ac:dyDescent="0.25">
      <c r="A3219" s="1">
        <v>40739</v>
      </c>
      <c r="B3219">
        <v>1360520.56</v>
      </c>
    </row>
    <row r="3220" spans="1:2" x14ac:dyDescent="0.25">
      <c r="A3220" s="1">
        <v>40746</v>
      </c>
      <c r="B3220">
        <v>1362144</v>
      </c>
    </row>
    <row r="3221" spans="1:2" x14ac:dyDescent="0.25">
      <c r="A3221" s="1">
        <v>40753</v>
      </c>
      <c r="B3221">
        <v>1319767.55</v>
      </c>
    </row>
    <row r="3222" spans="1:2" x14ac:dyDescent="0.25">
      <c r="A3222" s="1">
        <v>40760</v>
      </c>
      <c r="B3222">
        <v>1416344.68</v>
      </c>
    </row>
    <row r="3223" spans="1:2" x14ac:dyDescent="0.25">
      <c r="A3223" s="1">
        <v>40767</v>
      </c>
      <c r="B3223">
        <v>1380952.05</v>
      </c>
    </row>
    <row r="3224" spans="1:2" x14ac:dyDescent="0.25">
      <c r="A3224" s="1">
        <v>40774</v>
      </c>
      <c r="B3224">
        <v>1453416.53</v>
      </c>
    </row>
    <row r="3225" spans="1:2" x14ac:dyDescent="0.25">
      <c r="A3225" s="1">
        <v>40781</v>
      </c>
      <c r="B3225">
        <v>1637266.29</v>
      </c>
    </row>
    <row r="3226" spans="1:2" x14ac:dyDescent="0.25">
      <c r="A3226" s="1">
        <v>40788</v>
      </c>
      <c r="B3226">
        <v>1464295.69</v>
      </c>
    </row>
    <row r="3227" spans="1:2" x14ac:dyDescent="0.25">
      <c r="A3227" s="1">
        <v>40795</v>
      </c>
      <c r="B3227">
        <v>1423289.9</v>
      </c>
    </row>
    <row r="3228" spans="1:2" x14ac:dyDescent="0.25">
      <c r="A3228" s="1">
        <v>40802</v>
      </c>
      <c r="B3228">
        <v>1253329.17</v>
      </c>
    </row>
    <row r="3229" spans="1:2" x14ac:dyDescent="0.25">
      <c r="A3229" s="1">
        <v>40809</v>
      </c>
      <c r="B3229">
        <v>1289082.81</v>
      </c>
    </row>
    <row r="3230" spans="1:2" x14ac:dyDescent="0.25">
      <c r="A3230" s="1">
        <v>40816</v>
      </c>
      <c r="B3230">
        <v>1275597.8500000001</v>
      </c>
    </row>
    <row r="3231" spans="1:2" x14ac:dyDescent="0.25">
      <c r="A3231" s="1">
        <v>40823</v>
      </c>
      <c r="B3231">
        <v>1463501.99</v>
      </c>
    </row>
    <row r="3232" spans="1:2" x14ac:dyDescent="0.25">
      <c r="A3232" s="1">
        <v>40830</v>
      </c>
      <c r="B3232">
        <v>1257778.3400000001</v>
      </c>
    </row>
    <row r="3233" spans="1:2" x14ac:dyDescent="0.25">
      <c r="A3233" s="1">
        <v>40837</v>
      </c>
      <c r="B3233">
        <v>1441032.59</v>
      </c>
    </row>
    <row r="3234" spans="1:2" x14ac:dyDescent="0.25">
      <c r="A3234" s="1">
        <v>40844</v>
      </c>
      <c r="B3234">
        <v>1407191.96</v>
      </c>
    </row>
    <row r="3235" spans="1:2" x14ac:dyDescent="0.25">
      <c r="A3235" s="1">
        <v>40851</v>
      </c>
      <c r="B3235">
        <v>1428436.33</v>
      </c>
    </row>
    <row r="3236" spans="1:2" x14ac:dyDescent="0.25">
      <c r="A3236" s="1">
        <v>40858</v>
      </c>
      <c r="B3236">
        <v>1436940.78</v>
      </c>
    </row>
    <row r="3237" spans="1:2" x14ac:dyDescent="0.25">
      <c r="A3237" s="1">
        <v>40865</v>
      </c>
      <c r="B3237">
        <v>1345631.96</v>
      </c>
    </row>
    <row r="3238" spans="1:2" x14ac:dyDescent="0.25">
      <c r="A3238" s="1">
        <v>40872</v>
      </c>
      <c r="B3238">
        <v>2057059.53</v>
      </c>
    </row>
    <row r="3239" spans="1:2" x14ac:dyDescent="0.25">
      <c r="A3239" s="1">
        <v>40879</v>
      </c>
      <c r="B3239">
        <v>1552886.59</v>
      </c>
    </row>
    <row r="3240" spans="1:2" x14ac:dyDescent="0.25">
      <c r="A3240" s="1">
        <v>40886</v>
      </c>
      <c r="B3240">
        <v>1841173.6</v>
      </c>
    </row>
    <row r="3241" spans="1:2" x14ac:dyDescent="0.25">
      <c r="A3241" s="1">
        <v>40893</v>
      </c>
      <c r="B3241">
        <v>2173621.2000000002</v>
      </c>
    </row>
    <row r="3242" spans="1:2" x14ac:dyDescent="0.25">
      <c r="A3242" s="1">
        <v>40900</v>
      </c>
      <c r="B3242">
        <v>2587953.3199999998</v>
      </c>
    </row>
    <row r="3243" spans="1:2" x14ac:dyDescent="0.25">
      <c r="A3243" s="1">
        <v>40907</v>
      </c>
      <c r="B3243">
        <v>1213486.95</v>
      </c>
    </row>
    <row r="3244" spans="1:2" x14ac:dyDescent="0.25">
      <c r="A3244" s="1">
        <v>40914</v>
      </c>
      <c r="B3244">
        <v>1150662.55</v>
      </c>
    </row>
    <row r="3245" spans="1:2" x14ac:dyDescent="0.25">
      <c r="A3245" s="1">
        <v>40921</v>
      </c>
      <c r="B3245">
        <v>1031451.35</v>
      </c>
    </row>
    <row r="3246" spans="1:2" x14ac:dyDescent="0.25">
      <c r="A3246" s="1">
        <v>40928</v>
      </c>
      <c r="B3246">
        <v>1146992.1299999999</v>
      </c>
    </row>
    <row r="3247" spans="1:2" x14ac:dyDescent="0.25">
      <c r="A3247" s="1">
        <v>40935</v>
      </c>
      <c r="B3247">
        <v>1037476.38</v>
      </c>
    </row>
    <row r="3248" spans="1:2" x14ac:dyDescent="0.25">
      <c r="A3248" s="1">
        <v>40942</v>
      </c>
      <c r="B3248">
        <v>1261872.67</v>
      </c>
    </row>
    <row r="3249" spans="1:2" x14ac:dyDescent="0.25">
      <c r="A3249" s="1">
        <v>40949</v>
      </c>
      <c r="B3249">
        <v>1358444.07</v>
      </c>
    </row>
    <row r="3250" spans="1:2" x14ac:dyDescent="0.25">
      <c r="A3250" s="1">
        <v>40956</v>
      </c>
      <c r="B3250">
        <v>1365546.69</v>
      </c>
    </row>
    <row r="3251" spans="1:2" x14ac:dyDescent="0.25">
      <c r="A3251" s="1">
        <v>40963</v>
      </c>
      <c r="B3251">
        <v>1272948.27</v>
      </c>
    </row>
    <row r="3252" spans="1:2" x14ac:dyDescent="0.25">
      <c r="A3252" s="1">
        <v>40970</v>
      </c>
      <c r="B3252">
        <v>1322852.2</v>
      </c>
    </row>
    <row r="3253" spans="1:2" x14ac:dyDescent="0.25">
      <c r="A3253" s="1">
        <v>40977</v>
      </c>
      <c r="B3253">
        <v>1292724.8999999999</v>
      </c>
    </row>
    <row r="3254" spans="1:2" x14ac:dyDescent="0.25">
      <c r="A3254" s="1">
        <v>40984</v>
      </c>
      <c r="B3254">
        <v>1258364.31</v>
      </c>
    </row>
    <row r="3255" spans="1:2" x14ac:dyDescent="0.25">
      <c r="A3255" s="1">
        <v>40991</v>
      </c>
      <c r="B3255">
        <v>1288154.1000000001</v>
      </c>
    </row>
    <row r="3256" spans="1:2" x14ac:dyDescent="0.25">
      <c r="A3256" s="1">
        <v>40998</v>
      </c>
      <c r="B3256">
        <v>1261964.96</v>
      </c>
    </row>
    <row r="3257" spans="1:2" x14ac:dyDescent="0.25">
      <c r="A3257" s="1">
        <v>41005</v>
      </c>
      <c r="B3257">
        <v>1604605.69</v>
      </c>
    </row>
    <row r="3258" spans="1:2" x14ac:dyDescent="0.25">
      <c r="A3258" s="1">
        <v>41012</v>
      </c>
      <c r="B3258">
        <v>1231752.54</v>
      </c>
    </row>
    <row r="3259" spans="1:2" x14ac:dyDescent="0.25">
      <c r="A3259" s="1">
        <v>41019</v>
      </c>
      <c r="B3259">
        <v>1287899.4099999999</v>
      </c>
    </row>
    <row r="3260" spans="1:2" x14ac:dyDescent="0.25">
      <c r="A3260" s="1">
        <v>41026</v>
      </c>
      <c r="B3260">
        <v>1277758.76</v>
      </c>
    </row>
    <row r="3261" spans="1:2" x14ac:dyDescent="0.25">
      <c r="A3261" s="1">
        <v>41033</v>
      </c>
      <c r="B3261">
        <v>1317379.68</v>
      </c>
    </row>
    <row r="3262" spans="1:2" x14ac:dyDescent="0.25">
      <c r="A3262" s="1">
        <v>41040</v>
      </c>
      <c r="B3262">
        <v>1321914.3400000001</v>
      </c>
    </row>
    <row r="3263" spans="1:2" x14ac:dyDescent="0.25">
      <c r="A3263" s="1">
        <v>41047</v>
      </c>
      <c r="B3263">
        <v>1332952.47</v>
      </c>
    </row>
    <row r="3264" spans="1:2" x14ac:dyDescent="0.25">
      <c r="A3264" s="1">
        <v>41054</v>
      </c>
      <c r="B3264">
        <v>1552934.64</v>
      </c>
    </row>
    <row r="3265" spans="1:2" x14ac:dyDescent="0.25">
      <c r="A3265" s="1">
        <v>41061</v>
      </c>
      <c r="B3265">
        <v>1476144.34</v>
      </c>
    </row>
    <row r="3266" spans="1:2" x14ac:dyDescent="0.25">
      <c r="A3266" s="1">
        <v>41068</v>
      </c>
      <c r="B3266">
        <v>1568048.54</v>
      </c>
    </row>
    <row r="3267" spans="1:2" x14ac:dyDescent="0.25">
      <c r="A3267" s="1">
        <v>41075</v>
      </c>
      <c r="B3267">
        <v>1543667.68</v>
      </c>
    </row>
    <row r="3268" spans="1:2" x14ac:dyDescent="0.25">
      <c r="A3268" s="1">
        <v>41082</v>
      </c>
      <c r="B3268">
        <v>1522042.57</v>
      </c>
    </row>
    <row r="3269" spans="1:2" x14ac:dyDescent="0.25">
      <c r="A3269" s="1">
        <v>41089</v>
      </c>
      <c r="B3269">
        <v>1451782.16</v>
      </c>
    </row>
    <row r="3270" spans="1:2" x14ac:dyDescent="0.25">
      <c r="A3270" s="1">
        <v>41096</v>
      </c>
      <c r="B3270">
        <v>1545370.16</v>
      </c>
    </row>
    <row r="3271" spans="1:2" x14ac:dyDescent="0.25">
      <c r="A3271" s="1">
        <v>41103</v>
      </c>
      <c r="B3271">
        <v>1384921.63</v>
      </c>
    </row>
    <row r="3272" spans="1:2" x14ac:dyDescent="0.25">
      <c r="A3272" s="1">
        <v>41110</v>
      </c>
      <c r="B3272">
        <v>1381339.23</v>
      </c>
    </row>
    <row r="3273" spans="1:2" x14ac:dyDescent="0.25">
      <c r="A3273" s="1">
        <v>41117</v>
      </c>
      <c r="B3273">
        <v>1322932.3600000001</v>
      </c>
    </row>
    <row r="3274" spans="1:2" x14ac:dyDescent="0.25">
      <c r="A3274" s="1">
        <v>41124</v>
      </c>
      <c r="B3274">
        <v>1416926.31</v>
      </c>
    </row>
    <row r="3275" spans="1:2" x14ac:dyDescent="0.25">
      <c r="A3275" s="1">
        <v>41131</v>
      </c>
      <c r="B3275">
        <v>1436311.76</v>
      </c>
    </row>
    <row r="3276" spans="1:2" x14ac:dyDescent="0.25">
      <c r="A3276" s="1">
        <v>41138</v>
      </c>
      <c r="B3276">
        <v>1510131.45</v>
      </c>
    </row>
    <row r="3277" spans="1:2" x14ac:dyDescent="0.25">
      <c r="A3277" s="1">
        <v>41145</v>
      </c>
      <c r="B3277">
        <v>1702220.96</v>
      </c>
    </row>
    <row r="3278" spans="1:2" x14ac:dyDescent="0.25">
      <c r="A3278" s="1">
        <v>41152</v>
      </c>
      <c r="B3278">
        <v>1577468.78</v>
      </c>
    </row>
    <row r="3279" spans="1:2" x14ac:dyDescent="0.25">
      <c r="A3279" s="1">
        <v>41159</v>
      </c>
      <c r="B3279">
        <v>1427162.26</v>
      </c>
    </row>
    <row r="3280" spans="1:2" x14ac:dyDescent="0.25">
      <c r="A3280" s="1">
        <v>41166</v>
      </c>
      <c r="B3280">
        <v>1279041.6399999999</v>
      </c>
    </row>
    <row r="3281" spans="1:2" x14ac:dyDescent="0.25">
      <c r="A3281" s="1">
        <v>41173</v>
      </c>
      <c r="B3281">
        <v>1338627.55</v>
      </c>
    </row>
    <row r="3282" spans="1:2" x14ac:dyDescent="0.25">
      <c r="A3282" s="1">
        <v>41180</v>
      </c>
      <c r="B3282">
        <v>1319035.06</v>
      </c>
    </row>
    <row r="3283" spans="1:2" x14ac:dyDescent="0.25">
      <c r="A3283" s="1">
        <v>41187</v>
      </c>
      <c r="B3283">
        <v>1464616.59</v>
      </c>
    </row>
    <row r="3284" spans="1:2" x14ac:dyDescent="0.25">
      <c r="A3284" s="1">
        <v>41194</v>
      </c>
      <c r="B3284">
        <v>1412925.25</v>
      </c>
    </row>
    <row r="3285" spans="1:2" x14ac:dyDescent="0.25">
      <c r="A3285" s="1">
        <v>41201</v>
      </c>
      <c r="B3285">
        <v>1363155.77</v>
      </c>
    </row>
    <row r="3286" spans="1:2" x14ac:dyDescent="0.25">
      <c r="A3286" s="1">
        <v>41208</v>
      </c>
      <c r="B3286">
        <v>1347454.59</v>
      </c>
    </row>
    <row r="3287" spans="1:2" x14ac:dyDescent="0.25">
      <c r="A3287" s="1">
        <v>40214</v>
      </c>
      <c r="B3287">
        <v>1388725.63</v>
      </c>
    </row>
    <row r="3288" spans="1:2" x14ac:dyDescent="0.25">
      <c r="A3288" s="1">
        <v>40221</v>
      </c>
      <c r="B3288">
        <v>1414107.1</v>
      </c>
    </row>
    <row r="3289" spans="1:2" x14ac:dyDescent="0.25">
      <c r="A3289" s="1">
        <v>40228</v>
      </c>
      <c r="B3289">
        <v>1385362.49</v>
      </c>
    </row>
    <row r="3290" spans="1:2" x14ac:dyDescent="0.25">
      <c r="A3290" s="1">
        <v>40235</v>
      </c>
      <c r="B3290">
        <v>1158722.74</v>
      </c>
    </row>
    <row r="3291" spans="1:2" x14ac:dyDescent="0.25">
      <c r="A3291" s="1">
        <v>40242</v>
      </c>
      <c r="B3291">
        <v>1412387.37</v>
      </c>
    </row>
    <row r="3292" spans="1:2" x14ac:dyDescent="0.25">
      <c r="A3292" s="1">
        <v>40249</v>
      </c>
      <c r="B3292">
        <v>1309340.1599999999</v>
      </c>
    </row>
    <row r="3293" spans="1:2" x14ac:dyDescent="0.25">
      <c r="A3293" s="1">
        <v>40256</v>
      </c>
      <c r="B3293">
        <v>1222511.29</v>
      </c>
    </row>
    <row r="3294" spans="1:2" x14ac:dyDescent="0.25">
      <c r="A3294" s="1">
        <v>40263</v>
      </c>
      <c r="B3294">
        <v>1258311.56</v>
      </c>
    </row>
    <row r="3295" spans="1:2" x14ac:dyDescent="0.25">
      <c r="A3295" s="1">
        <v>40270</v>
      </c>
      <c r="B3295">
        <v>1478321.26</v>
      </c>
    </row>
    <row r="3296" spans="1:2" x14ac:dyDescent="0.25">
      <c r="A3296" s="1">
        <v>40277</v>
      </c>
      <c r="B3296">
        <v>1379579.63</v>
      </c>
    </row>
    <row r="3297" spans="1:2" x14ac:dyDescent="0.25">
      <c r="A3297" s="1">
        <v>40284</v>
      </c>
      <c r="B3297">
        <v>1268266.72</v>
      </c>
    </row>
    <row r="3298" spans="1:2" x14ac:dyDescent="0.25">
      <c r="A3298" s="1">
        <v>40291</v>
      </c>
      <c r="B3298">
        <v>1264117.01</v>
      </c>
    </row>
    <row r="3299" spans="1:2" x14ac:dyDescent="0.25">
      <c r="A3299" s="1">
        <v>40298</v>
      </c>
      <c r="B3299">
        <v>1259877.19</v>
      </c>
    </row>
    <row r="3300" spans="1:2" x14ac:dyDescent="0.25">
      <c r="A3300" s="1">
        <v>40305</v>
      </c>
      <c r="B3300">
        <v>1409705.03</v>
      </c>
    </row>
    <row r="3301" spans="1:2" x14ac:dyDescent="0.25">
      <c r="A3301" s="1">
        <v>40312</v>
      </c>
      <c r="B3301">
        <v>1346783.35</v>
      </c>
    </row>
    <row r="3302" spans="1:2" x14ac:dyDescent="0.25">
      <c r="A3302" s="1">
        <v>40319</v>
      </c>
      <c r="B3302">
        <v>1283482.8500000001</v>
      </c>
    </row>
    <row r="3303" spans="1:2" x14ac:dyDescent="0.25">
      <c r="A3303" s="1">
        <v>40326</v>
      </c>
      <c r="B3303">
        <v>1473868.15</v>
      </c>
    </row>
    <row r="3304" spans="1:2" x14ac:dyDescent="0.25">
      <c r="A3304" s="1">
        <v>40333</v>
      </c>
      <c r="B3304">
        <v>1566668.91</v>
      </c>
    </row>
    <row r="3305" spans="1:2" x14ac:dyDescent="0.25">
      <c r="A3305" s="1">
        <v>40340</v>
      </c>
      <c r="B3305">
        <v>1375458.21</v>
      </c>
    </row>
    <row r="3306" spans="1:2" x14ac:dyDescent="0.25">
      <c r="A3306" s="1">
        <v>40347</v>
      </c>
      <c r="B3306">
        <v>1354168.18</v>
      </c>
    </row>
    <row r="3307" spans="1:2" x14ac:dyDescent="0.25">
      <c r="A3307" s="1">
        <v>40354</v>
      </c>
      <c r="B3307">
        <v>1399073.75</v>
      </c>
    </row>
    <row r="3308" spans="1:2" x14ac:dyDescent="0.25">
      <c r="A3308" s="1">
        <v>40361</v>
      </c>
      <c r="B3308">
        <v>1563387.94</v>
      </c>
    </row>
    <row r="3309" spans="1:2" x14ac:dyDescent="0.25">
      <c r="A3309" s="1">
        <v>40368</v>
      </c>
      <c r="B3309">
        <v>1665502.55</v>
      </c>
    </row>
    <row r="3310" spans="1:2" x14ac:dyDescent="0.25">
      <c r="A3310" s="1">
        <v>40375</v>
      </c>
      <c r="B3310">
        <v>1418697.05</v>
      </c>
    </row>
    <row r="3311" spans="1:2" x14ac:dyDescent="0.25">
      <c r="A3311" s="1">
        <v>40382</v>
      </c>
      <c r="B3311">
        <v>1333740.3500000001</v>
      </c>
    </row>
    <row r="3312" spans="1:2" x14ac:dyDescent="0.25">
      <c r="A3312" s="1">
        <v>40389</v>
      </c>
      <c r="B3312">
        <v>1387517.63</v>
      </c>
    </row>
    <row r="3313" spans="1:2" x14ac:dyDescent="0.25">
      <c r="A3313" s="1">
        <v>40396</v>
      </c>
      <c r="B3313">
        <v>1442819.28</v>
      </c>
    </row>
    <row r="3314" spans="1:2" x14ac:dyDescent="0.25">
      <c r="A3314" s="1">
        <v>40403</v>
      </c>
      <c r="B3314">
        <v>1384243.75</v>
      </c>
    </row>
    <row r="3315" spans="1:2" x14ac:dyDescent="0.25">
      <c r="A3315" s="1">
        <v>40410</v>
      </c>
      <c r="B3315">
        <v>1375307.54</v>
      </c>
    </row>
    <row r="3316" spans="1:2" x14ac:dyDescent="0.25">
      <c r="A3316" s="1">
        <v>40417</v>
      </c>
      <c r="B3316">
        <v>1350059.35</v>
      </c>
    </row>
    <row r="3317" spans="1:2" x14ac:dyDescent="0.25">
      <c r="A3317" s="1">
        <v>40424</v>
      </c>
      <c r="B3317">
        <v>1366381.6</v>
      </c>
    </row>
    <row r="3318" spans="1:2" x14ac:dyDescent="0.25">
      <c r="A3318" s="1">
        <v>40431</v>
      </c>
      <c r="B3318">
        <v>1474498.59</v>
      </c>
    </row>
    <row r="3319" spans="1:2" x14ac:dyDescent="0.25">
      <c r="A3319" s="1">
        <v>40438</v>
      </c>
      <c r="B3319">
        <v>1273295.46</v>
      </c>
    </row>
    <row r="3320" spans="1:2" x14ac:dyDescent="0.25">
      <c r="A3320" s="1">
        <v>40445</v>
      </c>
      <c r="B3320">
        <v>1169413.27</v>
      </c>
    </row>
    <row r="3321" spans="1:2" x14ac:dyDescent="0.25">
      <c r="A3321" s="1">
        <v>40452</v>
      </c>
      <c r="B3321">
        <v>1215273.2</v>
      </c>
    </row>
    <row r="3322" spans="1:2" x14ac:dyDescent="0.25">
      <c r="A3322" s="1">
        <v>40459</v>
      </c>
      <c r="B3322">
        <v>1361944.94</v>
      </c>
    </row>
    <row r="3323" spans="1:2" x14ac:dyDescent="0.25">
      <c r="A3323" s="1">
        <v>40466</v>
      </c>
      <c r="B3323">
        <v>1300806.74</v>
      </c>
    </row>
    <row r="3324" spans="1:2" x14ac:dyDescent="0.25">
      <c r="A3324" s="1">
        <v>40473</v>
      </c>
      <c r="B3324">
        <v>1234875.33</v>
      </c>
    </row>
    <row r="3325" spans="1:2" x14ac:dyDescent="0.25">
      <c r="A3325" s="1">
        <v>40480</v>
      </c>
      <c r="B3325">
        <v>1244925.94</v>
      </c>
    </row>
    <row r="3326" spans="1:2" x14ac:dyDescent="0.25">
      <c r="A3326" s="1">
        <v>40487</v>
      </c>
      <c r="B3326">
        <v>1285358.01</v>
      </c>
    </row>
    <row r="3327" spans="1:2" x14ac:dyDescent="0.25">
      <c r="A3327" s="1">
        <v>40494</v>
      </c>
      <c r="B3327">
        <v>1312877.01</v>
      </c>
    </row>
    <row r="3328" spans="1:2" x14ac:dyDescent="0.25">
      <c r="A3328" s="1">
        <v>40501</v>
      </c>
      <c r="B3328">
        <v>1277150.6000000001</v>
      </c>
    </row>
    <row r="3329" spans="1:2" x14ac:dyDescent="0.25">
      <c r="A3329" s="1">
        <v>40508</v>
      </c>
      <c r="B3329">
        <v>1779276.51</v>
      </c>
    </row>
    <row r="3330" spans="1:2" x14ac:dyDescent="0.25">
      <c r="A3330" s="1">
        <v>40515</v>
      </c>
      <c r="B3330">
        <v>1413302.7</v>
      </c>
    </row>
    <row r="3331" spans="1:2" x14ac:dyDescent="0.25">
      <c r="A3331" s="1">
        <v>40522</v>
      </c>
      <c r="B3331">
        <v>1593012.75</v>
      </c>
    </row>
    <row r="3332" spans="1:2" x14ac:dyDescent="0.25">
      <c r="A3332" s="1">
        <v>40529</v>
      </c>
      <c r="B3332">
        <v>1663525.77</v>
      </c>
    </row>
    <row r="3333" spans="1:2" x14ac:dyDescent="0.25">
      <c r="A3333" s="1">
        <v>40536</v>
      </c>
      <c r="B3333">
        <v>2386015.75</v>
      </c>
    </row>
    <row r="3334" spans="1:2" x14ac:dyDescent="0.25">
      <c r="A3334" s="1">
        <v>40543</v>
      </c>
      <c r="B3334">
        <v>1208600.05</v>
      </c>
    </row>
    <row r="3335" spans="1:2" x14ac:dyDescent="0.25">
      <c r="A3335" s="1">
        <v>40550</v>
      </c>
      <c r="B3335">
        <v>1178641.71</v>
      </c>
    </row>
    <row r="3336" spans="1:2" x14ac:dyDescent="0.25">
      <c r="A3336" s="1">
        <v>40557</v>
      </c>
      <c r="B3336">
        <v>1167740.2</v>
      </c>
    </row>
    <row r="3337" spans="1:2" x14ac:dyDescent="0.25">
      <c r="A3337" s="1">
        <v>40564</v>
      </c>
      <c r="B3337">
        <v>1107170.3899999999</v>
      </c>
    </row>
    <row r="3338" spans="1:2" x14ac:dyDescent="0.25">
      <c r="A3338" s="1">
        <v>40571</v>
      </c>
      <c r="B3338">
        <v>1126921.3400000001</v>
      </c>
    </row>
    <row r="3339" spans="1:2" x14ac:dyDescent="0.25">
      <c r="A3339" s="1">
        <v>40578</v>
      </c>
      <c r="B3339">
        <v>1225182.04</v>
      </c>
    </row>
    <row r="3340" spans="1:2" x14ac:dyDescent="0.25">
      <c r="A3340" s="1">
        <v>40585</v>
      </c>
      <c r="B3340">
        <v>1341240.6200000001</v>
      </c>
    </row>
    <row r="3341" spans="1:2" x14ac:dyDescent="0.25">
      <c r="A3341" s="1">
        <v>40592</v>
      </c>
      <c r="B3341">
        <v>1360150.12</v>
      </c>
    </row>
    <row r="3342" spans="1:2" x14ac:dyDescent="0.25">
      <c r="A3342" s="1">
        <v>40599</v>
      </c>
      <c r="B3342">
        <v>1235121.33</v>
      </c>
    </row>
    <row r="3343" spans="1:2" x14ac:dyDescent="0.25">
      <c r="A3343" s="1">
        <v>40606</v>
      </c>
      <c r="B3343">
        <v>1346994.53</v>
      </c>
    </row>
    <row r="3344" spans="1:2" x14ac:dyDescent="0.25">
      <c r="A3344" s="1">
        <v>40613</v>
      </c>
      <c r="B3344">
        <v>1253218.7</v>
      </c>
    </row>
    <row r="3345" spans="1:2" x14ac:dyDescent="0.25">
      <c r="A3345" s="1">
        <v>40620</v>
      </c>
      <c r="B3345">
        <v>1168397.26</v>
      </c>
    </row>
    <row r="3346" spans="1:2" x14ac:dyDescent="0.25">
      <c r="A3346" s="1">
        <v>40627</v>
      </c>
      <c r="B3346">
        <v>1158693.1200000001</v>
      </c>
    </row>
    <row r="3347" spans="1:2" x14ac:dyDescent="0.25">
      <c r="A3347" s="1">
        <v>40634</v>
      </c>
      <c r="B3347">
        <v>1163803.3</v>
      </c>
    </row>
    <row r="3348" spans="1:2" x14ac:dyDescent="0.25">
      <c r="A3348" s="1">
        <v>40641</v>
      </c>
      <c r="B3348">
        <v>1273670.32</v>
      </c>
    </row>
    <row r="3349" spans="1:2" x14ac:dyDescent="0.25">
      <c r="A3349" s="1">
        <v>40648</v>
      </c>
      <c r="B3349">
        <v>1245576.6499999999</v>
      </c>
    </row>
    <row r="3350" spans="1:2" x14ac:dyDescent="0.25">
      <c r="A3350" s="1">
        <v>40655</v>
      </c>
      <c r="B3350">
        <v>1372484.9</v>
      </c>
    </row>
    <row r="3351" spans="1:2" x14ac:dyDescent="0.25">
      <c r="A3351" s="1">
        <v>40662</v>
      </c>
      <c r="B3351">
        <v>1197761.17</v>
      </c>
    </row>
    <row r="3352" spans="1:2" x14ac:dyDescent="0.25">
      <c r="A3352" s="1">
        <v>40669</v>
      </c>
      <c r="B3352">
        <v>1339630.3500000001</v>
      </c>
    </row>
    <row r="3353" spans="1:2" x14ac:dyDescent="0.25">
      <c r="A3353" s="1">
        <v>40676</v>
      </c>
      <c r="B3353">
        <v>1311950.1599999999</v>
      </c>
    </row>
    <row r="3354" spans="1:2" x14ac:dyDescent="0.25">
      <c r="A3354" s="1">
        <v>40683</v>
      </c>
      <c r="B3354">
        <v>1234281.7</v>
      </c>
    </row>
    <row r="3355" spans="1:2" x14ac:dyDescent="0.25">
      <c r="A3355" s="1">
        <v>40690</v>
      </c>
      <c r="B3355">
        <v>1311153.72</v>
      </c>
    </row>
    <row r="3356" spans="1:2" x14ac:dyDescent="0.25">
      <c r="A3356" s="1">
        <v>40697</v>
      </c>
      <c r="B3356">
        <v>1554837.62</v>
      </c>
    </row>
    <row r="3357" spans="1:2" x14ac:dyDescent="0.25">
      <c r="A3357" s="1">
        <v>40704</v>
      </c>
      <c r="B3357">
        <v>1373841.91</v>
      </c>
    </row>
    <row r="3358" spans="1:2" x14ac:dyDescent="0.25">
      <c r="A3358" s="1">
        <v>40711</v>
      </c>
      <c r="B3358">
        <v>1320359.23</v>
      </c>
    </row>
    <row r="3359" spans="1:2" x14ac:dyDescent="0.25">
      <c r="A3359" s="1">
        <v>40718</v>
      </c>
      <c r="B3359">
        <v>1304850.67</v>
      </c>
    </row>
    <row r="3360" spans="1:2" x14ac:dyDescent="0.25">
      <c r="A3360" s="1">
        <v>40725</v>
      </c>
      <c r="B3360">
        <v>1445596.61</v>
      </c>
    </row>
    <row r="3361" spans="1:2" x14ac:dyDescent="0.25">
      <c r="A3361" s="1">
        <v>40732</v>
      </c>
      <c r="B3361">
        <v>1567340.07</v>
      </c>
    </row>
    <row r="3362" spans="1:2" x14ac:dyDescent="0.25">
      <c r="A3362" s="1">
        <v>40739</v>
      </c>
      <c r="B3362">
        <v>1356938.95</v>
      </c>
    </row>
    <row r="3363" spans="1:2" x14ac:dyDescent="0.25">
      <c r="A3363" s="1">
        <v>40746</v>
      </c>
      <c r="B3363">
        <v>1357672.24</v>
      </c>
    </row>
    <row r="3364" spans="1:2" x14ac:dyDescent="0.25">
      <c r="A3364" s="1">
        <v>40753</v>
      </c>
      <c r="B3364">
        <v>1310973.06</v>
      </c>
    </row>
    <row r="3365" spans="1:2" x14ac:dyDescent="0.25">
      <c r="A3365" s="1">
        <v>40760</v>
      </c>
      <c r="B3365">
        <v>1417616.81</v>
      </c>
    </row>
    <row r="3366" spans="1:2" x14ac:dyDescent="0.25">
      <c r="A3366" s="1">
        <v>40767</v>
      </c>
      <c r="B3366">
        <v>1402818.01</v>
      </c>
    </row>
    <row r="3367" spans="1:2" x14ac:dyDescent="0.25">
      <c r="A3367" s="1">
        <v>40774</v>
      </c>
      <c r="B3367">
        <v>1352039.88</v>
      </c>
    </row>
    <row r="3368" spans="1:2" x14ac:dyDescent="0.25">
      <c r="A3368" s="1">
        <v>40781</v>
      </c>
      <c r="B3368">
        <v>1402372.09</v>
      </c>
    </row>
    <row r="3369" spans="1:2" x14ac:dyDescent="0.25">
      <c r="A3369" s="1">
        <v>40788</v>
      </c>
      <c r="B3369">
        <v>1196105.44</v>
      </c>
    </row>
    <row r="3370" spans="1:2" x14ac:dyDescent="0.25">
      <c r="A3370" s="1">
        <v>40795</v>
      </c>
      <c r="B3370">
        <v>1527455.19</v>
      </c>
    </row>
    <row r="3371" spans="1:2" x14ac:dyDescent="0.25">
      <c r="A3371" s="1">
        <v>40802</v>
      </c>
      <c r="B3371">
        <v>1227535.97</v>
      </c>
    </row>
    <row r="3372" spans="1:2" x14ac:dyDescent="0.25">
      <c r="A3372" s="1">
        <v>40809</v>
      </c>
      <c r="B3372">
        <v>1232376.49</v>
      </c>
    </row>
    <row r="3373" spans="1:2" x14ac:dyDescent="0.25">
      <c r="A3373" s="1">
        <v>40816</v>
      </c>
      <c r="B3373">
        <v>1246242.6100000001</v>
      </c>
    </row>
    <row r="3374" spans="1:2" x14ac:dyDescent="0.25">
      <c r="A3374" s="1">
        <v>40823</v>
      </c>
      <c r="B3374">
        <v>1405914.39</v>
      </c>
    </row>
    <row r="3375" spans="1:2" x14ac:dyDescent="0.25">
      <c r="A3375" s="1">
        <v>40830</v>
      </c>
      <c r="B3375">
        <v>1333315.03</v>
      </c>
    </row>
    <row r="3376" spans="1:2" x14ac:dyDescent="0.25">
      <c r="A3376" s="1">
        <v>40837</v>
      </c>
      <c r="B3376">
        <v>1283563.43</v>
      </c>
    </row>
    <row r="3377" spans="1:2" x14ac:dyDescent="0.25">
      <c r="A3377" s="1">
        <v>40844</v>
      </c>
      <c r="B3377">
        <v>1307142.75</v>
      </c>
    </row>
    <row r="3378" spans="1:2" x14ac:dyDescent="0.25">
      <c r="A3378" s="1">
        <v>40851</v>
      </c>
      <c r="B3378">
        <v>1385860.38</v>
      </c>
    </row>
    <row r="3379" spans="1:2" x14ac:dyDescent="0.25">
      <c r="A3379" s="1">
        <v>40858</v>
      </c>
      <c r="B3379">
        <v>1425078.59</v>
      </c>
    </row>
    <row r="3380" spans="1:2" x14ac:dyDescent="0.25">
      <c r="A3380" s="1">
        <v>40865</v>
      </c>
      <c r="B3380">
        <v>1297535.69</v>
      </c>
    </row>
    <row r="3381" spans="1:2" x14ac:dyDescent="0.25">
      <c r="A3381" s="1">
        <v>40872</v>
      </c>
      <c r="B3381">
        <v>1761235.67</v>
      </c>
    </row>
    <row r="3382" spans="1:2" x14ac:dyDescent="0.25">
      <c r="A3382" s="1">
        <v>40879</v>
      </c>
      <c r="B3382">
        <v>1335647.1000000001</v>
      </c>
    </row>
    <row r="3383" spans="1:2" x14ac:dyDescent="0.25">
      <c r="A3383" s="1">
        <v>40886</v>
      </c>
      <c r="B3383">
        <v>1529615.54</v>
      </c>
    </row>
    <row r="3384" spans="1:2" x14ac:dyDescent="0.25">
      <c r="A3384" s="1">
        <v>40893</v>
      </c>
      <c r="B3384">
        <v>1624994.43</v>
      </c>
    </row>
    <row r="3385" spans="1:2" x14ac:dyDescent="0.25">
      <c r="A3385" s="1">
        <v>40900</v>
      </c>
      <c r="B3385">
        <v>2168344.23</v>
      </c>
    </row>
    <row r="3386" spans="1:2" x14ac:dyDescent="0.25">
      <c r="A3386" s="1">
        <v>40907</v>
      </c>
      <c r="B3386">
        <v>1363973.16</v>
      </c>
    </row>
    <row r="3387" spans="1:2" x14ac:dyDescent="0.25">
      <c r="A3387" s="1">
        <v>40914</v>
      </c>
      <c r="B3387">
        <v>1251581.8899999999</v>
      </c>
    </row>
    <row r="3388" spans="1:2" x14ac:dyDescent="0.25">
      <c r="A3388" s="1">
        <v>40921</v>
      </c>
      <c r="B3388">
        <v>1155594.2</v>
      </c>
    </row>
    <row r="3389" spans="1:2" x14ac:dyDescent="0.25">
      <c r="A3389" s="1">
        <v>40928</v>
      </c>
      <c r="B3389">
        <v>1151993.8500000001</v>
      </c>
    </row>
    <row r="3390" spans="1:2" x14ac:dyDescent="0.25">
      <c r="A3390" s="1">
        <v>40935</v>
      </c>
      <c r="B3390">
        <v>1057290.4099999999</v>
      </c>
    </row>
    <row r="3391" spans="1:2" x14ac:dyDescent="0.25">
      <c r="A3391" s="1">
        <v>40942</v>
      </c>
      <c r="B3391">
        <v>1249696.97</v>
      </c>
    </row>
    <row r="3392" spans="1:2" x14ac:dyDescent="0.25">
      <c r="A3392" s="1">
        <v>40949</v>
      </c>
      <c r="B3392">
        <v>1403460.87</v>
      </c>
    </row>
    <row r="3393" spans="1:2" x14ac:dyDescent="0.25">
      <c r="A3393" s="1">
        <v>40956</v>
      </c>
      <c r="B3393">
        <v>1326370.08</v>
      </c>
    </row>
    <row r="3394" spans="1:2" x14ac:dyDescent="0.25">
      <c r="A3394" s="1">
        <v>40963</v>
      </c>
      <c r="B3394">
        <v>1303233.1499999999</v>
      </c>
    </row>
    <row r="3395" spans="1:2" x14ac:dyDescent="0.25">
      <c r="A3395" s="1">
        <v>40970</v>
      </c>
      <c r="B3395">
        <v>1213994.3899999999</v>
      </c>
    </row>
    <row r="3396" spans="1:2" x14ac:dyDescent="0.25">
      <c r="A3396" s="1">
        <v>40977</v>
      </c>
      <c r="B3396">
        <v>1325835.7</v>
      </c>
    </row>
    <row r="3397" spans="1:2" x14ac:dyDescent="0.25">
      <c r="A3397" s="1">
        <v>40984</v>
      </c>
      <c r="B3397">
        <v>1239299.1200000001</v>
      </c>
    </row>
    <row r="3398" spans="1:2" x14ac:dyDescent="0.25">
      <c r="A3398" s="1">
        <v>40991</v>
      </c>
      <c r="B3398">
        <v>1221723.94</v>
      </c>
    </row>
    <row r="3399" spans="1:2" x14ac:dyDescent="0.25">
      <c r="A3399" s="1">
        <v>40998</v>
      </c>
      <c r="B3399">
        <v>1230106.1299999999</v>
      </c>
    </row>
    <row r="3400" spans="1:2" x14ac:dyDescent="0.25">
      <c r="A3400" s="1">
        <v>41005</v>
      </c>
      <c r="B3400">
        <v>1524734.29</v>
      </c>
    </row>
    <row r="3401" spans="1:2" x14ac:dyDescent="0.25">
      <c r="A3401" s="1">
        <v>41012</v>
      </c>
      <c r="B3401">
        <v>1285783.8700000001</v>
      </c>
    </row>
    <row r="3402" spans="1:2" x14ac:dyDescent="0.25">
      <c r="A3402" s="1">
        <v>41019</v>
      </c>
      <c r="B3402">
        <v>1208654.3999999999</v>
      </c>
    </row>
    <row r="3403" spans="1:2" x14ac:dyDescent="0.25">
      <c r="A3403" s="1">
        <v>41026</v>
      </c>
      <c r="B3403">
        <v>1194334.6499999999</v>
      </c>
    </row>
    <row r="3404" spans="1:2" x14ac:dyDescent="0.25">
      <c r="A3404" s="1">
        <v>41033</v>
      </c>
      <c r="B3404">
        <v>1306551.71</v>
      </c>
    </row>
    <row r="3405" spans="1:2" x14ac:dyDescent="0.25">
      <c r="A3405" s="1">
        <v>41040</v>
      </c>
      <c r="B3405">
        <v>1355391.79</v>
      </c>
    </row>
    <row r="3406" spans="1:2" x14ac:dyDescent="0.25">
      <c r="A3406" s="1">
        <v>41047</v>
      </c>
      <c r="B3406">
        <v>1298809.8</v>
      </c>
    </row>
    <row r="3407" spans="1:2" x14ac:dyDescent="0.25">
      <c r="A3407" s="1">
        <v>41054</v>
      </c>
      <c r="B3407">
        <v>1407897.57</v>
      </c>
    </row>
    <row r="3408" spans="1:2" x14ac:dyDescent="0.25">
      <c r="A3408" s="1">
        <v>41061</v>
      </c>
      <c r="B3408">
        <v>1467722.19</v>
      </c>
    </row>
    <row r="3409" spans="1:2" x14ac:dyDescent="0.25">
      <c r="A3409" s="1">
        <v>41068</v>
      </c>
      <c r="B3409">
        <v>1406313.13</v>
      </c>
    </row>
    <row r="3410" spans="1:2" x14ac:dyDescent="0.25">
      <c r="A3410" s="1">
        <v>41075</v>
      </c>
      <c r="B3410">
        <v>1364445.98</v>
      </c>
    </row>
    <row r="3411" spans="1:2" x14ac:dyDescent="0.25">
      <c r="A3411" s="1">
        <v>41082</v>
      </c>
      <c r="B3411">
        <v>1434709.63</v>
      </c>
    </row>
    <row r="3412" spans="1:2" x14ac:dyDescent="0.25">
      <c r="A3412" s="1">
        <v>41089</v>
      </c>
      <c r="B3412">
        <v>1428869.9</v>
      </c>
    </row>
    <row r="3413" spans="1:2" x14ac:dyDescent="0.25">
      <c r="A3413" s="1">
        <v>41096</v>
      </c>
      <c r="B3413">
        <v>1645097.75</v>
      </c>
    </row>
    <row r="3414" spans="1:2" x14ac:dyDescent="0.25">
      <c r="A3414" s="1">
        <v>41103</v>
      </c>
      <c r="B3414">
        <v>1405475.78</v>
      </c>
    </row>
    <row r="3415" spans="1:2" x14ac:dyDescent="0.25">
      <c r="A3415" s="1">
        <v>41110</v>
      </c>
      <c r="B3415">
        <v>1394299</v>
      </c>
    </row>
    <row r="3416" spans="1:2" x14ac:dyDescent="0.25">
      <c r="A3416" s="1">
        <v>41117</v>
      </c>
      <c r="B3416">
        <v>1307339.1399999999</v>
      </c>
    </row>
    <row r="3417" spans="1:2" x14ac:dyDescent="0.25">
      <c r="A3417" s="1">
        <v>41124</v>
      </c>
      <c r="B3417">
        <v>1440374.13</v>
      </c>
    </row>
    <row r="3418" spans="1:2" x14ac:dyDescent="0.25">
      <c r="A3418" s="1">
        <v>41131</v>
      </c>
      <c r="B3418">
        <v>1497054.81</v>
      </c>
    </row>
    <row r="3419" spans="1:2" x14ac:dyDescent="0.25">
      <c r="A3419" s="1">
        <v>41138</v>
      </c>
      <c r="B3419">
        <v>1397970.54</v>
      </c>
    </row>
    <row r="3420" spans="1:2" x14ac:dyDescent="0.25">
      <c r="A3420" s="1">
        <v>41145</v>
      </c>
      <c r="B3420">
        <v>1303726.54</v>
      </c>
    </row>
    <row r="3421" spans="1:2" x14ac:dyDescent="0.25">
      <c r="A3421" s="1">
        <v>41152</v>
      </c>
      <c r="B3421">
        <v>1344558.92</v>
      </c>
    </row>
    <row r="3422" spans="1:2" x14ac:dyDescent="0.25">
      <c r="A3422" s="1">
        <v>41159</v>
      </c>
      <c r="B3422">
        <v>1477134.75</v>
      </c>
    </row>
    <row r="3423" spans="1:2" x14ac:dyDescent="0.25">
      <c r="A3423" s="1">
        <v>41166</v>
      </c>
      <c r="B3423">
        <v>1242909.53</v>
      </c>
    </row>
    <row r="3424" spans="1:2" x14ac:dyDescent="0.25">
      <c r="A3424" s="1">
        <v>41173</v>
      </c>
      <c r="B3424">
        <v>1261158.47</v>
      </c>
    </row>
    <row r="3425" spans="1:2" x14ac:dyDescent="0.25">
      <c r="A3425" s="1">
        <v>41180</v>
      </c>
      <c r="B3425">
        <v>1259278.3600000001</v>
      </c>
    </row>
    <row r="3426" spans="1:2" x14ac:dyDescent="0.25">
      <c r="A3426" s="1">
        <v>41187</v>
      </c>
      <c r="B3426">
        <v>1416720.54</v>
      </c>
    </row>
    <row r="3427" spans="1:2" x14ac:dyDescent="0.25">
      <c r="A3427" s="1">
        <v>41194</v>
      </c>
      <c r="B3427">
        <v>1416301.17</v>
      </c>
    </row>
    <row r="3428" spans="1:2" x14ac:dyDescent="0.25">
      <c r="A3428" s="1">
        <v>41201</v>
      </c>
      <c r="B3428">
        <v>1255414.8400000001</v>
      </c>
    </row>
    <row r="3429" spans="1:2" x14ac:dyDescent="0.25">
      <c r="A3429" s="1">
        <v>41208</v>
      </c>
      <c r="B3429">
        <v>1307182.29</v>
      </c>
    </row>
    <row r="3430" spans="1:2" x14ac:dyDescent="0.25">
      <c r="A3430" s="4">
        <v>41276</v>
      </c>
      <c r="B3430" s="3">
        <f>FORECAST(A3430:A3434,B2:B3429,A2:A3429)</f>
        <v>1226700.2401285961</v>
      </c>
    </row>
    <row r="3431" spans="1:2" x14ac:dyDescent="0.25">
      <c r="A3431" s="4">
        <v>41283</v>
      </c>
      <c r="B3431" s="3">
        <f t="shared" ref="B3431:B3434" si="0">FORECAST(A3431:A3435,B3:B3430,A3:A3430)</f>
        <v>1227055.4341551475</v>
      </c>
    </row>
    <row r="3432" spans="1:2" x14ac:dyDescent="0.25">
      <c r="A3432" s="4">
        <v>41290</v>
      </c>
      <c r="B3432" s="3">
        <f t="shared" si="0"/>
        <v>1227413.9479148749</v>
      </c>
    </row>
    <row r="3433" spans="1:2" x14ac:dyDescent="0.25">
      <c r="A3433" s="4">
        <v>41297</v>
      </c>
      <c r="B3433" s="3">
        <f t="shared" si="0"/>
        <v>1227755.8502808055</v>
      </c>
    </row>
    <row r="3434" spans="1:2" x14ac:dyDescent="0.25">
      <c r="A3434" s="4">
        <v>41304</v>
      </c>
      <c r="B3434" s="3">
        <f t="shared" si="0"/>
        <v>1227961.2036260872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7C120-1C49-4526-819F-8452EE4F73CE}">
  <dimension ref="A1:B3429"/>
  <sheetViews>
    <sheetView topLeftCell="A3398" workbookViewId="0">
      <selection activeCell="E3410" sqref="E3410"/>
    </sheetView>
  </sheetViews>
  <sheetFormatPr baseColWidth="10" defaultRowHeight="15" x14ac:dyDescent="0.25"/>
  <cols>
    <col min="1" max="1" width="14.42578125" bestFit="1" customWidth="1"/>
    <col min="2" max="2" width="20.5703125" bestFit="1" customWidth="1"/>
  </cols>
  <sheetData>
    <row r="1" spans="1:2" x14ac:dyDescent="0.25">
      <c r="A1" t="s">
        <v>1</v>
      </c>
      <c r="B1" t="s">
        <v>6</v>
      </c>
    </row>
    <row r="2" spans="1:2" x14ac:dyDescent="0.25">
      <c r="A2" s="1">
        <v>40214</v>
      </c>
      <c r="B2">
        <v>1643690.9</v>
      </c>
    </row>
    <row r="3" spans="1:2" x14ac:dyDescent="0.25">
      <c r="A3" s="1">
        <v>40221</v>
      </c>
      <c r="B3">
        <v>1641957.44</v>
      </c>
    </row>
    <row r="4" spans="1:2" x14ac:dyDescent="0.25">
      <c r="A4" s="1">
        <v>40228</v>
      </c>
      <c r="B4">
        <v>1611968.17</v>
      </c>
    </row>
    <row r="5" spans="1:2" x14ac:dyDescent="0.25">
      <c r="A5" s="1">
        <v>40235</v>
      </c>
      <c r="B5">
        <v>1409727.59</v>
      </c>
    </row>
    <row r="6" spans="1:2" x14ac:dyDescent="0.25">
      <c r="A6" s="1">
        <v>40242</v>
      </c>
      <c r="B6">
        <v>1554806.68</v>
      </c>
    </row>
    <row r="7" spans="1:2" x14ac:dyDescent="0.25">
      <c r="A7" s="1">
        <v>40249</v>
      </c>
      <c r="B7">
        <v>1439541.59</v>
      </c>
    </row>
    <row r="8" spans="1:2" x14ac:dyDescent="0.25">
      <c r="A8" s="1">
        <v>40256</v>
      </c>
      <c r="B8">
        <v>1472515.79</v>
      </c>
    </row>
    <row r="9" spans="1:2" x14ac:dyDescent="0.25">
      <c r="A9" s="1">
        <v>40263</v>
      </c>
      <c r="B9">
        <v>1404429.92</v>
      </c>
    </row>
    <row r="10" spans="1:2" x14ac:dyDescent="0.25">
      <c r="A10" s="1">
        <v>40270</v>
      </c>
      <c r="B10">
        <v>1594968.28</v>
      </c>
    </row>
    <row r="11" spans="1:2" x14ac:dyDescent="0.25">
      <c r="A11" s="1">
        <v>40277</v>
      </c>
      <c r="B11">
        <v>1545418.53</v>
      </c>
    </row>
    <row r="12" spans="1:2" x14ac:dyDescent="0.25">
      <c r="A12" s="1">
        <v>40284</v>
      </c>
      <c r="B12">
        <v>1466058.28</v>
      </c>
    </row>
    <row r="13" spans="1:2" x14ac:dyDescent="0.25">
      <c r="A13" s="1">
        <v>40291</v>
      </c>
      <c r="B13">
        <v>1391256.12</v>
      </c>
    </row>
    <row r="14" spans="1:2" x14ac:dyDescent="0.25">
      <c r="A14" s="1">
        <v>40298</v>
      </c>
      <c r="B14">
        <v>1425100.71</v>
      </c>
    </row>
    <row r="15" spans="1:2" x14ac:dyDescent="0.25">
      <c r="A15" s="1">
        <v>40305</v>
      </c>
      <c r="B15">
        <v>1603955.12</v>
      </c>
    </row>
    <row r="16" spans="1:2" x14ac:dyDescent="0.25">
      <c r="A16" s="1">
        <v>40312</v>
      </c>
      <c r="B16">
        <v>1494251.5</v>
      </c>
    </row>
    <row r="17" spans="1:2" x14ac:dyDescent="0.25">
      <c r="A17" s="1">
        <v>40319</v>
      </c>
      <c r="B17">
        <v>1399662.07</v>
      </c>
    </row>
    <row r="18" spans="1:2" x14ac:dyDescent="0.25">
      <c r="A18" s="1">
        <v>40326</v>
      </c>
      <c r="B18">
        <v>1432069.95</v>
      </c>
    </row>
    <row r="19" spans="1:2" x14ac:dyDescent="0.25">
      <c r="A19" s="1">
        <v>40333</v>
      </c>
      <c r="B19">
        <v>1615524.71</v>
      </c>
    </row>
    <row r="20" spans="1:2" x14ac:dyDescent="0.25">
      <c r="A20" s="1">
        <v>40340</v>
      </c>
      <c r="B20">
        <v>1542561.09</v>
      </c>
    </row>
    <row r="21" spans="1:2" x14ac:dyDescent="0.25">
      <c r="A21" s="1">
        <v>40347</v>
      </c>
      <c r="B21">
        <v>1503284.06</v>
      </c>
    </row>
    <row r="22" spans="1:2" x14ac:dyDescent="0.25">
      <c r="A22" s="1">
        <v>40354</v>
      </c>
      <c r="B22">
        <v>1422711.6</v>
      </c>
    </row>
    <row r="23" spans="1:2" x14ac:dyDescent="0.25">
      <c r="A23" s="1">
        <v>40361</v>
      </c>
      <c r="B23">
        <v>1492418.14</v>
      </c>
    </row>
    <row r="24" spans="1:2" x14ac:dyDescent="0.25">
      <c r="A24" s="1">
        <v>40368</v>
      </c>
      <c r="B24">
        <v>1546074.18</v>
      </c>
    </row>
    <row r="25" spans="1:2" x14ac:dyDescent="0.25">
      <c r="A25" s="1">
        <v>40375</v>
      </c>
      <c r="B25">
        <v>1448938.92</v>
      </c>
    </row>
    <row r="26" spans="1:2" x14ac:dyDescent="0.25">
      <c r="A26" s="1">
        <v>40382</v>
      </c>
      <c r="B26">
        <v>1385065.2</v>
      </c>
    </row>
    <row r="27" spans="1:2" x14ac:dyDescent="0.25">
      <c r="A27" s="1">
        <v>40389</v>
      </c>
      <c r="B27">
        <v>1371986.6</v>
      </c>
    </row>
    <row r="28" spans="1:2" x14ac:dyDescent="0.25">
      <c r="A28" s="1">
        <v>40396</v>
      </c>
      <c r="B28">
        <v>1605491.78</v>
      </c>
    </row>
    <row r="29" spans="1:2" x14ac:dyDescent="0.25">
      <c r="A29" s="1">
        <v>40403</v>
      </c>
      <c r="B29">
        <v>1508237.76</v>
      </c>
    </row>
    <row r="30" spans="1:2" x14ac:dyDescent="0.25">
      <c r="A30" s="1">
        <v>40410</v>
      </c>
      <c r="B30">
        <v>1513080.49</v>
      </c>
    </row>
    <row r="31" spans="1:2" x14ac:dyDescent="0.25">
      <c r="A31" s="1">
        <v>40417</v>
      </c>
      <c r="B31">
        <v>1449142.92</v>
      </c>
    </row>
    <row r="32" spans="1:2" x14ac:dyDescent="0.25">
      <c r="A32" s="1">
        <v>40424</v>
      </c>
      <c r="B32">
        <v>1540163.53</v>
      </c>
    </row>
    <row r="33" spans="1:2" x14ac:dyDescent="0.25">
      <c r="A33" s="1">
        <v>40431</v>
      </c>
      <c r="B33">
        <v>1507460.69</v>
      </c>
    </row>
    <row r="34" spans="1:2" x14ac:dyDescent="0.25">
      <c r="A34" s="1">
        <v>40438</v>
      </c>
      <c r="B34">
        <v>1430378.67</v>
      </c>
    </row>
    <row r="35" spans="1:2" x14ac:dyDescent="0.25">
      <c r="A35" s="1">
        <v>40445</v>
      </c>
      <c r="B35">
        <v>1351791.03</v>
      </c>
    </row>
    <row r="36" spans="1:2" x14ac:dyDescent="0.25">
      <c r="A36" s="1">
        <v>40452</v>
      </c>
      <c r="B36">
        <v>1453329.5</v>
      </c>
    </row>
    <row r="37" spans="1:2" x14ac:dyDescent="0.25">
      <c r="A37" s="1">
        <v>40459</v>
      </c>
      <c r="B37">
        <v>1508239.93</v>
      </c>
    </row>
    <row r="38" spans="1:2" x14ac:dyDescent="0.25">
      <c r="A38" s="1">
        <v>40466</v>
      </c>
      <c r="B38">
        <v>1459409.1</v>
      </c>
    </row>
    <row r="39" spans="1:2" x14ac:dyDescent="0.25">
      <c r="A39" s="1">
        <v>40473</v>
      </c>
      <c r="B39">
        <v>1345454</v>
      </c>
    </row>
    <row r="40" spans="1:2" x14ac:dyDescent="0.25">
      <c r="A40" s="1">
        <v>40480</v>
      </c>
      <c r="B40">
        <v>1384209.22</v>
      </c>
    </row>
    <row r="41" spans="1:2" x14ac:dyDescent="0.25">
      <c r="A41" s="1">
        <v>40487</v>
      </c>
      <c r="B41">
        <v>1551659.28</v>
      </c>
    </row>
    <row r="42" spans="1:2" x14ac:dyDescent="0.25">
      <c r="A42" s="1">
        <v>40494</v>
      </c>
      <c r="B42">
        <v>1494479.49</v>
      </c>
    </row>
    <row r="43" spans="1:2" x14ac:dyDescent="0.25">
      <c r="A43" s="1">
        <v>40501</v>
      </c>
      <c r="B43">
        <v>1483784.18</v>
      </c>
    </row>
    <row r="44" spans="1:2" x14ac:dyDescent="0.25">
      <c r="A44" s="1">
        <v>40508</v>
      </c>
      <c r="B44">
        <v>1955624.11</v>
      </c>
    </row>
    <row r="45" spans="1:2" x14ac:dyDescent="0.25">
      <c r="A45" s="1">
        <v>40515</v>
      </c>
      <c r="B45">
        <v>1548033.78</v>
      </c>
    </row>
    <row r="46" spans="1:2" x14ac:dyDescent="0.25">
      <c r="A46" s="1">
        <v>40522</v>
      </c>
      <c r="B46">
        <v>1682614.26</v>
      </c>
    </row>
    <row r="47" spans="1:2" x14ac:dyDescent="0.25">
      <c r="A47" s="1">
        <v>40529</v>
      </c>
      <c r="B47">
        <v>1891034.93</v>
      </c>
    </row>
    <row r="48" spans="1:2" x14ac:dyDescent="0.25">
      <c r="A48" s="1">
        <v>40536</v>
      </c>
      <c r="B48">
        <v>2387950.2000000002</v>
      </c>
    </row>
    <row r="49" spans="1:2" x14ac:dyDescent="0.25">
      <c r="A49" s="1">
        <v>40543</v>
      </c>
      <c r="B49">
        <v>1367320.01</v>
      </c>
    </row>
    <row r="50" spans="1:2" x14ac:dyDescent="0.25">
      <c r="A50" s="1">
        <v>40550</v>
      </c>
      <c r="B50">
        <v>1444732.28</v>
      </c>
    </row>
    <row r="51" spans="1:2" x14ac:dyDescent="0.25">
      <c r="A51" s="1">
        <v>40557</v>
      </c>
      <c r="B51">
        <v>1391013.96</v>
      </c>
    </row>
    <row r="52" spans="1:2" x14ac:dyDescent="0.25">
      <c r="A52" s="1">
        <v>40564</v>
      </c>
      <c r="B52">
        <v>1327405.42</v>
      </c>
    </row>
    <row r="53" spans="1:2" x14ac:dyDescent="0.25">
      <c r="A53" s="1">
        <v>40571</v>
      </c>
      <c r="B53">
        <v>1316899.31</v>
      </c>
    </row>
    <row r="54" spans="1:2" x14ac:dyDescent="0.25">
      <c r="A54" s="1">
        <v>40578</v>
      </c>
      <c r="B54">
        <v>1606629.58</v>
      </c>
    </row>
    <row r="55" spans="1:2" x14ac:dyDescent="0.25">
      <c r="A55" s="1">
        <v>40585</v>
      </c>
      <c r="B55">
        <v>1649614.93</v>
      </c>
    </row>
    <row r="56" spans="1:2" x14ac:dyDescent="0.25">
      <c r="A56" s="1">
        <v>40592</v>
      </c>
      <c r="B56">
        <v>1686842.78</v>
      </c>
    </row>
    <row r="57" spans="1:2" x14ac:dyDescent="0.25">
      <c r="A57" s="1">
        <v>40599</v>
      </c>
      <c r="B57">
        <v>1456800.28</v>
      </c>
    </row>
    <row r="58" spans="1:2" x14ac:dyDescent="0.25">
      <c r="A58" s="1">
        <v>40606</v>
      </c>
      <c r="B58">
        <v>1636263.41</v>
      </c>
    </row>
    <row r="59" spans="1:2" x14ac:dyDescent="0.25">
      <c r="A59" s="1">
        <v>40613</v>
      </c>
      <c r="B59">
        <v>1553191.63</v>
      </c>
    </row>
    <row r="60" spans="1:2" x14ac:dyDescent="0.25">
      <c r="A60" s="1">
        <v>40620</v>
      </c>
      <c r="B60">
        <v>1576818.06</v>
      </c>
    </row>
    <row r="61" spans="1:2" x14ac:dyDescent="0.25">
      <c r="A61" s="1">
        <v>40627</v>
      </c>
      <c r="B61">
        <v>1541102.38</v>
      </c>
    </row>
    <row r="62" spans="1:2" x14ac:dyDescent="0.25">
      <c r="A62" s="1">
        <v>40634</v>
      </c>
      <c r="B62">
        <v>1495064.75</v>
      </c>
    </row>
    <row r="63" spans="1:2" x14ac:dyDescent="0.25">
      <c r="A63" s="1">
        <v>40641</v>
      </c>
      <c r="B63">
        <v>1614259.35</v>
      </c>
    </row>
    <row r="64" spans="1:2" x14ac:dyDescent="0.25">
      <c r="A64" s="1">
        <v>40648</v>
      </c>
      <c r="B64">
        <v>1559889</v>
      </c>
    </row>
    <row r="65" spans="1:2" x14ac:dyDescent="0.25">
      <c r="A65" s="1">
        <v>40655</v>
      </c>
      <c r="B65">
        <v>1564819.81</v>
      </c>
    </row>
    <row r="66" spans="1:2" x14ac:dyDescent="0.25">
      <c r="A66" s="1">
        <v>40662</v>
      </c>
      <c r="B66">
        <v>1455090.69</v>
      </c>
    </row>
    <row r="67" spans="1:2" x14ac:dyDescent="0.25">
      <c r="A67" s="1">
        <v>40669</v>
      </c>
      <c r="B67">
        <v>1629391.28</v>
      </c>
    </row>
    <row r="68" spans="1:2" x14ac:dyDescent="0.25">
      <c r="A68" s="1">
        <v>40676</v>
      </c>
      <c r="B68">
        <v>1604775.58</v>
      </c>
    </row>
    <row r="69" spans="1:2" x14ac:dyDescent="0.25">
      <c r="A69" s="1">
        <v>40683</v>
      </c>
      <c r="B69">
        <v>1428218.27</v>
      </c>
    </row>
    <row r="70" spans="1:2" x14ac:dyDescent="0.25">
      <c r="A70" s="1">
        <v>40690</v>
      </c>
      <c r="B70">
        <v>1466046.67</v>
      </c>
    </row>
    <row r="71" spans="1:2" x14ac:dyDescent="0.25">
      <c r="A71" s="1">
        <v>40697</v>
      </c>
      <c r="B71">
        <v>1635078.41</v>
      </c>
    </row>
    <row r="72" spans="1:2" x14ac:dyDescent="0.25">
      <c r="A72" s="1">
        <v>40704</v>
      </c>
      <c r="B72">
        <v>1588948.32</v>
      </c>
    </row>
    <row r="73" spans="1:2" x14ac:dyDescent="0.25">
      <c r="A73" s="1">
        <v>40711</v>
      </c>
      <c r="B73">
        <v>1532114.86</v>
      </c>
    </row>
    <row r="74" spans="1:2" x14ac:dyDescent="0.25">
      <c r="A74" s="1">
        <v>40718</v>
      </c>
      <c r="B74">
        <v>1438830.15</v>
      </c>
    </row>
    <row r="75" spans="1:2" x14ac:dyDescent="0.25">
      <c r="A75" s="1">
        <v>40725</v>
      </c>
      <c r="B75">
        <v>1488538.09</v>
      </c>
    </row>
    <row r="76" spans="1:2" x14ac:dyDescent="0.25">
      <c r="A76" s="1">
        <v>40732</v>
      </c>
      <c r="B76">
        <v>1534849.64</v>
      </c>
    </row>
    <row r="77" spans="1:2" x14ac:dyDescent="0.25">
      <c r="A77" s="1">
        <v>40739</v>
      </c>
      <c r="B77">
        <v>1455119.97</v>
      </c>
    </row>
    <row r="78" spans="1:2" x14ac:dyDescent="0.25">
      <c r="A78" s="1">
        <v>40746</v>
      </c>
      <c r="B78">
        <v>1396926.82</v>
      </c>
    </row>
    <row r="79" spans="1:2" x14ac:dyDescent="0.25">
      <c r="A79" s="1">
        <v>40753</v>
      </c>
      <c r="B79">
        <v>1352219.79</v>
      </c>
    </row>
    <row r="80" spans="1:2" x14ac:dyDescent="0.25">
      <c r="A80" s="1">
        <v>40760</v>
      </c>
      <c r="B80">
        <v>1624383.75</v>
      </c>
    </row>
    <row r="81" spans="1:2" x14ac:dyDescent="0.25">
      <c r="A81" s="1">
        <v>40767</v>
      </c>
      <c r="B81">
        <v>1525147.09</v>
      </c>
    </row>
    <row r="82" spans="1:2" x14ac:dyDescent="0.25">
      <c r="A82" s="1">
        <v>40774</v>
      </c>
      <c r="B82">
        <v>1530761.43</v>
      </c>
    </row>
    <row r="83" spans="1:2" x14ac:dyDescent="0.25">
      <c r="A83" s="1">
        <v>40781</v>
      </c>
      <c r="B83">
        <v>1464693.46</v>
      </c>
    </row>
    <row r="84" spans="1:2" x14ac:dyDescent="0.25">
      <c r="A84" s="1">
        <v>40788</v>
      </c>
      <c r="B84">
        <v>1550229.22</v>
      </c>
    </row>
    <row r="85" spans="1:2" x14ac:dyDescent="0.25">
      <c r="A85" s="1">
        <v>40795</v>
      </c>
      <c r="B85">
        <v>1540471.24</v>
      </c>
    </row>
    <row r="86" spans="1:2" x14ac:dyDescent="0.25">
      <c r="A86" s="1">
        <v>40802</v>
      </c>
      <c r="B86">
        <v>1514259.78</v>
      </c>
    </row>
    <row r="87" spans="1:2" x14ac:dyDescent="0.25">
      <c r="A87" s="1">
        <v>40809</v>
      </c>
      <c r="B87">
        <v>1380020.27</v>
      </c>
    </row>
    <row r="88" spans="1:2" x14ac:dyDescent="0.25">
      <c r="A88" s="1">
        <v>40816</v>
      </c>
      <c r="B88">
        <v>1394561.83</v>
      </c>
    </row>
    <row r="89" spans="1:2" x14ac:dyDescent="0.25">
      <c r="A89" s="1">
        <v>40823</v>
      </c>
      <c r="B89">
        <v>1630989.95</v>
      </c>
    </row>
    <row r="90" spans="1:2" x14ac:dyDescent="0.25">
      <c r="A90" s="1">
        <v>40830</v>
      </c>
      <c r="B90">
        <v>1493525.93</v>
      </c>
    </row>
    <row r="91" spans="1:2" x14ac:dyDescent="0.25">
      <c r="A91" s="1">
        <v>40837</v>
      </c>
      <c r="B91">
        <v>1502562.78</v>
      </c>
    </row>
    <row r="92" spans="1:2" x14ac:dyDescent="0.25">
      <c r="A92" s="1">
        <v>40844</v>
      </c>
      <c r="B92">
        <v>1445249.09</v>
      </c>
    </row>
    <row r="93" spans="1:2" x14ac:dyDescent="0.25">
      <c r="A93" s="1">
        <v>40851</v>
      </c>
      <c r="B93">
        <v>1697229.58</v>
      </c>
    </row>
    <row r="94" spans="1:2" x14ac:dyDescent="0.25">
      <c r="A94" s="1">
        <v>40858</v>
      </c>
      <c r="B94">
        <v>1594938.89</v>
      </c>
    </row>
    <row r="95" spans="1:2" x14ac:dyDescent="0.25">
      <c r="A95" s="1">
        <v>40865</v>
      </c>
      <c r="B95">
        <v>1539483.7</v>
      </c>
    </row>
    <row r="96" spans="1:2" x14ac:dyDescent="0.25">
      <c r="A96" s="1">
        <v>40872</v>
      </c>
      <c r="B96">
        <v>2033320.66</v>
      </c>
    </row>
    <row r="97" spans="1:2" x14ac:dyDescent="0.25">
      <c r="A97" s="1">
        <v>40879</v>
      </c>
      <c r="B97">
        <v>1584083.95</v>
      </c>
    </row>
    <row r="98" spans="1:2" x14ac:dyDescent="0.25">
      <c r="A98" s="1">
        <v>40886</v>
      </c>
      <c r="B98">
        <v>1799682.38</v>
      </c>
    </row>
    <row r="99" spans="1:2" x14ac:dyDescent="0.25">
      <c r="A99" s="1">
        <v>40893</v>
      </c>
      <c r="B99">
        <v>1881176.67</v>
      </c>
    </row>
    <row r="100" spans="1:2" x14ac:dyDescent="0.25">
      <c r="A100" s="1">
        <v>40900</v>
      </c>
      <c r="B100">
        <v>2270188.9900000002</v>
      </c>
    </row>
    <row r="101" spans="1:2" x14ac:dyDescent="0.25">
      <c r="A101" s="1">
        <v>40907</v>
      </c>
      <c r="B101">
        <v>1497462.72</v>
      </c>
    </row>
    <row r="102" spans="1:2" x14ac:dyDescent="0.25">
      <c r="A102" s="1">
        <v>40914</v>
      </c>
      <c r="B102">
        <v>1550369.92</v>
      </c>
    </row>
    <row r="103" spans="1:2" x14ac:dyDescent="0.25">
      <c r="A103" s="1">
        <v>40921</v>
      </c>
      <c r="B103">
        <v>1459601.17</v>
      </c>
    </row>
    <row r="104" spans="1:2" x14ac:dyDescent="0.25">
      <c r="A104" s="1">
        <v>40928</v>
      </c>
      <c r="B104">
        <v>1394393.84</v>
      </c>
    </row>
    <row r="105" spans="1:2" x14ac:dyDescent="0.25">
      <c r="A105" s="1">
        <v>40935</v>
      </c>
      <c r="B105">
        <v>1319325.5900000001</v>
      </c>
    </row>
    <row r="106" spans="1:2" x14ac:dyDescent="0.25">
      <c r="A106" s="1">
        <v>40942</v>
      </c>
      <c r="B106">
        <v>1636339.65</v>
      </c>
    </row>
    <row r="107" spans="1:2" x14ac:dyDescent="0.25">
      <c r="A107" s="1">
        <v>40949</v>
      </c>
      <c r="B107">
        <v>1802477.43</v>
      </c>
    </row>
    <row r="108" spans="1:2" x14ac:dyDescent="0.25">
      <c r="A108" s="1">
        <v>40956</v>
      </c>
      <c r="B108">
        <v>1819870</v>
      </c>
    </row>
    <row r="109" spans="1:2" x14ac:dyDescent="0.25">
      <c r="A109" s="1">
        <v>40963</v>
      </c>
      <c r="B109">
        <v>1539387.83</v>
      </c>
    </row>
    <row r="110" spans="1:2" x14ac:dyDescent="0.25">
      <c r="A110" s="1">
        <v>40970</v>
      </c>
      <c r="B110">
        <v>1688420.76</v>
      </c>
    </row>
    <row r="111" spans="1:2" x14ac:dyDescent="0.25">
      <c r="A111" s="1">
        <v>40977</v>
      </c>
      <c r="B111">
        <v>1675431.16</v>
      </c>
    </row>
    <row r="112" spans="1:2" x14ac:dyDescent="0.25">
      <c r="A112" s="1">
        <v>40984</v>
      </c>
      <c r="B112">
        <v>1677472.78</v>
      </c>
    </row>
    <row r="113" spans="1:2" x14ac:dyDescent="0.25">
      <c r="A113" s="1">
        <v>40991</v>
      </c>
      <c r="B113">
        <v>1511068.07</v>
      </c>
    </row>
    <row r="114" spans="1:2" x14ac:dyDescent="0.25">
      <c r="A114" s="1">
        <v>40998</v>
      </c>
      <c r="B114">
        <v>1649604.63</v>
      </c>
    </row>
    <row r="115" spans="1:2" x14ac:dyDescent="0.25">
      <c r="A115" s="1">
        <v>41005</v>
      </c>
      <c r="B115">
        <v>-1</v>
      </c>
    </row>
    <row r="116" spans="1:2" x14ac:dyDescent="0.25">
      <c r="A116" s="1">
        <v>41012</v>
      </c>
      <c r="B116">
        <v>1621031.7</v>
      </c>
    </row>
    <row r="117" spans="1:2" x14ac:dyDescent="0.25">
      <c r="A117" s="1">
        <v>41019</v>
      </c>
      <c r="B117">
        <v>1521577.87</v>
      </c>
    </row>
    <row r="118" spans="1:2" x14ac:dyDescent="0.25">
      <c r="A118" s="1">
        <v>41026</v>
      </c>
      <c r="B118">
        <v>1468928.37</v>
      </c>
    </row>
    <row r="119" spans="1:2" x14ac:dyDescent="0.25">
      <c r="A119" s="1">
        <v>41033</v>
      </c>
      <c r="B119">
        <v>1684519.99</v>
      </c>
    </row>
    <row r="120" spans="1:2" x14ac:dyDescent="0.25">
      <c r="A120" s="1">
        <v>41040</v>
      </c>
      <c r="B120">
        <v>1611096.05</v>
      </c>
    </row>
    <row r="121" spans="1:2" x14ac:dyDescent="0.25">
      <c r="A121" s="1">
        <v>41047</v>
      </c>
      <c r="B121">
        <v>1595901.87</v>
      </c>
    </row>
    <row r="122" spans="1:2" x14ac:dyDescent="0.25">
      <c r="A122" s="1">
        <v>41054</v>
      </c>
      <c r="B122">
        <v>1555444.55</v>
      </c>
    </row>
    <row r="123" spans="1:2" x14ac:dyDescent="0.25">
      <c r="A123" s="1">
        <v>41061</v>
      </c>
      <c r="B123">
        <v>1624477.58</v>
      </c>
    </row>
    <row r="124" spans="1:2" x14ac:dyDescent="0.25">
      <c r="A124" s="1">
        <v>41068</v>
      </c>
      <c r="B124">
        <v>1697230.96</v>
      </c>
    </row>
    <row r="125" spans="1:2" x14ac:dyDescent="0.25">
      <c r="A125" s="1">
        <v>41075</v>
      </c>
      <c r="B125">
        <v>1630607</v>
      </c>
    </row>
    <row r="126" spans="1:2" x14ac:dyDescent="0.25">
      <c r="A126" s="1">
        <v>41082</v>
      </c>
      <c r="B126">
        <v>1527845.81</v>
      </c>
    </row>
    <row r="127" spans="1:2" x14ac:dyDescent="0.25">
      <c r="A127" s="1">
        <v>41089</v>
      </c>
      <c r="B127">
        <v>1540421.49</v>
      </c>
    </row>
    <row r="128" spans="1:2" x14ac:dyDescent="0.25">
      <c r="A128" s="1">
        <v>41096</v>
      </c>
      <c r="B128">
        <v>1769854.16</v>
      </c>
    </row>
    <row r="129" spans="1:2" x14ac:dyDescent="0.25">
      <c r="A129" s="1">
        <v>41103</v>
      </c>
      <c r="B129">
        <v>1527014.04</v>
      </c>
    </row>
    <row r="130" spans="1:2" x14ac:dyDescent="0.25">
      <c r="A130" s="1">
        <v>41110</v>
      </c>
      <c r="B130">
        <v>1497954.76</v>
      </c>
    </row>
    <row r="131" spans="1:2" x14ac:dyDescent="0.25">
      <c r="A131" s="1">
        <v>41117</v>
      </c>
      <c r="B131">
        <v>1439123.71</v>
      </c>
    </row>
    <row r="132" spans="1:2" x14ac:dyDescent="0.25">
      <c r="A132" s="1">
        <v>41124</v>
      </c>
      <c r="B132">
        <v>1631135.79</v>
      </c>
    </row>
    <row r="133" spans="1:2" x14ac:dyDescent="0.25">
      <c r="A133" s="1">
        <v>41131</v>
      </c>
      <c r="B133">
        <v>1592409.97</v>
      </c>
    </row>
    <row r="134" spans="1:2" x14ac:dyDescent="0.25">
      <c r="A134" s="1">
        <v>41138</v>
      </c>
      <c r="B134">
        <v>1597868.05</v>
      </c>
    </row>
    <row r="135" spans="1:2" x14ac:dyDescent="0.25">
      <c r="A135" s="1">
        <v>41145</v>
      </c>
      <c r="B135">
        <v>1494122.38</v>
      </c>
    </row>
    <row r="136" spans="1:2" x14ac:dyDescent="0.25">
      <c r="A136" s="1">
        <v>41152</v>
      </c>
      <c r="B136">
        <v>1582083.4</v>
      </c>
    </row>
    <row r="137" spans="1:2" x14ac:dyDescent="0.25">
      <c r="A137" s="1">
        <v>41159</v>
      </c>
      <c r="B137">
        <v>1661767.33</v>
      </c>
    </row>
    <row r="138" spans="1:2" x14ac:dyDescent="0.25">
      <c r="A138" s="1">
        <v>41166</v>
      </c>
      <c r="B138">
        <v>1517428.87</v>
      </c>
    </row>
    <row r="139" spans="1:2" x14ac:dyDescent="0.25">
      <c r="A139" s="1">
        <v>41173</v>
      </c>
      <c r="B139">
        <v>1506126.06</v>
      </c>
    </row>
    <row r="140" spans="1:2" x14ac:dyDescent="0.25">
      <c r="A140" s="1">
        <v>41180</v>
      </c>
      <c r="B140">
        <v>1437059.26</v>
      </c>
    </row>
    <row r="141" spans="1:2" x14ac:dyDescent="0.25">
      <c r="A141" s="1">
        <v>41187</v>
      </c>
      <c r="B141">
        <v>1670785.97</v>
      </c>
    </row>
    <row r="142" spans="1:2" x14ac:dyDescent="0.25">
      <c r="A142" s="1">
        <v>41194</v>
      </c>
      <c r="B142">
        <v>1573072.81</v>
      </c>
    </row>
    <row r="143" spans="1:2" x14ac:dyDescent="0.25">
      <c r="A143" s="1">
        <v>41201</v>
      </c>
      <c r="B143">
        <v>1508068.77</v>
      </c>
    </row>
    <row r="144" spans="1:2" x14ac:dyDescent="0.25">
      <c r="A144" s="1">
        <v>41208</v>
      </c>
      <c r="B144">
        <v>1493659.74</v>
      </c>
    </row>
    <row r="145" spans="1:2" x14ac:dyDescent="0.25">
      <c r="A145" s="1">
        <v>40214</v>
      </c>
      <c r="B145">
        <v>2136989.46</v>
      </c>
    </row>
    <row r="146" spans="1:2" x14ac:dyDescent="0.25">
      <c r="A146" s="1">
        <v>40221</v>
      </c>
      <c r="B146">
        <v>2137809.5</v>
      </c>
    </row>
    <row r="147" spans="1:2" x14ac:dyDescent="0.25">
      <c r="A147" s="1">
        <v>40228</v>
      </c>
      <c r="B147">
        <v>2124451.54</v>
      </c>
    </row>
    <row r="148" spans="1:2" x14ac:dyDescent="0.25">
      <c r="A148" s="1">
        <v>40235</v>
      </c>
      <c r="B148">
        <v>1865097.27</v>
      </c>
    </row>
    <row r="149" spans="1:2" x14ac:dyDescent="0.25">
      <c r="A149" s="1">
        <v>40242</v>
      </c>
      <c r="B149">
        <v>1991013.13</v>
      </c>
    </row>
    <row r="150" spans="1:2" x14ac:dyDescent="0.25">
      <c r="A150" s="1">
        <v>40249</v>
      </c>
      <c r="B150">
        <v>1990483.78</v>
      </c>
    </row>
    <row r="151" spans="1:2" x14ac:dyDescent="0.25">
      <c r="A151" s="1">
        <v>40256</v>
      </c>
      <c r="B151">
        <v>1946070.88</v>
      </c>
    </row>
    <row r="152" spans="1:2" x14ac:dyDescent="0.25">
      <c r="A152" s="1">
        <v>40263</v>
      </c>
      <c r="B152">
        <v>1750197.81</v>
      </c>
    </row>
    <row r="153" spans="1:2" x14ac:dyDescent="0.25">
      <c r="A153" s="1">
        <v>40270</v>
      </c>
      <c r="B153">
        <v>2066187.72</v>
      </c>
    </row>
    <row r="154" spans="1:2" x14ac:dyDescent="0.25">
      <c r="A154" s="1">
        <v>40277</v>
      </c>
      <c r="B154">
        <v>1954689.21</v>
      </c>
    </row>
    <row r="155" spans="1:2" x14ac:dyDescent="0.25">
      <c r="A155" s="1">
        <v>40284</v>
      </c>
      <c r="B155">
        <v>1874957.94</v>
      </c>
    </row>
    <row r="156" spans="1:2" x14ac:dyDescent="0.25">
      <c r="A156" s="1">
        <v>40291</v>
      </c>
      <c r="B156">
        <v>1821990.93</v>
      </c>
    </row>
    <row r="157" spans="1:2" x14ac:dyDescent="0.25">
      <c r="A157" s="1">
        <v>40298</v>
      </c>
      <c r="B157">
        <v>1802450.29</v>
      </c>
    </row>
    <row r="158" spans="1:2" x14ac:dyDescent="0.25">
      <c r="A158" s="1">
        <v>40305</v>
      </c>
      <c r="B158">
        <v>2042581.71</v>
      </c>
    </row>
    <row r="159" spans="1:2" x14ac:dyDescent="0.25">
      <c r="A159" s="1">
        <v>40312</v>
      </c>
      <c r="B159">
        <v>1880752.36</v>
      </c>
    </row>
    <row r="160" spans="1:2" x14ac:dyDescent="0.25">
      <c r="A160" s="1">
        <v>40319</v>
      </c>
      <c r="B160">
        <v>1896937.1</v>
      </c>
    </row>
    <row r="161" spans="1:2" x14ac:dyDescent="0.25">
      <c r="A161" s="1">
        <v>40326</v>
      </c>
      <c r="B161">
        <v>1957113.89</v>
      </c>
    </row>
    <row r="162" spans="1:2" x14ac:dyDescent="0.25">
      <c r="A162" s="1">
        <v>40333</v>
      </c>
      <c r="B162">
        <v>2102539.9300000002</v>
      </c>
    </row>
    <row r="163" spans="1:2" x14ac:dyDescent="0.25">
      <c r="A163" s="1">
        <v>40340</v>
      </c>
      <c r="B163">
        <v>2025538.76</v>
      </c>
    </row>
    <row r="164" spans="1:2" x14ac:dyDescent="0.25">
      <c r="A164" s="1">
        <v>40347</v>
      </c>
      <c r="B164">
        <v>2001636.96</v>
      </c>
    </row>
    <row r="165" spans="1:2" x14ac:dyDescent="0.25">
      <c r="A165" s="1">
        <v>40354</v>
      </c>
      <c r="B165">
        <v>1939927.09</v>
      </c>
    </row>
    <row r="166" spans="1:2" x14ac:dyDescent="0.25">
      <c r="A166" s="1">
        <v>40361</v>
      </c>
      <c r="B166">
        <v>2003940.64</v>
      </c>
    </row>
    <row r="167" spans="1:2" x14ac:dyDescent="0.25">
      <c r="A167" s="1">
        <v>40368</v>
      </c>
      <c r="B167">
        <v>1880902.62</v>
      </c>
    </row>
    <row r="168" spans="1:2" x14ac:dyDescent="0.25">
      <c r="A168" s="1">
        <v>40375</v>
      </c>
      <c r="B168">
        <v>1845879.79</v>
      </c>
    </row>
    <row r="169" spans="1:2" x14ac:dyDescent="0.25">
      <c r="A169" s="1">
        <v>40382</v>
      </c>
      <c r="B169">
        <v>1781717.71</v>
      </c>
    </row>
    <row r="170" spans="1:2" x14ac:dyDescent="0.25">
      <c r="A170" s="1">
        <v>40389</v>
      </c>
      <c r="B170">
        <v>1804246.16</v>
      </c>
    </row>
    <row r="171" spans="1:2" x14ac:dyDescent="0.25">
      <c r="A171" s="1">
        <v>40396</v>
      </c>
      <c r="B171">
        <v>1991909.98</v>
      </c>
    </row>
    <row r="172" spans="1:2" x14ac:dyDescent="0.25">
      <c r="A172" s="1">
        <v>40403</v>
      </c>
      <c r="B172">
        <v>1895601.05</v>
      </c>
    </row>
    <row r="173" spans="1:2" x14ac:dyDescent="0.25">
      <c r="A173" s="1">
        <v>40410</v>
      </c>
      <c r="B173">
        <v>1964335.23</v>
      </c>
    </row>
    <row r="174" spans="1:2" x14ac:dyDescent="0.25">
      <c r="A174" s="1">
        <v>40417</v>
      </c>
      <c r="B174">
        <v>1863840.49</v>
      </c>
    </row>
    <row r="175" spans="1:2" x14ac:dyDescent="0.25">
      <c r="A175" s="1">
        <v>40424</v>
      </c>
      <c r="B175">
        <v>1904608.09</v>
      </c>
    </row>
    <row r="176" spans="1:2" x14ac:dyDescent="0.25">
      <c r="A176" s="1">
        <v>40431</v>
      </c>
      <c r="B176">
        <v>1839128.83</v>
      </c>
    </row>
    <row r="177" spans="1:2" x14ac:dyDescent="0.25">
      <c r="A177" s="1">
        <v>40438</v>
      </c>
      <c r="B177">
        <v>1793903.6</v>
      </c>
    </row>
    <row r="178" spans="1:2" x14ac:dyDescent="0.25">
      <c r="A178" s="1">
        <v>40445</v>
      </c>
      <c r="B178">
        <v>1724557.22</v>
      </c>
    </row>
    <row r="179" spans="1:2" x14ac:dyDescent="0.25">
      <c r="A179" s="1">
        <v>40452</v>
      </c>
      <c r="B179">
        <v>1827440.43</v>
      </c>
    </row>
    <row r="180" spans="1:2" x14ac:dyDescent="0.25">
      <c r="A180" s="1">
        <v>40459</v>
      </c>
      <c r="B180">
        <v>1849921.44</v>
      </c>
    </row>
    <row r="181" spans="1:2" x14ac:dyDescent="0.25">
      <c r="A181" s="1">
        <v>40466</v>
      </c>
      <c r="B181">
        <v>1794355.49</v>
      </c>
    </row>
    <row r="182" spans="1:2" x14ac:dyDescent="0.25">
      <c r="A182" s="1">
        <v>40473</v>
      </c>
      <c r="B182">
        <v>1737947.64</v>
      </c>
    </row>
    <row r="183" spans="1:2" x14ac:dyDescent="0.25">
      <c r="A183" s="1">
        <v>40480</v>
      </c>
      <c r="B183">
        <v>1802755.11</v>
      </c>
    </row>
    <row r="184" spans="1:2" x14ac:dyDescent="0.25">
      <c r="A184" s="1">
        <v>40487</v>
      </c>
      <c r="B184">
        <v>1939061.41</v>
      </c>
    </row>
    <row r="185" spans="1:2" x14ac:dyDescent="0.25">
      <c r="A185" s="1">
        <v>40494</v>
      </c>
      <c r="B185">
        <v>1916812.74</v>
      </c>
    </row>
    <row r="186" spans="1:2" x14ac:dyDescent="0.25">
      <c r="A186" s="1">
        <v>40501</v>
      </c>
      <c r="B186">
        <v>1956739.17</v>
      </c>
    </row>
    <row r="187" spans="1:2" x14ac:dyDescent="0.25">
      <c r="A187" s="1">
        <v>40508</v>
      </c>
      <c r="B187">
        <v>2658725.29</v>
      </c>
    </row>
    <row r="188" spans="1:2" x14ac:dyDescent="0.25">
      <c r="A188" s="1">
        <v>40515</v>
      </c>
      <c r="B188">
        <v>2015781.27</v>
      </c>
    </row>
    <row r="189" spans="1:2" x14ac:dyDescent="0.25">
      <c r="A189" s="1">
        <v>40522</v>
      </c>
      <c r="B189">
        <v>2378726.5499999998</v>
      </c>
    </row>
    <row r="190" spans="1:2" x14ac:dyDescent="0.25">
      <c r="A190" s="1">
        <v>40529</v>
      </c>
      <c r="B190">
        <v>2609166.75</v>
      </c>
    </row>
    <row r="191" spans="1:2" x14ac:dyDescent="0.25">
      <c r="A191" s="1">
        <v>40536</v>
      </c>
      <c r="B191">
        <v>3436007.68</v>
      </c>
    </row>
    <row r="192" spans="1:2" x14ac:dyDescent="0.25">
      <c r="A192" s="1">
        <v>40543</v>
      </c>
      <c r="B192">
        <v>1750434.55</v>
      </c>
    </row>
    <row r="193" spans="1:2" x14ac:dyDescent="0.25">
      <c r="A193" s="1">
        <v>40550</v>
      </c>
      <c r="B193">
        <v>1758050.79</v>
      </c>
    </row>
    <row r="194" spans="1:2" x14ac:dyDescent="0.25">
      <c r="A194" s="1">
        <v>40557</v>
      </c>
      <c r="B194">
        <v>1744193.58</v>
      </c>
    </row>
    <row r="195" spans="1:2" x14ac:dyDescent="0.25">
      <c r="A195" s="1">
        <v>40564</v>
      </c>
      <c r="B195">
        <v>1751384.9</v>
      </c>
    </row>
    <row r="196" spans="1:2" x14ac:dyDescent="0.25">
      <c r="A196" s="1">
        <v>40571</v>
      </c>
      <c r="B196">
        <v>1695371.68</v>
      </c>
    </row>
    <row r="197" spans="1:2" x14ac:dyDescent="0.25">
      <c r="A197" s="1">
        <v>40578</v>
      </c>
      <c r="B197">
        <v>1929346.23</v>
      </c>
    </row>
    <row r="198" spans="1:2" x14ac:dyDescent="0.25">
      <c r="A198" s="1">
        <v>40585</v>
      </c>
      <c r="B198">
        <v>2168041.61</v>
      </c>
    </row>
    <row r="199" spans="1:2" x14ac:dyDescent="0.25">
      <c r="A199" s="1">
        <v>40592</v>
      </c>
      <c r="B199">
        <v>2080884.82</v>
      </c>
    </row>
    <row r="200" spans="1:2" x14ac:dyDescent="0.25">
      <c r="A200" s="1">
        <v>40599</v>
      </c>
      <c r="B200">
        <v>1833511.08</v>
      </c>
    </row>
    <row r="201" spans="1:2" x14ac:dyDescent="0.25">
      <c r="A201" s="1">
        <v>40606</v>
      </c>
      <c r="B201">
        <v>1981607.78</v>
      </c>
    </row>
    <row r="202" spans="1:2" x14ac:dyDescent="0.25">
      <c r="A202" s="1">
        <v>40613</v>
      </c>
      <c r="B202">
        <v>1879107.31</v>
      </c>
    </row>
    <row r="203" spans="1:2" x14ac:dyDescent="0.25">
      <c r="A203" s="1">
        <v>40620</v>
      </c>
      <c r="B203">
        <v>1902557.66</v>
      </c>
    </row>
    <row r="204" spans="1:2" x14ac:dyDescent="0.25">
      <c r="A204" s="1">
        <v>40627</v>
      </c>
      <c r="B204">
        <v>1766162.05</v>
      </c>
    </row>
    <row r="205" spans="1:2" x14ac:dyDescent="0.25">
      <c r="A205" s="1">
        <v>40634</v>
      </c>
      <c r="B205">
        <v>1800171.36</v>
      </c>
    </row>
    <row r="206" spans="1:2" x14ac:dyDescent="0.25">
      <c r="A206" s="1">
        <v>40641</v>
      </c>
      <c r="B206">
        <v>1847552.61</v>
      </c>
    </row>
    <row r="207" spans="1:2" x14ac:dyDescent="0.25">
      <c r="A207" s="1">
        <v>40648</v>
      </c>
      <c r="B207">
        <v>1856467.84</v>
      </c>
    </row>
    <row r="208" spans="1:2" x14ac:dyDescent="0.25">
      <c r="A208" s="1">
        <v>40655</v>
      </c>
      <c r="B208">
        <v>1886339.6</v>
      </c>
    </row>
    <row r="209" spans="1:2" x14ac:dyDescent="0.25">
      <c r="A209" s="1">
        <v>40662</v>
      </c>
      <c r="B209">
        <v>1745545.28</v>
      </c>
    </row>
    <row r="210" spans="1:2" x14ac:dyDescent="0.25">
      <c r="A210" s="1">
        <v>40669</v>
      </c>
      <c r="B210">
        <v>1837743.6</v>
      </c>
    </row>
    <row r="211" spans="1:2" x14ac:dyDescent="0.25">
      <c r="A211" s="1">
        <v>40676</v>
      </c>
      <c r="B211">
        <v>1838513.07</v>
      </c>
    </row>
    <row r="212" spans="1:2" x14ac:dyDescent="0.25">
      <c r="A212" s="1">
        <v>40683</v>
      </c>
      <c r="B212">
        <v>1688281.86</v>
      </c>
    </row>
    <row r="213" spans="1:2" x14ac:dyDescent="0.25">
      <c r="A213" s="1">
        <v>40690</v>
      </c>
      <c r="B213">
        <v>1797732.56</v>
      </c>
    </row>
    <row r="214" spans="1:2" x14ac:dyDescent="0.25">
      <c r="A214" s="1">
        <v>40697</v>
      </c>
      <c r="B214">
        <v>1933756.21</v>
      </c>
    </row>
    <row r="215" spans="1:2" x14ac:dyDescent="0.25">
      <c r="A215" s="1">
        <v>40704</v>
      </c>
      <c r="B215">
        <v>1929153.16</v>
      </c>
    </row>
    <row r="216" spans="1:2" x14ac:dyDescent="0.25">
      <c r="A216" s="1">
        <v>40711</v>
      </c>
      <c r="B216">
        <v>1953771.99</v>
      </c>
    </row>
    <row r="217" spans="1:2" x14ac:dyDescent="0.25">
      <c r="A217" s="1">
        <v>40718</v>
      </c>
      <c r="B217">
        <v>1790925.8</v>
      </c>
    </row>
    <row r="218" spans="1:2" x14ac:dyDescent="0.25">
      <c r="A218" s="1">
        <v>40725</v>
      </c>
      <c r="B218">
        <v>1866243</v>
      </c>
    </row>
    <row r="219" spans="1:2" x14ac:dyDescent="0.25">
      <c r="A219" s="1">
        <v>40732</v>
      </c>
      <c r="B219">
        <v>1853161.99</v>
      </c>
    </row>
    <row r="220" spans="1:2" x14ac:dyDescent="0.25">
      <c r="A220" s="1">
        <v>40739</v>
      </c>
      <c r="B220">
        <v>1785187.29</v>
      </c>
    </row>
    <row r="221" spans="1:2" x14ac:dyDescent="0.25">
      <c r="A221" s="1">
        <v>40746</v>
      </c>
      <c r="B221">
        <v>1743816.41</v>
      </c>
    </row>
    <row r="222" spans="1:2" x14ac:dyDescent="0.25">
      <c r="A222" s="1">
        <v>40753</v>
      </c>
      <c r="B222">
        <v>1680693.06</v>
      </c>
    </row>
    <row r="223" spans="1:2" x14ac:dyDescent="0.25">
      <c r="A223" s="1">
        <v>40760</v>
      </c>
      <c r="B223">
        <v>1876704.26</v>
      </c>
    </row>
    <row r="224" spans="1:2" x14ac:dyDescent="0.25">
      <c r="A224" s="1">
        <v>40767</v>
      </c>
      <c r="B224">
        <v>1812768.26</v>
      </c>
    </row>
    <row r="225" spans="1:2" x14ac:dyDescent="0.25">
      <c r="A225" s="1">
        <v>40774</v>
      </c>
      <c r="B225">
        <v>1844094.59</v>
      </c>
    </row>
    <row r="226" spans="1:2" x14ac:dyDescent="0.25">
      <c r="A226" s="1">
        <v>40781</v>
      </c>
      <c r="B226">
        <v>1821139.91</v>
      </c>
    </row>
    <row r="227" spans="1:2" x14ac:dyDescent="0.25">
      <c r="A227" s="1">
        <v>40788</v>
      </c>
      <c r="B227">
        <v>1809119.7</v>
      </c>
    </row>
    <row r="228" spans="1:2" x14ac:dyDescent="0.25">
      <c r="A228" s="1">
        <v>40795</v>
      </c>
      <c r="B228">
        <v>1748000.65</v>
      </c>
    </row>
    <row r="229" spans="1:2" x14ac:dyDescent="0.25">
      <c r="A229" s="1">
        <v>40802</v>
      </c>
      <c r="B229">
        <v>1691439.52</v>
      </c>
    </row>
    <row r="230" spans="1:2" x14ac:dyDescent="0.25">
      <c r="A230" s="1">
        <v>40809</v>
      </c>
      <c r="B230">
        <v>1669299.78</v>
      </c>
    </row>
    <row r="231" spans="1:2" x14ac:dyDescent="0.25">
      <c r="A231" s="1">
        <v>40816</v>
      </c>
      <c r="B231">
        <v>1650394.44</v>
      </c>
    </row>
    <row r="232" spans="1:2" x14ac:dyDescent="0.25">
      <c r="A232" s="1">
        <v>40823</v>
      </c>
      <c r="B232">
        <v>1837553.43</v>
      </c>
    </row>
    <row r="233" spans="1:2" x14ac:dyDescent="0.25">
      <c r="A233" s="1">
        <v>40830</v>
      </c>
      <c r="B233">
        <v>1743882.19</v>
      </c>
    </row>
    <row r="234" spans="1:2" x14ac:dyDescent="0.25">
      <c r="A234" s="1">
        <v>40837</v>
      </c>
      <c r="B234">
        <v>1834680.25</v>
      </c>
    </row>
    <row r="235" spans="1:2" x14ac:dyDescent="0.25">
      <c r="A235" s="1">
        <v>40844</v>
      </c>
      <c r="B235">
        <v>1769296.25</v>
      </c>
    </row>
    <row r="236" spans="1:2" x14ac:dyDescent="0.25">
      <c r="A236" s="1">
        <v>40851</v>
      </c>
      <c r="B236">
        <v>1959707.9</v>
      </c>
    </row>
    <row r="237" spans="1:2" x14ac:dyDescent="0.25">
      <c r="A237" s="1">
        <v>40858</v>
      </c>
      <c r="B237">
        <v>1920725.15</v>
      </c>
    </row>
    <row r="238" spans="1:2" x14ac:dyDescent="0.25">
      <c r="A238" s="1">
        <v>40865</v>
      </c>
      <c r="B238">
        <v>1902762.5</v>
      </c>
    </row>
    <row r="239" spans="1:2" x14ac:dyDescent="0.25">
      <c r="A239" s="1">
        <v>40872</v>
      </c>
      <c r="B239">
        <v>2614202.2999999998</v>
      </c>
    </row>
    <row r="240" spans="1:2" x14ac:dyDescent="0.25">
      <c r="A240" s="1">
        <v>40879</v>
      </c>
      <c r="B240">
        <v>1954952</v>
      </c>
    </row>
    <row r="241" spans="1:2" x14ac:dyDescent="0.25">
      <c r="A241" s="1">
        <v>40886</v>
      </c>
      <c r="B241">
        <v>2290549.3199999998</v>
      </c>
    </row>
    <row r="242" spans="1:2" x14ac:dyDescent="0.25">
      <c r="A242" s="1">
        <v>40893</v>
      </c>
      <c r="B242">
        <v>2432736.52</v>
      </c>
    </row>
    <row r="243" spans="1:2" x14ac:dyDescent="0.25">
      <c r="A243" s="1">
        <v>40900</v>
      </c>
      <c r="B243">
        <v>3224369.8</v>
      </c>
    </row>
    <row r="244" spans="1:2" x14ac:dyDescent="0.25">
      <c r="A244" s="1">
        <v>40907</v>
      </c>
      <c r="B244">
        <v>1874226.52</v>
      </c>
    </row>
    <row r="245" spans="1:2" x14ac:dyDescent="0.25">
      <c r="A245" s="1">
        <v>40914</v>
      </c>
      <c r="B245">
        <v>1799520.14</v>
      </c>
    </row>
    <row r="246" spans="1:2" x14ac:dyDescent="0.25">
      <c r="A246" s="1">
        <v>40921</v>
      </c>
      <c r="B246">
        <v>1744725.48</v>
      </c>
    </row>
    <row r="247" spans="1:2" x14ac:dyDescent="0.25">
      <c r="A247" s="1">
        <v>40928</v>
      </c>
      <c r="B247">
        <v>1711769.11</v>
      </c>
    </row>
    <row r="248" spans="1:2" x14ac:dyDescent="0.25">
      <c r="A248" s="1">
        <v>40935</v>
      </c>
      <c r="B248">
        <v>1660906.14</v>
      </c>
    </row>
    <row r="249" spans="1:2" x14ac:dyDescent="0.25">
      <c r="A249" s="1">
        <v>40942</v>
      </c>
      <c r="B249">
        <v>1935299.94</v>
      </c>
    </row>
    <row r="250" spans="1:2" x14ac:dyDescent="0.25">
      <c r="A250" s="1">
        <v>40949</v>
      </c>
      <c r="B250">
        <v>2103322.6800000002</v>
      </c>
    </row>
    <row r="251" spans="1:2" x14ac:dyDescent="0.25">
      <c r="A251" s="1">
        <v>40956</v>
      </c>
      <c r="B251">
        <v>2196688.46</v>
      </c>
    </row>
    <row r="252" spans="1:2" x14ac:dyDescent="0.25">
      <c r="A252" s="1">
        <v>40963</v>
      </c>
      <c r="B252">
        <v>1861802.7</v>
      </c>
    </row>
    <row r="253" spans="1:2" x14ac:dyDescent="0.25">
      <c r="A253" s="1">
        <v>40970</v>
      </c>
      <c r="B253">
        <v>1952555.66</v>
      </c>
    </row>
    <row r="254" spans="1:2" x14ac:dyDescent="0.25">
      <c r="A254" s="1">
        <v>40977</v>
      </c>
      <c r="B254">
        <v>1937628.26</v>
      </c>
    </row>
    <row r="255" spans="1:2" x14ac:dyDescent="0.25">
      <c r="A255" s="1">
        <v>40984</v>
      </c>
      <c r="B255">
        <v>1976082.13</v>
      </c>
    </row>
    <row r="256" spans="1:2" x14ac:dyDescent="0.25">
      <c r="A256" s="1">
        <v>40991</v>
      </c>
      <c r="B256">
        <v>1790439.16</v>
      </c>
    </row>
    <row r="257" spans="1:2" x14ac:dyDescent="0.25">
      <c r="A257" s="1">
        <v>40998</v>
      </c>
      <c r="B257">
        <v>1857480.84</v>
      </c>
    </row>
    <row r="258" spans="1:2" x14ac:dyDescent="0.25">
      <c r="A258" s="1">
        <v>41005</v>
      </c>
      <c r="B258">
        <v>2129035.91</v>
      </c>
    </row>
    <row r="259" spans="1:2" x14ac:dyDescent="0.25">
      <c r="A259" s="1">
        <v>41012</v>
      </c>
      <c r="B259">
        <v>-2</v>
      </c>
    </row>
    <row r="260" spans="1:2" x14ac:dyDescent="0.25">
      <c r="A260" s="1">
        <v>41019</v>
      </c>
      <c r="B260">
        <v>1847344.45</v>
      </c>
    </row>
    <row r="261" spans="1:2" x14ac:dyDescent="0.25">
      <c r="A261" s="1">
        <v>41026</v>
      </c>
      <c r="B261">
        <v>1764133.09</v>
      </c>
    </row>
    <row r="262" spans="1:2" x14ac:dyDescent="0.25">
      <c r="A262" s="1">
        <v>41033</v>
      </c>
      <c r="B262">
        <v>1923957.09</v>
      </c>
    </row>
    <row r="263" spans="1:2" x14ac:dyDescent="0.25">
      <c r="A263" s="1">
        <v>41040</v>
      </c>
      <c r="B263">
        <v>1917520.99</v>
      </c>
    </row>
    <row r="264" spans="1:2" x14ac:dyDescent="0.25">
      <c r="A264" s="1">
        <v>41047</v>
      </c>
      <c r="B264">
        <v>2000940.67</v>
      </c>
    </row>
    <row r="265" spans="1:2" x14ac:dyDescent="0.25">
      <c r="A265" s="1">
        <v>41054</v>
      </c>
      <c r="B265">
        <v>1912791.09</v>
      </c>
    </row>
    <row r="266" spans="1:2" x14ac:dyDescent="0.25">
      <c r="A266" s="1">
        <v>41061</v>
      </c>
      <c r="B266">
        <v>1910092.37</v>
      </c>
    </row>
    <row r="267" spans="1:2" x14ac:dyDescent="0.25">
      <c r="A267" s="1">
        <v>41068</v>
      </c>
      <c r="B267">
        <v>2010216.49</v>
      </c>
    </row>
    <row r="268" spans="1:2" x14ac:dyDescent="0.25">
      <c r="A268" s="1">
        <v>41075</v>
      </c>
      <c r="B268">
        <v>1962924.3</v>
      </c>
    </row>
    <row r="269" spans="1:2" x14ac:dyDescent="0.25">
      <c r="A269" s="1">
        <v>41082</v>
      </c>
      <c r="B269">
        <v>1887733.21</v>
      </c>
    </row>
    <row r="270" spans="1:2" x14ac:dyDescent="0.25">
      <c r="A270" s="1">
        <v>41089</v>
      </c>
      <c r="B270">
        <v>1881046.12</v>
      </c>
    </row>
    <row r="271" spans="1:2" x14ac:dyDescent="0.25">
      <c r="A271" s="1">
        <v>41096</v>
      </c>
      <c r="B271">
        <v>2041507.4</v>
      </c>
    </row>
    <row r="272" spans="1:2" x14ac:dyDescent="0.25">
      <c r="A272" s="1">
        <v>41103</v>
      </c>
      <c r="B272">
        <v>1830075.13</v>
      </c>
    </row>
    <row r="273" spans="1:2" x14ac:dyDescent="0.25">
      <c r="A273" s="1">
        <v>41110</v>
      </c>
      <c r="B273">
        <v>1819666.46</v>
      </c>
    </row>
    <row r="274" spans="1:2" x14ac:dyDescent="0.25">
      <c r="A274" s="1">
        <v>41117</v>
      </c>
      <c r="B274">
        <v>1757923.88</v>
      </c>
    </row>
    <row r="275" spans="1:2" x14ac:dyDescent="0.25">
      <c r="A275" s="1">
        <v>41124</v>
      </c>
      <c r="B275">
        <v>1946104.64</v>
      </c>
    </row>
    <row r="276" spans="1:2" x14ac:dyDescent="0.25">
      <c r="A276" s="1">
        <v>41131</v>
      </c>
      <c r="B276">
        <v>1866719.96</v>
      </c>
    </row>
    <row r="277" spans="1:2" x14ac:dyDescent="0.25">
      <c r="A277" s="1">
        <v>41138</v>
      </c>
      <c r="B277">
        <v>1928016.01</v>
      </c>
    </row>
    <row r="278" spans="1:2" x14ac:dyDescent="0.25">
      <c r="A278" s="1">
        <v>41145</v>
      </c>
      <c r="B278">
        <v>1876788.15</v>
      </c>
    </row>
    <row r="279" spans="1:2" x14ac:dyDescent="0.25">
      <c r="A279" s="1">
        <v>41152</v>
      </c>
      <c r="B279">
        <v>1947083.3</v>
      </c>
    </row>
    <row r="280" spans="1:2" x14ac:dyDescent="0.25">
      <c r="A280" s="1">
        <v>41159</v>
      </c>
      <c r="B280">
        <v>1898777.07</v>
      </c>
    </row>
    <row r="281" spans="1:2" x14ac:dyDescent="0.25">
      <c r="A281" s="1">
        <v>41166</v>
      </c>
      <c r="B281">
        <v>1814806.63</v>
      </c>
    </row>
    <row r="282" spans="1:2" x14ac:dyDescent="0.25">
      <c r="A282" s="1">
        <v>41173</v>
      </c>
      <c r="B282">
        <v>1829415.67</v>
      </c>
    </row>
    <row r="283" spans="1:2" x14ac:dyDescent="0.25">
      <c r="A283" s="1">
        <v>41180</v>
      </c>
      <c r="B283">
        <v>1746470.56</v>
      </c>
    </row>
    <row r="284" spans="1:2" x14ac:dyDescent="0.25">
      <c r="A284" s="1">
        <v>41187</v>
      </c>
      <c r="B284">
        <v>1998321.04</v>
      </c>
    </row>
    <row r="285" spans="1:2" x14ac:dyDescent="0.25">
      <c r="A285" s="1">
        <v>41194</v>
      </c>
      <c r="B285">
        <v>1900745.13</v>
      </c>
    </row>
    <row r="286" spans="1:2" x14ac:dyDescent="0.25">
      <c r="A286" s="1">
        <v>41201</v>
      </c>
      <c r="B286">
        <v>1847990.41</v>
      </c>
    </row>
    <row r="287" spans="1:2" x14ac:dyDescent="0.25">
      <c r="A287" s="1">
        <v>41208</v>
      </c>
      <c r="B287">
        <v>1834458.35</v>
      </c>
    </row>
    <row r="288" spans="1:2" x14ac:dyDescent="0.25">
      <c r="A288" s="1">
        <v>40214</v>
      </c>
      <c r="B288">
        <v>461622.22</v>
      </c>
    </row>
    <row r="289" spans="1:2" x14ac:dyDescent="0.25">
      <c r="A289" s="1">
        <v>40221</v>
      </c>
      <c r="B289">
        <v>420728.96</v>
      </c>
    </row>
    <row r="290" spans="1:2" x14ac:dyDescent="0.25">
      <c r="A290" s="1">
        <v>40228</v>
      </c>
      <c r="B290">
        <v>421642.19</v>
      </c>
    </row>
    <row r="291" spans="1:2" x14ac:dyDescent="0.25">
      <c r="A291" s="1">
        <v>40235</v>
      </c>
      <c r="B291">
        <v>407204.86</v>
      </c>
    </row>
    <row r="292" spans="1:2" x14ac:dyDescent="0.25">
      <c r="A292" s="1">
        <v>40242</v>
      </c>
      <c r="B292">
        <v>415202.04</v>
      </c>
    </row>
    <row r="293" spans="1:2" x14ac:dyDescent="0.25">
      <c r="A293" s="1">
        <v>40249</v>
      </c>
      <c r="B293">
        <v>384200.69</v>
      </c>
    </row>
    <row r="294" spans="1:2" x14ac:dyDescent="0.25">
      <c r="A294" s="1">
        <v>40256</v>
      </c>
      <c r="B294">
        <v>375328.59</v>
      </c>
    </row>
    <row r="295" spans="1:2" x14ac:dyDescent="0.25">
      <c r="A295" s="1">
        <v>40263</v>
      </c>
      <c r="B295">
        <v>359949.27</v>
      </c>
    </row>
    <row r="296" spans="1:2" x14ac:dyDescent="0.25">
      <c r="A296" s="1">
        <v>40270</v>
      </c>
      <c r="B296">
        <v>423294.4</v>
      </c>
    </row>
    <row r="297" spans="1:2" x14ac:dyDescent="0.25">
      <c r="A297" s="1">
        <v>40277</v>
      </c>
      <c r="B297">
        <v>415870.28</v>
      </c>
    </row>
    <row r="298" spans="1:2" x14ac:dyDescent="0.25">
      <c r="A298" s="1">
        <v>40284</v>
      </c>
      <c r="B298">
        <v>354993.26</v>
      </c>
    </row>
    <row r="299" spans="1:2" x14ac:dyDescent="0.25">
      <c r="A299" s="1">
        <v>40291</v>
      </c>
      <c r="B299">
        <v>339976.65</v>
      </c>
    </row>
    <row r="300" spans="1:2" x14ac:dyDescent="0.25">
      <c r="A300" s="1">
        <v>40298</v>
      </c>
      <c r="B300">
        <v>361248.39</v>
      </c>
    </row>
    <row r="301" spans="1:2" x14ac:dyDescent="0.25">
      <c r="A301" s="1">
        <v>40305</v>
      </c>
      <c r="B301">
        <v>399323.86</v>
      </c>
    </row>
    <row r="302" spans="1:2" x14ac:dyDescent="0.25">
      <c r="A302" s="1">
        <v>40312</v>
      </c>
      <c r="B302">
        <v>384357.94</v>
      </c>
    </row>
    <row r="303" spans="1:2" x14ac:dyDescent="0.25">
      <c r="A303" s="1">
        <v>40319</v>
      </c>
      <c r="B303">
        <v>343763.17</v>
      </c>
    </row>
    <row r="304" spans="1:2" x14ac:dyDescent="0.25">
      <c r="A304" s="1">
        <v>40326</v>
      </c>
      <c r="B304">
        <v>350089.23</v>
      </c>
    </row>
    <row r="305" spans="1:2" x14ac:dyDescent="0.25">
      <c r="A305" s="1">
        <v>40333</v>
      </c>
      <c r="B305">
        <v>396968.8</v>
      </c>
    </row>
    <row r="306" spans="1:2" x14ac:dyDescent="0.25">
      <c r="A306" s="1">
        <v>40340</v>
      </c>
      <c r="B306">
        <v>355017.09</v>
      </c>
    </row>
    <row r="307" spans="1:2" x14ac:dyDescent="0.25">
      <c r="A307" s="1">
        <v>40347</v>
      </c>
      <c r="B307">
        <v>364076.85</v>
      </c>
    </row>
    <row r="308" spans="1:2" x14ac:dyDescent="0.25">
      <c r="A308" s="1">
        <v>40354</v>
      </c>
      <c r="B308">
        <v>357346.48</v>
      </c>
    </row>
    <row r="309" spans="1:2" x14ac:dyDescent="0.25">
      <c r="A309" s="1">
        <v>40361</v>
      </c>
      <c r="B309">
        <v>381151.72</v>
      </c>
    </row>
    <row r="310" spans="1:2" x14ac:dyDescent="0.25">
      <c r="A310" s="1">
        <v>40368</v>
      </c>
      <c r="B310">
        <v>349214.18</v>
      </c>
    </row>
    <row r="311" spans="1:2" x14ac:dyDescent="0.25">
      <c r="A311" s="1">
        <v>40375</v>
      </c>
      <c r="B311">
        <v>352728.78</v>
      </c>
    </row>
    <row r="312" spans="1:2" x14ac:dyDescent="0.25">
      <c r="A312" s="1">
        <v>40382</v>
      </c>
      <c r="B312">
        <v>352864.49</v>
      </c>
    </row>
    <row r="313" spans="1:2" x14ac:dyDescent="0.25">
      <c r="A313" s="1">
        <v>40389</v>
      </c>
      <c r="B313">
        <v>347955.05</v>
      </c>
    </row>
    <row r="314" spans="1:2" x14ac:dyDescent="0.25">
      <c r="A314" s="1">
        <v>40396</v>
      </c>
      <c r="B314">
        <v>402635.76</v>
      </c>
    </row>
    <row r="315" spans="1:2" x14ac:dyDescent="0.25">
      <c r="A315" s="1">
        <v>40403</v>
      </c>
      <c r="B315">
        <v>339597.38</v>
      </c>
    </row>
    <row r="316" spans="1:2" x14ac:dyDescent="0.25">
      <c r="A316" s="1">
        <v>40410</v>
      </c>
      <c r="B316">
        <v>351728.21</v>
      </c>
    </row>
    <row r="317" spans="1:2" x14ac:dyDescent="0.25">
      <c r="A317" s="1">
        <v>40417</v>
      </c>
      <c r="B317">
        <v>362134.09</v>
      </c>
    </row>
    <row r="318" spans="1:2" x14ac:dyDescent="0.25">
      <c r="A318" s="1">
        <v>40424</v>
      </c>
      <c r="B318">
        <v>366473.97</v>
      </c>
    </row>
    <row r="319" spans="1:2" x14ac:dyDescent="0.25">
      <c r="A319" s="1">
        <v>40431</v>
      </c>
      <c r="B319">
        <v>352260.97</v>
      </c>
    </row>
    <row r="320" spans="1:2" x14ac:dyDescent="0.25">
      <c r="A320" s="1">
        <v>40438</v>
      </c>
      <c r="B320">
        <v>363064.64</v>
      </c>
    </row>
    <row r="321" spans="1:2" x14ac:dyDescent="0.25">
      <c r="A321" s="1">
        <v>40445</v>
      </c>
      <c r="B321">
        <v>355626.87</v>
      </c>
    </row>
    <row r="322" spans="1:2" x14ac:dyDescent="0.25">
      <c r="A322" s="1">
        <v>40452</v>
      </c>
      <c r="B322">
        <v>358784.1</v>
      </c>
    </row>
    <row r="323" spans="1:2" x14ac:dyDescent="0.25">
      <c r="A323" s="1">
        <v>40459</v>
      </c>
      <c r="B323">
        <v>395107.35</v>
      </c>
    </row>
    <row r="324" spans="1:2" x14ac:dyDescent="0.25">
      <c r="A324" s="1">
        <v>40466</v>
      </c>
      <c r="B324">
        <v>345584.39</v>
      </c>
    </row>
    <row r="325" spans="1:2" x14ac:dyDescent="0.25">
      <c r="A325" s="1">
        <v>40473</v>
      </c>
      <c r="B325">
        <v>348895.98</v>
      </c>
    </row>
    <row r="326" spans="1:2" x14ac:dyDescent="0.25">
      <c r="A326" s="1">
        <v>40480</v>
      </c>
      <c r="B326">
        <v>348591.74</v>
      </c>
    </row>
    <row r="327" spans="1:2" x14ac:dyDescent="0.25">
      <c r="A327" s="1">
        <v>40487</v>
      </c>
      <c r="B327">
        <v>423175.56</v>
      </c>
    </row>
    <row r="328" spans="1:2" x14ac:dyDescent="0.25">
      <c r="A328" s="1">
        <v>40494</v>
      </c>
      <c r="B328">
        <v>386635.03</v>
      </c>
    </row>
    <row r="329" spans="1:2" x14ac:dyDescent="0.25">
      <c r="A329" s="1">
        <v>40501</v>
      </c>
      <c r="B329">
        <v>372545.32</v>
      </c>
    </row>
    <row r="330" spans="1:2" x14ac:dyDescent="0.25">
      <c r="A330" s="1">
        <v>40508</v>
      </c>
      <c r="B330">
        <v>565567.84</v>
      </c>
    </row>
    <row r="331" spans="1:2" x14ac:dyDescent="0.25">
      <c r="A331" s="1">
        <v>40515</v>
      </c>
      <c r="B331">
        <v>476420.77</v>
      </c>
    </row>
    <row r="332" spans="1:2" x14ac:dyDescent="0.25">
      <c r="A332" s="1">
        <v>40522</v>
      </c>
      <c r="B332">
        <v>467642.03</v>
      </c>
    </row>
    <row r="333" spans="1:2" x14ac:dyDescent="0.25">
      <c r="A333" s="1">
        <v>40529</v>
      </c>
      <c r="B333">
        <v>498159.39</v>
      </c>
    </row>
    <row r="334" spans="1:2" x14ac:dyDescent="0.25">
      <c r="A334" s="1">
        <v>40536</v>
      </c>
      <c r="B334">
        <v>605990.41</v>
      </c>
    </row>
    <row r="335" spans="1:2" x14ac:dyDescent="0.25">
      <c r="A335" s="1">
        <v>40543</v>
      </c>
      <c r="B335">
        <v>382677.76000000001</v>
      </c>
    </row>
    <row r="336" spans="1:2" x14ac:dyDescent="0.25">
      <c r="A336" s="1">
        <v>40550</v>
      </c>
      <c r="B336">
        <v>378241.34</v>
      </c>
    </row>
    <row r="337" spans="1:2" x14ac:dyDescent="0.25">
      <c r="A337" s="1">
        <v>40557</v>
      </c>
      <c r="B337">
        <v>381061.1</v>
      </c>
    </row>
    <row r="338" spans="1:2" x14ac:dyDescent="0.25">
      <c r="A338" s="1">
        <v>40564</v>
      </c>
      <c r="B338">
        <v>350876.7</v>
      </c>
    </row>
    <row r="339" spans="1:2" x14ac:dyDescent="0.25">
      <c r="A339" s="1">
        <v>40571</v>
      </c>
      <c r="B339">
        <v>364866.24</v>
      </c>
    </row>
    <row r="340" spans="1:2" x14ac:dyDescent="0.25">
      <c r="A340" s="1">
        <v>40578</v>
      </c>
      <c r="B340">
        <v>438516.53</v>
      </c>
    </row>
    <row r="341" spans="1:2" x14ac:dyDescent="0.25">
      <c r="A341" s="1">
        <v>40585</v>
      </c>
      <c r="B341">
        <v>430526.21</v>
      </c>
    </row>
    <row r="342" spans="1:2" x14ac:dyDescent="0.25">
      <c r="A342" s="1">
        <v>40592</v>
      </c>
      <c r="B342">
        <v>432782.1</v>
      </c>
    </row>
    <row r="343" spans="1:2" x14ac:dyDescent="0.25">
      <c r="A343" s="1">
        <v>40599</v>
      </c>
      <c r="B343">
        <v>397211.19</v>
      </c>
    </row>
    <row r="344" spans="1:2" x14ac:dyDescent="0.25">
      <c r="A344" s="1">
        <v>40606</v>
      </c>
      <c r="B344">
        <v>437084.51</v>
      </c>
    </row>
    <row r="345" spans="1:2" x14ac:dyDescent="0.25">
      <c r="A345" s="1">
        <v>40613</v>
      </c>
      <c r="B345">
        <v>404753.3</v>
      </c>
    </row>
    <row r="346" spans="1:2" x14ac:dyDescent="0.25">
      <c r="A346" s="1">
        <v>40620</v>
      </c>
      <c r="B346">
        <v>392109.51</v>
      </c>
    </row>
    <row r="347" spans="1:2" x14ac:dyDescent="0.25">
      <c r="A347" s="1">
        <v>40627</v>
      </c>
      <c r="B347">
        <v>380683.67</v>
      </c>
    </row>
    <row r="348" spans="1:2" x14ac:dyDescent="0.25">
      <c r="A348" s="1">
        <v>40634</v>
      </c>
      <c r="B348">
        <v>374556.08</v>
      </c>
    </row>
    <row r="349" spans="1:2" x14ac:dyDescent="0.25">
      <c r="A349" s="1">
        <v>40641</v>
      </c>
      <c r="B349">
        <v>384075.31</v>
      </c>
    </row>
    <row r="350" spans="1:2" x14ac:dyDescent="0.25">
      <c r="A350" s="1">
        <v>40648</v>
      </c>
      <c r="B350">
        <v>366250.69</v>
      </c>
    </row>
    <row r="351" spans="1:2" x14ac:dyDescent="0.25">
      <c r="A351" s="1">
        <v>40655</v>
      </c>
      <c r="B351">
        <v>391860.04</v>
      </c>
    </row>
    <row r="352" spans="1:2" x14ac:dyDescent="0.25">
      <c r="A352" s="1">
        <v>40662</v>
      </c>
      <c r="B352">
        <v>367405.4</v>
      </c>
    </row>
    <row r="353" spans="1:2" x14ac:dyDescent="0.25">
      <c r="A353" s="1">
        <v>40669</v>
      </c>
      <c r="B353">
        <v>413042.12</v>
      </c>
    </row>
    <row r="354" spans="1:2" x14ac:dyDescent="0.25">
      <c r="A354" s="1">
        <v>40676</v>
      </c>
      <c r="B354">
        <v>386312.68</v>
      </c>
    </row>
    <row r="355" spans="1:2" x14ac:dyDescent="0.25">
      <c r="A355" s="1">
        <v>40683</v>
      </c>
      <c r="B355">
        <v>364603.13</v>
      </c>
    </row>
    <row r="356" spans="1:2" x14ac:dyDescent="0.25">
      <c r="A356" s="1">
        <v>40690</v>
      </c>
      <c r="B356">
        <v>369350.6</v>
      </c>
    </row>
    <row r="357" spans="1:2" x14ac:dyDescent="0.25">
      <c r="A357" s="1">
        <v>40697</v>
      </c>
      <c r="B357">
        <v>394507.84</v>
      </c>
    </row>
    <row r="358" spans="1:2" x14ac:dyDescent="0.25">
      <c r="A358" s="1">
        <v>40704</v>
      </c>
      <c r="B358">
        <v>391638.75</v>
      </c>
    </row>
    <row r="359" spans="1:2" x14ac:dyDescent="0.25">
      <c r="A359" s="1">
        <v>40711</v>
      </c>
      <c r="B359">
        <v>403423.34</v>
      </c>
    </row>
    <row r="360" spans="1:2" x14ac:dyDescent="0.25">
      <c r="A360" s="1">
        <v>40718</v>
      </c>
      <c r="B360">
        <v>385520.71</v>
      </c>
    </row>
    <row r="361" spans="1:2" x14ac:dyDescent="0.25">
      <c r="A361" s="1">
        <v>40725</v>
      </c>
      <c r="B361">
        <v>368962.72</v>
      </c>
    </row>
    <row r="362" spans="1:2" x14ac:dyDescent="0.25">
      <c r="A362" s="1">
        <v>40732</v>
      </c>
      <c r="B362">
        <v>395146.23999999999</v>
      </c>
    </row>
    <row r="363" spans="1:2" x14ac:dyDescent="0.25">
      <c r="A363" s="1">
        <v>40739</v>
      </c>
      <c r="B363">
        <v>373454.33</v>
      </c>
    </row>
    <row r="364" spans="1:2" x14ac:dyDescent="0.25">
      <c r="A364" s="1">
        <v>40746</v>
      </c>
      <c r="B364">
        <v>360617.37</v>
      </c>
    </row>
    <row r="365" spans="1:2" x14ac:dyDescent="0.25">
      <c r="A365" s="1">
        <v>40753</v>
      </c>
      <c r="B365">
        <v>345381.29</v>
      </c>
    </row>
    <row r="366" spans="1:2" x14ac:dyDescent="0.25">
      <c r="A366" s="1">
        <v>40760</v>
      </c>
      <c r="B366">
        <v>409981.25</v>
      </c>
    </row>
    <row r="367" spans="1:2" x14ac:dyDescent="0.25">
      <c r="A367" s="1">
        <v>40767</v>
      </c>
      <c r="B367">
        <v>380376.85</v>
      </c>
    </row>
    <row r="368" spans="1:2" x14ac:dyDescent="0.25">
      <c r="A368" s="1">
        <v>40774</v>
      </c>
      <c r="B368">
        <v>379716.91</v>
      </c>
    </row>
    <row r="369" spans="1:2" x14ac:dyDescent="0.25">
      <c r="A369" s="1">
        <v>40781</v>
      </c>
      <c r="B369">
        <v>366367.55</v>
      </c>
    </row>
    <row r="370" spans="1:2" x14ac:dyDescent="0.25">
      <c r="A370" s="1">
        <v>40788</v>
      </c>
      <c r="B370">
        <v>375988.69</v>
      </c>
    </row>
    <row r="371" spans="1:2" x14ac:dyDescent="0.25">
      <c r="A371" s="1">
        <v>40795</v>
      </c>
      <c r="B371">
        <v>377347.49</v>
      </c>
    </row>
    <row r="372" spans="1:2" x14ac:dyDescent="0.25">
      <c r="A372" s="1">
        <v>40802</v>
      </c>
      <c r="B372">
        <v>375629.51</v>
      </c>
    </row>
    <row r="373" spans="1:2" x14ac:dyDescent="0.25">
      <c r="A373" s="1">
        <v>40809</v>
      </c>
      <c r="B373">
        <v>365248.94</v>
      </c>
    </row>
    <row r="374" spans="1:2" x14ac:dyDescent="0.25">
      <c r="A374" s="1">
        <v>40816</v>
      </c>
      <c r="B374">
        <v>368477.93</v>
      </c>
    </row>
    <row r="375" spans="1:2" x14ac:dyDescent="0.25">
      <c r="A375" s="1">
        <v>40823</v>
      </c>
      <c r="B375">
        <v>403342.4</v>
      </c>
    </row>
    <row r="376" spans="1:2" x14ac:dyDescent="0.25">
      <c r="A376" s="1">
        <v>40830</v>
      </c>
      <c r="B376">
        <v>368282.57</v>
      </c>
    </row>
    <row r="377" spans="1:2" x14ac:dyDescent="0.25">
      <c r="A377" s="1">
        <v>40837</v>
      </c>
      <c r="B377">
        <v>394976.36</v>
      </c>
    </row>
    <row r="378" spans="1:2" x14ac:dyDescent="0.25">
      <c r="A378" s="1">
        <v>40844</v>
      </c>
      <c r="B378">
        <v>389540.62</v>
      </c>
    </row>
    <row r="379" spans="1:2" x14ac:dyDescent="0.25">
      <c r="A379" s="1">
        <v>40851</v>
      </c>
      <c r="B379">
        <v>459443.22</v>
      </c>
    </row>
    <row r="380" spans="1:2" x14ac:dyDescent="0.25">
      <c r="A380" s="1">
        <v>40858</v>
      </c>
      <c r="B380">
        <v>407764.25</v>
      </c>
    </row>
    <row r="381" spans="1:2" x14ac:dyDescent="0.25">
      <c r="A381" s="1">
        <v>40865</v>
      </c>
      <c r="B381">
        <v>398838.97</v>
      </c>
    </row>
    <row r="382" spans="1:2" x14ac:dyDescent="0.25">
      <c r="A382" s="1">
        <v>40872</v>
      </c>
      <c r="B382">
        <v>556925.18999999994</v>
      </c>
    </row>
    <row r="383" spans="1:2" x14ac:dyDescent="0.25">
      <c r="A383" s="1">
        <v>40879</v>
      </c>
      <c r="B383">
        <v>472511.32</v>
      </c>
    </row>
    <row r="384" spans="1:2" x14ac:dyDescent="0.25">
      <c r="A384" s="1">
        <v>40886</v>
      </c>
      <c r="B384">
        <v>468772.8</v>
      </c>
    </row>
    <row r="385" spans="1:2" x14ac:dyDescent="0.25">
      <c r="A385" s="1">
        <v>40893</v>
      </c>
      <c r="B385">
        <v>510747.62</v>
      </c>
    </row>
    <row r="386" spans="1:2" x14ac:dyDescent="0.25">
      <c r="A386" s="1">
        <v>40900</v>
      </c>
      <c r="B386">
        <v>551221.21</v>
      </c>
    </row>
    <row r="387" spans="1:2" x14ac:dyDescent="0.25">
      <c r="A387" s="1">
        <v>40907</v>
      </c>
      <c r="B387">
        <v>410553.88</v>
      </c>
    </row>
    <row r="388" spans="1:2" x14ac:dyDescent="0.25">
      <c r="A388" s="1">
        <v>40914</v>
      </c>
      <c r="B388">
        <v>398178.21</v>
      </c>
    </row>
    <row r="389" spans="1:2" x14ac:dyDescent="0.25">
      <c r="A389" s="1">
        <v>40921</v>
      </c>
      <c r="B389">
        <v>367438.62</v>
      </c>
    </row>
    <row r="390" spans="1:2" x14ac:dyDescent="0.25">
      <c r="A390" s="1">
        <v>40928</v>
      </c>
      <c r="B390">
        <v>365818.61</v>
      </c>
    </row>
    <row r="391" spans="1:2" x14ac:dyDescent="0.25">
      <c r="A391" s="1">
        <v>40935</v>
      </c>
      <c r="B391">
        <v>349518.1</v>
      </c>
    </row>
    <row r="392" spans="1:2" x14ac:dyDescent="0.25">
      <c r="A392" s="1">
        <v>40942</v>
      </c>
      <c r="B392">
        <v>424960.66</v>
      </c>
    </row>
    <row r="393" spans="1:2" x14ac:dyDescent="0.25">
      <c r="A393" s="1">
        <v>40949</v>
      </c>
      <c r="B393">
        <v>473292.47</v>
      </c>
    </row>
    <row r="394" spans="1:2" x14ac:dyDescent="0.25">
      <c r="A394" s="1">
        <v>40956</v>
      </c>
      <c r="B394">
        <v>475591.08</v>
      </c>
    </row>
    <row r="395" spans="1:2" x14ac:dyDescent="0.25">
      <c r="A395" s="1">
        <v>40963</v>
      </c>
      <c r="B395">
        <v>418925.47</v>
      </c>
    </row>
    <row r="396" spans="1:2" x14ac:dyDescent="0.25">
      <c r="A396" s="1">
        <v>40970</v>
      </c>
      <c r="B396">
        <v>469752.56</v>
      </c>
    </row>
    <row r="397" spans="1:2" x14ac:dyDescent="0.25">
      <c r="A397" s="1">
        <v>40977</v>
      </c>
      <c r="B397">
        <v>445162.05</v>
      </c>
    </row>
    <row r="398" spans="1:2" x14ac:dyDescent="0.25">
      <c r="A398" s="1">
        <v>40984</v>
      </c>
      <c r="B398">
        <v>411775.8</v>
      </c>
    </row>
    <row r="399" spans="1:2" x14ac:dyDescent="0.25">
      <c r="A399" s="1">
        <v>40991</v>
      </c>
      <c r="B399">
        <v>413907.25</v>
      </c>
    </row>
    <row r="400" spans="1:2" x14ac:dyDescent="0.25">
      <c r="A400" s="1">
        <v>40998</v>
      </c>
      <c r="B400">
        <v>407488.84</v>
      </c>
    </row>
    <row r="401" spans="1:2" x14ac:dyDescent="0.25">
      <c r="A401" s="1">
        <v>41005</v>
      </c>
      <c r="B401">
        <v>503232.13</v>
      </c>
    </row>
    <row r="402" spans="1:2" x14ac:dyDescent="0.25">
      <c r="A402" s="1">
        <v>41012</v>
      </c>
      <c r="B402">
        <v>420789.74</v>
      </c>
    </row>
    <row r="403" spans="1:2" x14ac:dyDescent="0.25">
      <c r="A403" s="1">
        <v>41019</v>
      </c>
      <c r="B403">
        <v>434822.13</v>
      </c>
    </row>
    <row r="404" spans="1:2" x14ac:dyDescent="0.25">
      <c r="A404" s="1">
        <v>41026</v>
      </c>
      <c r="B404">
        <v>394616.11</v>
      </c>
    </row>
    <row r="405" spans="1:2" x14ac:dyDescent="0.25">
      <c r="A405" s="1">
        <v>41033</v>
      </c>
      <c r="B405">
        <v>439913.57</v>
      </c>
    </row>
    <row r="406" spans="1:2" x14ac:dyDescent="0.25">
      <c r="A406" s="1">
        <v>41040</v>
      </c>
      <c r="B406">
        <v>431985.36</v>
      </c>
    </row>
    <row r="407" spans="1:2" x14ac:dyDescent="0.25">
      <c r="A407" s="1">
        <v>41047</v>
      </c>
      <c r="B407">
        <v>418112.76</v>
      </c>
    </row>
    <row r="408" spans="1:2" x14ac:dyDescent="0.25">
      <c r="A408" s="1">
        <v>41054</v>
      </c>
      <c r="B408">
        <v>413701.29</v>
      </c>
    </row>
    <row r="409" spans="1:2" x14ac:dyDescent="0.25">
      <c r="A409" s="1">
        <v>41061</v>
      </c>
      <c r="B409">
        <v>432268.53</v>
      </c>
    </row>
    <row r="410" spans="1:2" x14ac:dyDescent="0.25">
      <c r="A410" s="1">
        <v>41068</v>
      </c>
      <c r="B410">
        <v>446336.8</v>
      </c>
    </row>
    <row r="411" spans="1:2" x14ac:dyDescent="0.25">
      <c r="A411" s="1">
        <v>41075</v>
      </c>
      <c r="B411">
        <v>442074.79</v>
      </c>
    </row>
    <row r="412" spans="1:2" x14ac:dyDescent="0.25">
      <c r="A412" s="1">
        <v>41082</v>
      </c>
      <c r="B412">
        <v>419497.95</v>
      </c>
    </row>
    <row r="413" spans="1:2" x14ac:dyDescent="0.25">
      <c r="A413" s="1">
        <v>41089</v>
      </c>
      <c r="B413">
        <v>422965.33</v>
      </c>
    </row>
    <row r="414" spans="1:2" x14ac:dyDescent="0.25">
      <c r="A414" s="1">
        <v>41096</v>
      </c>
      <c r="B414">
        <v>411206.5</v>
      </c>
    </row>
    <row r="415" spans="1:2" x14ac:dyDescent="0.25">
      <c r="A415" s="1">
        <v>41103</v>
      </c>
      <c r="B415">
        <v>416913.1</v>
      </c>
    </row>
    <row r="416" spans="1:2" x14ac:dyDescent="0.25">
      <c r="A416" s="1">
        <v>41110</v>
      </c>
      <c r="B416">
        <v>432424.85</v>
      </c>
    </row>
    <row r="417" spans="1:2" x14ac:dyDescent="0.25">
      <c r="A417" s="1">
        <v>41117</v>
      </c>
      <c r="B417">
        <v>389427.9</v>
      </c>
    </row>
    <row r="418" spans="1:2" x14ac:dyDescent="0.25">
      <c r="A418" s="1">
        <v>41124</v>
      </c>
      <c r="B418">
        <v>419990.29</v>
      </c>
    </row>
    <row r="419" spans="1:2" x14ac:dyDescent="0.25">
      <c r="A419" s="1">
        <v>41131</v>
      </c>
      <c r="B419">
        <v>391811.6</v>
      </c>
    </row>
    <row r="420" spans="1:2" x14ac:dyDescent="0.25">
      <c r="A420" s="1">
        <v>41138</v>
      </c>
      <c r="B420">
        <v>394918.83</v>
      </c>
    </row>
    <row r="421" spans="1:2" x14ac:dyDescent="0.25">
      <c r="A421" s="1">
        <v>41145</v>
      </c>
      <c r="B421">
        <v>412449.67</v>
      </c>
    </row>
    <row r="422" spans="1:2" x14ac:dyDescent="0.25">
      <c r="A422" s="1">
        <v>41152</v>
      </c>
      <c r="B422">
        <v>408838.73</v>
      </c>
    </row>
    <row r="423" spans="1:2" x14ac:dyDescent="0.25">
      <c r="A423" s="1">
        <v>41159</v>
      </c>
      <c r="B423">
        <v>408229.73</v>
      </c>
    </row>
    <row r="424" spans="1:2" x14ac:dyDescent="0.25">
      <c r="A424" s="1">
        <v>41166</v>
      </c>
      <c r="B424">
        <v>407589.16</v>
      </c>
    </row>
    <row r="425" spans="1:2" x14ac:dyDescent="0.25">
      <c r="A425" s="1">
        <v>41173</v>
      </c>
      <c r="B425">
        <v>414392.09</v>
      </c>
    </row>
    <row r="426" spans="1:2" x14ac:dyDescent="0.25">
      <c r="A426" s="1">
        <v>41180</v>
      </c>
      <c r="B426">
        <v>389813.02</v>
      </c>
    </row>
    <row r="427" spans="1:2" x14ac:dyDescent="0.25">
      <c r="A427" s="1">
        <v>41187</v>
      </c>
      <c r="B427">
        <v>443557.65</v>
      </c>
    </row>
    <row r="428" spans="1:2" x14ac:dyDescent="0.25">
      <c r="A428" s="1">
        <v>41194</v>
      </c>
      <c r="B428">
        <v>410804.39</v>
      </c>
    </row>
    <row r="429" spans="1:2" x14ac:dyDescent="0.25">
      <c r="A429" s="1">
        <v>41201</v>
      </c>
      <c r="B429">
        <v>424513.08</v>
      </c>
    </row>
    <row r="430" spans="1:2" x14ac:dyDescent="0.25">
      <c r="A430" s="1">
        <v>41208</v>
      </c>
      <c r="B430">
        <v>405432.7</v>
      </c>
    </row>
    <row r="431" spans="1:2" x14ac:dyDescent="0.25">
      <c r="A431" s="1">
        <v>40214</v>
      </c>
      <c r="B431">
        <v>2135143.87</v>
      </c>
    </row>
    <row r="432" spans="1:2" x14ac:dyDescent="0.25">
      <c r="A432" s="1">
        <v>40221</v>
      </c>
      <c r="B432">
        <v>2188307.39</v>
      </c>
    </row>
    <row r="433" spans="1:2" x14ac:dyDescent="0.25">
      <c r="A433" s="1">
        <v>40228</v>
      </c>
      <c r="B433">
        <v>2049860.26</v>
      </c>
    </row>
    <row r="434" spans="1:2" x14ac:dyDescent="0.25">
      <c r="A434" s="1">
        <v>40235</v>
      </c>
      <c r="B434">
        <v>1925728.84</v>
      </c>
    </row>
    <row r="435" spans="1:2" x14ac:dyDescent="0.25">
      <c r="A435" s="1">
        <v>40242</v>
      </c>
      <c r="B435">
        <v>1971057.44</v>
      </c>
    </row>
    <row r="436" spans="1:2" x14ac:dyDescent="0.25">
      <c r="A436" s="1">
        <v>40249</v>
      </c>
      <c r="B436">
        <v>1894324.09</v>
      </c>
    </row>
    <row r="437" spans="1:2" x14ac:dyDescent="0.25">
      <c r="A437" s="1">
        <v>40256</v>
      </c>
      <c r="B437">
        <v>1897429.36</v>
      </c>
    </row>
    <row r="438" spans="1:2" x14ac:dyDescent="0.25">
      <c r="A438" s="1">
        <v>40263</v>
      </c>
      <c r="B438">
        <v>1762539.3</v>
      </c>
    </row>
    <row r="439" spans="1:2" x14ac:dyDescent="0.25">
      <c r="A439" s="1">
        <v>40270</v>
      </c>
      <c r="B439">
        <v>1979247.12</v>
      </c>
    </row>
    <row r="440" spans="1:2" x14ac:dyDescent="0.25">
      <c r="A440" s="1">
        <v>40277</v>
      </c>
      <c r="B440">
        <v>1818452.72</v>
      </c>
    </row>
    <row r="441" spans="1:2" x14ac:dyDescent="0.25">
      <c r="A441" s="1">
        <v>40284</v>
      </c>
      <c r="B441">
        <v>1851519.69</v>
      </c>
    </row>
    <row r="442" spans="1:2" x14ac:dyDescent="0.25">
      <c r="A442" s="1">
        <v>40291</v>
      </c>
      <c r="B442">
        <v>1802677.9</v>
      </c>
    </row>
    <row r="443" spans="1:2" x14ac:dyDescent="0.25">
      <c r="A443" s="1">
        <v>40298</v>
      </c>
      <c r="B443">
        <v>1817273.28</v>
      </c>
    </row>
    <row r="444" spans="1:2" x14ac:dyDescent="0.25">
      <c r="A444" s="1">
        <v>40305</v>
      </c>
      <c r="B444">
        <v>2000626.14</v>
      </c>
    </row>
    <row r="445" spans="1:2" x14ac:dyDescent="0.25">
      <c r="A445" s="1">
        <v>40312</v>
      </c>
      <c r="B445">
        <v>1875597.28</v>
      </c>
    </row>
    <row r="446" spans="1:2" x14ac:dyDescent="0.25">
      <c r="A446" s="1">
        <v>40319</v>
      </c>
      <c r="B446">
        <v>1903752.6</v>
      </c>
    </row>
    <row r="447" spans="1:2" x14ac:dyDescent="0.25">
      <c r="A447" s="1">
        <v>40326</v>
      </c>
      <c r="B447">
        <v>1857533.7</v>
      </c>
    </row>
    <row r="448" spans="1:2" x14ac:dyDescent="0.25">
      <c r="A448" s="1">
        <v>40333</v>
      </c>
      <c r="B448">
        <v>1903290.58</v>
      </c>
    </row>
    <row r="449" spans="1:2" x14ac:dyDescent="0.25">
      <c r="A449" s="1">
        <v>40340</v>
      </c>
      <c r="B449">
        <v>1870619.23</v>
      </c>
    </row>
    <row r="450" spans="1:2" x14ac:dyDescent="0.25">
      <c r="A450" s="1">
        <v>40347</v>
      </c>
      <c r="B450">
        <v>1929736.35</v>
      </c>
    </row>
    <row r="451" spans="1:2" x14ac:dyDescent="0.25">
      <c r="A451" s="1">
        <v>40354</v>
      </c>
      <c r="B451">
        <v>1846651.95</v>
      </c>
    </row>
    <row r="452" spans="1:2" x14ac:dyDescent="0.25">
      <c r="A452" s="1">
        <v>40361</v>
      </c>
      <c r="B452">
        <v>1881337.21</v>
      </c>
    </row>
    <row r="453" spans="1:2" x14ac:dyDescent="0.25">
      <c r="A453" s="1">
        <v>40368</v>
      </c>
      <c r="B453">
        <v>1812208.22</v>
      </c>
    </row>
    <row r="454" spans="1:2" x14ac:dyDescent="0.25">
      <c r="A454" s="1">
        <v>40375</v>
      </c>
      <c r="B454">
        <v>1898427.66</v>
      </c>
    </row>
    <row r="455" spans="1:2" x14ac:dyDescent="0.25">
      <c r="A455" s="1">
        <v>40382</v>
      </c>
      <c r="B455">
        <v>1848426.78</v>
      </c>
    </row>
    <row r="456" spans="1:2" x14ac:dyDescent="0.25">
      <c r="A456" s="1">
        <v>40389</v>
      </c>
      <c r="B456">
        <v>1796637.61</v>
      </c>
    </row>
    <row r="457" spans="1:2" x14ac:dyDescent="0.25">
      <c r="A457" s="1">
        <v>40396</v>
      </c>
      <c r="B457">
        <v>1907638.58</v>
      </c>
    </row>
    <row r="458" spans="1:2" x14ac:dyDescent="0.25">
      <c r="A458" s="1">
        <v>40403</v>
      </c>
      <c r="B458">
        <v>2007050.75</v>
      </c>
    </row>
    <row r="459" spans="1:2" x14ac:dyDescent="0.25">
      <c r="A459" s="1">
        <v>40410</v>
      </c>
      <c r="B459">
        <v>1997181.09</v>
      </c>
    </row>
    <row r="460" spans="1:2" x14ac:dyDescent="0.25">
      <c r="A460" s="1">
        <v>40417</v>
      </c>
      <c r="B460">
        <v>1848403.92</v>
      </c>
    </row>
    <row r="461" spans="1:2" x14ac:dyDescent="0.25">
      <c r="A461" s="1">
        <v>40424</v>
      </c>
      <c r="B461">
        <v>1935857.58</v>
      </c>
    </row>
    <row r="462" spans="1:2" x14ac:dyDescent="0.25">
      <c r="A462" s="1">
        <v>40431</v>
      </c>
      <c r="B462">
        <v>1865820.81</v>
      </c>
    </row>
    <row r="463" spans="1:2" x14ac:dyDescent="0.25">
      <c r="A463" s="1">
        <v>40438</v>
      </c>
      <c r="B463">
        <v>1899959.61</v>
      </c>
    </row>
    <row r="464" spans="1:2" x14ac:dyDescent="0.25">
      <c r="A464" s="1">
        <v>40445</v>
      </c>
      <c r="B464">
        <v>1810684.68</v>
      </c>
    </row>
    <row r="465" spans="1:2" x14ac:dyDescent="0.25">
      <c r="A465" s="1">
        <v>40452</v>
      </c>
      <c r="B465">
        <v>1842821.02</v>
      </c>
    </row>
    <row r="466" spans="1:2" x14ac:dyDescent="0.25">
      <c r="A466" s="1">
        <v>40459</v>
      </c>
      <c r="B466">
        <v>1951494.85</v>
      </c>
    </row>
    <row r="467" spans="1:2" x14ac:dyDescent="0.25">
      <c r="A467" s="1">
        <v>40466</v>
      </c>
      <c r="B467">
        <v>1867345.09</v>
      </c>
    </row>
    <row r="468" spans="1:2" x14ac:dyDescent="0.25">
      <c r="A468" s="1">
        <v>40473</v>
      </c>
      <c r="B468">
        <v>1927610.06</v>
      </c>
    </row>
    <row r="469" spans="1:2" x14ac:dyDescent="0.25">
      <c r="A469" s="1">
        <v>40480</v>
      </c>
      <c r="B469">
        <v>1933333</v>
      </c>
    </row>
    <row r="470" spans="1:2" x14ac:dyDescent="0.25">
      <c r="A470" s="1">
        <v>40487</v>
      </c>
      <c r="B470">
        <v>2013115.79</v>
      </c>
    </row>
    <row r="471" spans="1:2" x14ac:dyDescent="0.25">
      <c r="A471" s="1">
        <v>40494</v>
      </c>
      <c r="B471">
        <v>1999794.26</v>
      </c>
    </row>
    <row r="472" spans="1:2" x14ac:dyDescent="0.25">
      <c r="A472" s="1">
        <v>40501</v>
      </c>
      <c r="B472">
        <v>2097809.4</v>
      </c>
    </row>
    <row r="473" spans="1:2" x14ac:dyDescent="0.25">
      <c r="A473" s="1">
        <v>40508</v>
      </c>
      <c r="B473">
        <v>2789469.45</v>
      </c>
    </row>
    <row r="474" spans="1:2" x14ac:dyDescent="0.25">
      <c r="A474" s="1">
        <v>40515</v>
      </c>
      <c r="B474">
        <v>2102530.17</v>
      </c>
    </row>
    <row r="475" spans="1:2" x14ac:dyDescent="0.25">
      <c r="A475" s="1">
        <v>40522</v>
      </c>
      <c r="B475">
        <v>2302504.86</v>
      </c>
    </row>
    <row r="476" spans="1:2" x14ac:dyDescent="0.25">
      <c r="A476" s="1">
        <v>40529</v>
      </c>
      <c r="B476">
        <v>2740057.14</v>
      </c>
    </row>
    <row r="477" spans="1:2" x14ac:dyDescent="0.25">
      <c r="A477" s="1">
        <v>40536</v>
      </c>
      <c r="B477">
        <v>3526713.39</v>
      </c>
    </row>
    <row r="478" spans="1:2" x14ac:dyDescent="0.25">
      <c r="A478" s="1">
        <v>40543</v>
      </c>
      <c r="B478">
        <v>1794868.74</v>
      </c>
    </row>
    <row r="479" spans="1:2" x14ac:dyDescent="0.25">
      <c r="A479" s="1">
        <v>40550</v>
      </c>
      <c r="B479">
        <v>1862476.27</v>
      </c>
    </row>
    <row r="480" spans="1:2" x14ac:dyDescent="0.25">
      <c r="A480" s="1">
        <v>40557</v>
      </c>
      <c r="B480">
        <v>1865502.46</v>
      </c>
    </row>
    <row r="481" spans="1:2" x14ac:dyDescent="0.25">
      <c r="A481" s="1">
        <v>40564</v>
      </c>
      <c r="B481">
        <v>1886393.94</v>
      </c>
    </row>
    <row r="482" spans="1:2" x14ac:dyDescent="0.25">
      <c r="A482" s="1">
        <v>40571</v>
      </c>
      <c r="B482">
        <v>1814240.85</v>
      </c>
    </row>
    <row r="483" spans="1:2" x14ac:dyDescent="0.25">
      <c r="A483" s="1">
        <v>40578</v>
      </c>
      <c r="B483">
        <v>2119086.04</v>
      </c>
    </row>
    <row r="484" spans="1:2" x14ac:dyDescent="0.25">
      <c r="A484" s="1">
        <v>40585</v>
      </c>
      <c r="B484">
        <v>2187847.29</v>
      </c>
    </row>
    <row r="485" spans="1:2" x14ac:dyDescent="0.25">
      <c r="A485" s="1">
        <v>40592</v>
      </c>
      <c r="B485">
        <v>2316495.56</v>
      </c>
    </row>
    <row r="486" spans="1:2" x14ac:dyDescent="0.25">
      <c r="A486" s="1">
        <v>40599</v>
      </c>
      <c r="B486">
        <v>2078094.69</v>
      </c>
    </row>
    <row r="487" spans="1:2" x14ac:dyDescent="0.25">
      <c r="A487" s="1">
        <v>40606</v>
      </c>
      <c r="B487">
        <v>2103455.75</v>
      </c>
    </row>
    <row r="488" spans="1:2" x14ac:dyDescent="0.25">
      <c r="A488" s="1">
        <v>40613</v>
      </c>
      <c r="B488">
        <v>2039818.41</v>
      </c>
    </row>
    <row r="489" spans="1:2" x14ac:dyDescent="0.25">
      <c r="A489" s="1">
        <v>40620</v>
      </c>
      <c r="B489">
        <v>2116475.38</v>
      </c>
    </row>
    <row r="490" spans="1:2" x14ac:dyDescent="0.25">
      <c r="A490" s="1">
        <v>40627</v>
      </c>
      <c r="B490">
        <v>1944164.32</v>
      </c>
    </row>
    <row r="491" spans="1:2" x14ac:dyDescent="0.25">
      <c r="A491" s="1">
        <v>40634</v>
      </c>
      <c r="B491">
        <v>1900246.47</v>
      </c>
    </row>
    <row r="492" spans="1:2" x14ac:dyDescent="0.25">
      <c r="A492" s="1">
        <v>40641</v>
      </c>
      <c r="B492">
        <v>2074953.46</v>
      </c>
    </row>
    <row r="493" spans="1:2" x14ac:dyDescent="0.25">
      <c r="A493" s="1">
        <v>40648</v>
      </c>
      <c r="B493">
        <v>1960587.76</v>
      </c>
    </row>
    <row r="494" spans="1:2" x14ac:dyDescent="0.25">
      <c r="A494" s="1">
        <v>40655</v>
      </c>
      <c r="B494">
        <v>2220600.7599999998</v>
      </c>
    </row>
    <row r="495" spans="1:2" x14ac:dyDescent="0.25">
      <c r="A495" s="1">
        <v>40662</v>
      </c>
      <c r="B495">
        <v>1878167.44</v>
      </c>
    </row>
    <row r="496" spans="1:2" x14ac:dyDescent="0.25">
      <c r="A496" s="1">
        <v>40669</v>
      </c>
      <c r="B496">
        <v>2063682.76</v>
      </c>
    </row>
    <row r="497" spans="1:2" x14ac:dyDescent="0.25">
      <c r="A497" s="1">
        <v>40676</v>
      </c>
      <c r="B497">
        <v>2002362.37</v>
      </c>
    </row>
    <row r="498" spans="1:2" x14ac:dyDescent="0.25">
      <c r="A498" s="1">
        <v>40683</v>
      </c>
      <c r="B498">
        <v>2015563.48</v>
      </c>
    </row>
    <row r="499" spans="1:2" x14ac:dyDescent="0.25">
      <c r="A499" s="1">
        <v>40690</v>
      </c>
      <c r="B499">
        <v>1986597.95</v>
      </c>
    </row>
    <row r="500" spans="1:2" x14ac:dyDescent="0.25">
      <c r="A500" s="1">
        <v>40697</v>
      </c>
      <c r="B500">
        <v>2065377.15</v>
      </c>
    </row>
    <row r="501" spans="1:2" x14ac:dyDescent="0.25">
      <c r="A501" s="1">
        <v>40704</v>
      </c>
      <c r="B501">
        <v>2073951.38</v>
      </c>
    </row>
    <row r="502" spans="1:2" x14ac:dyDescent="0.25">
      <c r="A502" s="1">
        <v>40711</v>
      </c>
      <c r="B502">
        <v>2141210.62</v>
      </c>
    </row>
    <row r="503" spans="1:2" x14ac:dyDescent="0.25">
      <c r="A503" s="1">
        <v>40718</v>
      </c>
      <c r="B503">
        <v>2008344.92</v>
      </c>
    </row>
    <row r="504" spans="1:2" x14ac:dyDescent="0.25">
      <c r="A504" s="1">
        <v>40725</v>
      </c>
      <c r="B504">
        <v>2051533.53</v>
      </c>
    </row>
    <row r="505" spans="1:2" x14ac:dyDescent="0.25">
      <c r="A505" s="1">
        <v>40732</v>
      </c>
      <c r="B505">
        <v>2066541.86</v>
      </c>
    </row>
    <row r="506" spans="1:2" x14ac:dyDescent="0.25">
      <c r="A506" s="1">
        <v>40739</v>
      </c>
      <c r="B506">
        <v>2049046.95</v>
      </c>
    </row>
    <row r="507" spans="1:2" x14ac:dyDescent="0.25">
      <c r="A507" s="1">
        <v>40746</v>
      </c>
      <c r="B507">
        <v>2036231.39</v>
      </c>
    </row>
    <row r="508" spans="1:2" x14ac:dyDescent="0.25">
      <c r="A508" s="1">
        <v>40753</v>
      </c>
      <c r="B508">
        <v>1989674.07</v>
      </c>
    </row>
    <row r="509" spans="1:2" x14ac:dyDescent="0.25">
      <c r="A509" s="1">
        <v>40760</v>
      </c>
      <c r="B509">
        <v>2160057.39</v>
      </c>
    </row>
    <row r="510" spans="1:2" x14ac:dyDescent="0.25">
      <c r="A510" s="1">
        <v>40767</v>
      </c>
      <c r="B510">
        <v>2105668.7400000002</v>
      </c>
    </row>
    <row r="511" spans="1:2" x14ac:dyDescent="0.25">
      <c r="A511" s="1">
        <v>40774</v>
      </c>
      <c r="B511">
        <v>2232892.1</v>
      </c>
    </row>
    <row r="512" spans="1:2" x14ac:dyDescent="0.25">
      <c r="A512" s="1">
        <v>40781</v>
      </c>
      <c r="B512">
        <v>1988490.21</v>
      </c>
    </row>
    <row r="513" spans="1:2" x14ac:dyDescent="0.25">
      <c r="A513" s="1">
        <v>40788</v>
      </c>
      <c r="B513">
        <v>2078420.31</v>
      </c>
    </row>
    <row r="514" spans="1:2" x14ac:dyDescent="0.25">
      <c r="A514" s="1">
        <v>40795</v>
      </c>
      <c r="B514">
        <v>2093139.01</v>
      </c>
    </row>
    <row r="515" spans="1:2" x14ac:dyDescent="0.25">
      <c r="A515" s="1">
        <v>40802</v>
      </c>
      <c r="B515">
        <v>2075577.33</v>
      </c>
    </row>
    <row r="516" spans="1:2" x14ac:dyDescent="0.25">
      <c r="A516" s="1">
        <v>40809</v>
      </c>
      <c r="B516">
        <v>2031406.41</v>
      </c>
    </row>
    <row r="517" spans="1:2" x14ac:dyDescent="0.25">
      <c r="A517" s="1">
        <v>40816</v>
      </c>
      <c r="B517">
        <v>1929486.63</v>
      </c>
    </row>
    <row r="518" spans="1:2" x14ac:dyDescent="0.25">
      <c r="A518" s="1">
        <v>40830</v>
      </c>
      <c r="B518">
        <v>2074548.85</v>
      </c>
    </row>
    <row r="519" spans="1:2" x14ac:dyDescent="0.25">
      <c r="A519" s="1">
        <v>40837</v>
      </c>
      <c r="B519">
        <v>2207742.13</v>
      </c>
    </row>
    <row r="520" spans="1:2" x14ac:dyDescent="0.25">
      <c r="A520" s="1">
        <v>40844</v>
      </c>
      <c r="B520">
        <v>2151659.59</v>
      </c>
    </row>
    <row r="521" spans="1:2" x14ac:dyDescent="0.25">
      <c r="A521" s="1">
        <v>40851</v>
      </c>
      <c r="B521">
        <v>2281217.31</v>
      </c>
    </row>
    <row r="522" spans="1:2" x14ac:dyDescent="0.25">
      <c r="A522" s="1">
        <v>40858</v>
      </c>
      <c r="B522">
        <v>2203028.96</v>
      </c>
    </row>
    <row r="523" spans="1:2" x14ac:dyDescent="0.25">
      <c r="A523" s="1">
        <v>40865</v>
      </c>
      <c r="B523">
        <v>2243946.59</v>
      </c>
    </row>
    <row r="524" spans="1:2" x14ac:dyDescent="0.25">
      <c r="A524" s="1">
        <v>40872</v>
      </c>
      <c r="B524">
        <v>3004702.33</v>
      </c>
    </row>
    <row r="525" spans="1:2" x14ac:dyDescent="0.25">
      <c r="A525" s="1">
        <v>40879</v>
      </c>
      <c r="B525">
        <v>2180999.2599999998</v>
      </c>
    </row>
    <row r="526" spans="1:2" x14ac:dyDescent="0.25">
      <c r="A526" s="1">
        <v>40886</v>
      </c>
      <c r="B526">
        <v>2508955.2400000002</v>
      </c>
    </row>
    <row r="527" spans="1:2" x14ac:dyDescent="0.25">
      <c r="A527" s="1">
        <v>40893</v>
      </c>
      <c r="B527">
        <v>2771397.17</v>
      </c>
    </row>
    <row r="528" spans="1:2" x14ac:dyDescent="0.25">
      <c r="A528" s="1">
        <v>40900</v>
      </c>
      <c r="B528">
        <v>3676388.98</v>
      </c>
    </row>
    <row r="529" spans="1:2" x14ac:dyDescent="0.25">
      <c r="A529" s="1">
        <v>40907</v>
      </c>
      <c r="B529">
        <v>2007105.86</v>
      </c>
    </row>
    <row r="530" spans="1:2" x14ac:dyDescent="0.25">
      <c r="A530" s="1">
        <v>40914</v>
      </c>
      <c r="B530">
        <v>2047766.07</v>
      </c>
    </row>
    <row r="531" spans="1:2" x14ac:dyDescent="0.25">
      <c r="A531" s="1">
        <v>40921</v>
      </c>
      <c r="B531">
        <v>1941676.61</v>
      </c>
    </row>
    <row r="532" spans="1:2" x14ac:dyDescent="0.25">
      <c r="A532" s="1">
        <v>40928</v>
      </c>
      <c r="B532">
        <v>2005097.76</v>
      </c>
    </row>
    <row r="533" spans="1:2" x14ac:dyDescent="0.25">
      <c r="A533" s="1">
        <v>40935</v>
      </c>
      <c r="B533">
        <v>1928720.51</v>
      </c>
    </row>
    <row r="534" spans="1:2" x14ac:dyDescent="0.25">
      <c r="A534" s="1">
        <v>40942</v>
      </c>
      <c r="B534">
        <v>2173373.91</v>
      </c>
    </row>
    <row r="535" spans="1:2" x14ac:dyDescent="0.25">
      <c r="A535" s="1">
        <v>40949</v>
      </c>
      <c r="B535">
        <v>2374660.64</v>
      </c>
    </row>
    <row r="536" spans="1:2" x14ac:dyDescent="0.25">
      <c r="A536" s="1">
        <v>40956</v>
      </c>
      <c r="B536">
        <v>2427640.17</v>
      </c>
    </row>
    <row r="537" spans="1:2" x14ac:dyDescent="0.25">
      <c r="A537" s="1">
        <v>40963</v>
      </c>
      <c r="B537">
        <v>2226662.17</v>
      </c>
    </row>
    <row r="538" spans="1:2" x14ac:dyDescent="0.25">
      <c r="A538" s="1">
        <v>40970</v>
      </c>
      <c r="B538">
        <v>2206319.9</v>
      </c>
    </row>
    <row r="539" spans="1:2" x14ac:dyDescent="0.25">
      <c r="A539" s="1">
        <v>40977</v>
      </c>
      <c r="B539">
        <v>2202450.81</v>
      </c>
    </row>
    <row r="540" spans="1:2" x14ac:dyDescent="0.25">
      <c r="A540" s="1">
        <v>40984</v>
      </c>
      <c r="B540">
        <v>2214967.44</v>
      </c>
    </row>
    <row r="541" spans="1:2" x14ac:dyDescent="0.25">
      <c r="A541" s="1">
        <v>40991</v>
      </c>
      <c r="B541">
        <v>2091592.54</v>
      </c>
    </row>
    <row r="542" spans="1:2" x14ac:dyDescent="0.25">
      <c r="A542" s="1">
        <v>40998</v>
      </c>
      <c r="B542">
        <v>2089381.77</v>
      </c>
    </row>
    <row r="543" spans="1:2" x14ac:dyDescent="0.25">
      <c r="A543" s="1">
        <v>41005</v>
      </c>
      <c r="B543">
        <v>2470206.13</v>
      </c>
    </row>
    <row r="544" spans="1:2" x14ac:dyDescent="0.25">
      <c r="A544" s="1">
        <v>41012</v>
      </c>
      <c r="B544">
        <v>2105301.39</v>
      </c>
    </row>
    <row r="545" spans="1:2" x14ac:dyDescent="0.25">
      <c r="A545" s="1">
        <v>41019</v>
      </c>
      <c r="B545">
        <v>2144336.89</v>
      </c>
    </row>
    <row r="546" spans="1:2" x14ac:dyDescent="0.25">
      <c r="A546" s="1">
        <v>41026</v>
      </c>
      <c r="B546">
        <v>2064065.66</v>
      </c>
    </row>
    <row r="547" spans="1:2" x14ac:dyDescent="0.25">
      <c r="A547" s="1">
        <v>41033</v>
      </c>
      <c r="B547">
        <v>2196968.33</v>
      </c>
    </row>
    <row r="548" spans="1:2" x14ac:dyDescent="0.25">
      <c r="A548" s="1">
        <v>41040</v>
      </c>
      <c r="B548">
        <v>2127661.17</v>
      </c>
    </row>
    <row r="549" spans="1:2" x14ac:dyDescent="0.25">
      <c r="A549" s="1">
        <v>41047</v>
      </c>
      <c r="B549">
        <v>2207214.81</v>
      </c>
    </row>
    <row r="550" spans="1:2" x14ac:dyDescent="0.25">
      <c r="A550" s="1">
        <v>41054</v>
      </c>
      <c r="B550">
        <v>2154137.67</v>
      </c>
    </row>
    <row r="551" spans="1:2" x14ac:dyDescent="0.25">
      <c r="A551" s="1">
        <v>41061</v>
      </c>
      <c r="B551">
        <v>2179360.94</v>
      </c>
    </row>
    <row r="552" spans="1:2" x14ac:dyDescent="0.25">
      <c r="A552" s="1">
        <v>41068</v>
      </c>
      <c r="B552">
        <v>2245257.1800000002</v>
      </c>
    </row>
    <row r="553" spans="1:2" x14ac:dyDescent="0.25">
      <c r="A553" s="1">
        <v>41075</v>
      </c>
      <c r="B553">
        <v>2234190.9300000002</v>
      </c>
    </row>
    <row r="554" spans="1:2" x14ac:dyDescent="0.25">
      <c r="A554" s="1">
        <v>41082</v>
      </c>
      <c r="B554">
        <v>2197299.65</v>
      </c>
    </row>
    <row r="555" spans="1:2" x14ac:dyDescent="0.25">
      <c r="A555" s="1">
        <v>41089</v>
      </c>
      <c r="B555">
        <v>2128362.92</v>
      </c>
    </row>
    <row r="556" spans="1:2" x14ac:dyDescent="0.25">
      <c r="A556" s="1">
        <v>41096</v>
      </c>
      <c r="B556">
        <v>2224499.2799999998</v>
      </c>
    </row>
    <row r="557" spans="1:2" x14ac:dyDescent="0.25">
      <c r="A557" s="1">
        <v>41103</v>
      </c>
      <c r="B557">
        <v>2100252.61</v>
      </c>
    </row>
    <row r="558" spans="1:2" x14ac:dyDescent="0.25">
      <c r="A558" s="1">
        <v>41110</v>
      </c>
      <c r="B558">
        <v>2175563.69</v>
      </c>
    </row>
    <row r="559" spans="1:2" x14ac:dyDescent="0.25">
      <c r="A559" s="1">
        <v>41117</v>
      </c>
      <c r="B559">
        <v>2048613.65</v>
      </c>
    </row>
    <row r="560" spans="1:2" x14ac:dyDescent="0.25">
      <c r="A560" s="1">
        <v>41124</v>
      </c>
      <c r="B560">
        <v>2174514.13</v>
      </c>
    </row>
    <row r="561" spans="1:2" x14ac:dyDescent="0.25">
      <c r="A561" s="1">
        <v>41131</v>
      </c>
      <c r="B561">
        <v>2193367.69</v>
      </c>
    </row>
    <row r="562" spans="1:2" x14ac:dyDescent="0.25">
      <c r="A562" s="1">
        <v>41138</v>
      </c>
      <c r="B562">
        <v>2283540.2999999998</v>
      </c>
    </row>
    <row r="563" spans="1:2" x14ac:dyDescent="0.25">
      <c r="A563" s="1">
        <v>41145</v>
      </c>
      <c r="B563">
        <v>2125241.6800000002</v>
      </c>
    </row>
    <row r="564" spans="1:2" x14ac:dyDescent="0.25">
      <c r="A564" s="1">
        <v>41152</v>
      </c>
      <c r="B564">
        <v>2081181.35</v>
      </c>
    </row>
    <row r="565" spans="1:2" x14ac:dyDescent="0.25">
      <c r="A565" s="1">
        <v>41159</v>
      </c>
      <c r="B565">
        <v>2125104.7200000002</v>
      </c>
    </row>
    <row r="566" spans="1:2" x14ac:dyDescent="0.25">
      <c r="A566" s="1">
        <v>41166</v>
      </c>
      <c r="B566">
        <v>2117854.6</v>
      </c>
    </row>
    <row r="567" spans="1:2" x14ac:dyDescent="0.25">
      <c r="A567" s="1">
        <v>41173</v>
      </c>
      <c r="B567">
        <v>2119438.5299999998</v>
      </c>
    </row>
    <row r="568" spans="1:2" x14ac:dyDescent="0.25">
      <c r="A568" s="1">
        <v>41180</v>
      </c>
      <c r="B568">
        <v>2027620.23</v>
      </c>
    </row>
    <row r="569" spans="1:2" x14ac:dyDescent="0.25">
      <c r="A569" s="1">
        <v>41187</v>
      </c>
      <c r="B569">
        <v>2209835.4300000002</v>
      </c>
    </row>
    <row r="570" spans="1:2" x14ac:dyDescent="0.25">
      <c r="A570" s="1">
        <v>41194</v>
      </c>
      <c r="B570">
        <v>2133026.0699999998</v>
      </c>
    </row>
    <row r="571" spans="1:2" x14ac:dyDescent="0.25">
      <c r="A571" s="1">
        <v>41208</v>
      </c>
      <c r="B571">
        <v>2149594.46</v>
      </c>
    </row>
    <row r="572" spans="1:2" x14ac:dyDescent="0.25">
      <c r="A572" s="1">
        <v>40214</v>
      </c>
      <c r="B572">
        <v>317173.09999999998</v>
      </c>
    </row>
    <row r="573" spans="1:2" x14ac:dyDescent="0.25">
      <c r="A573" s="1">
        <v>40221</v>
      </c>
      <c r="B573">
        <v>311825.7</v>
      </c>
    </row>
    <row r="574" spans="1:2" x14ac:dyDescent="0.25">
      <c r="A574" s="1">
        <v>40228</v>
      </c>
      <c r="B574">
        <v>303447.57</v>
      </c>
    </row>
    <row r="575" spans="1:2" x14ac:dyDescent="0.25">
      <c r="A575" s="1">
        <v>40235</v>
      </c>
      <c r="B575">
        <v>270281.63</v>
      </c>
    </row>
    <row r="576" spans="1:2" x14ac:dyDescent="0.25">
      <c r="A576" s="1">
        <v>40242</v>
      </c>
      <c r="B576">
        <v>288855.71000000002</v>
      </c>
    </row>
    <row r="577" spans="1:2" x14ac:dyDescent="0.25">
      <c r="A577" s="1">
        <v>40249</v>
      </c>
      <c r="B577">
        <v>297293.59000000003</v>
      </c>
    </row>
    <row r="578" spans="1:2" x14ac:dyDescent="0.25">
      <c r="A578" s="1">
        <v>40256</v>
      </c>
      <c r="B578">
        <v>281706.40999999997</v>
      </c>
    </row>
    <row r="579" spans="1:2" x14ac:dyDescent="0.25">
      <c r="A579" s="1">
        <v>40263</v>
      </c>
      <c r="B579">
        <v>273282.96999999997</v>
      </c>
    </row>
    <row r="580" spans="1:2" x14ac:dyDescent="0.25">
      <c r="A580" s="1">
        <v>40270</v>
      </c>
      <c r="B580">
        <v>331406</v>
      </c>
    </row>
    <row r="581" spans="1:2" x14ac:dyDescent="0.25">
      <c r="A581" s="1">
        <v>40277</v>
      </c>
      <c r="B581">
        <v>328020.49</v>
      </c>
    </row>
    <row r="582" spans="1:2" x14ac:dyDescent="0.25">
      <c r="A582" s="1">
        <v>40284</v>
      </c>
      <c r="B582">
        <v>306858.69</v>
      </c>
    </row>
    <row r="583" spans="1:2" x14ac:dyDescent="0.25">
      <c r="A583" s="1">
        <v>40291</v>
      </c>
      <c r="B583">
        <v>288839.73</v>
      </c>
    </row>
    <row r="584" spans="1:2" x14ac:dyDescent="0.25">
      <c r="A584" s="1">
        <v>40298</v>
      </c>
      <c r="B584">
        <v>298697.84000000003</v>
      </c>
    </row>
    <row r="585" spans="1:2" x14ac:dyDescent="0.25">
      <c r="A585" s="1">
        <v>40305</v>
      </c>
      <c r="B585">
        <v>333522.59999999998</v>
      </c>
    </row>
    <row r="586" spans="1:2" x14ac:dyDescent="0.25">
      <c r="A586" s="1">
        <v>40312</v>
      </c>
      <c r="B586">
        <v>296673.77</v>
      </c>
    </row>
    <row r="587" spans="1:2" x14ac:dyDescent="0.25">
      <c r="A587" s="1">
        <v>40319</v>
      </c>
      <c r="B587">
        <v>301615.49</v>
      </c>
    </row>
    <row r="588" spans="1:2" x14ac:dyDescent="0.25">
      <c r="A588" s="1">
        <v>40326</v>
      </c>
      <c r="B588">
        <v>310013.11</v>
      </c>
    </row>
    <row r="589" spans="1:2" x14ac:dyDescent="0.25">
      <c r="A589" s="1">
        <v>40333</v>
      </c>
      <c r="B589">
        <v>337825.89</v>
      </c>
    </row>
    <row r="590" spans="1:2" x14ac:dyDescent="0.25">
      <c r="A590" s="1">
        <v>40340</v>
      </c>
      <c r="B590">
        <v>296641.90999999997</v>
      </c>
    </row>
    <row r="591" spans="1:2" x14ac:dyDescent="0.25">
      <c r="A591" s="1">
        <v>40347</v>
      </c>
      <c r="B591">
        <v>313795.59999999998</v>
      </c>
    </row>
    <row r="592" spans="1:2" x14ac:dyDescent="0.25">
      <c r="A592" s="1">
        <v>40354</v>
      </c>
      <c r="B592">
        <v>295257.3</v>
      </c>
    </row>
    <row r="593" spans="1:2" x14ac:dyDescent="0.25">
      <c r="A593" s="1">
        <v>40361</v>
      </c>
      <c r="B593">
        <v>305993.27</v>
      </c>
    </row>
    <row r="594" spans="1:2" x14ac:dyDescent="0.25">
      <c r="A594" s="1">
        <v>40368</v>
      </c>
      <c r="B594">
        <v>291808.87</v>
      </c>
    </row>
    <row r="595" spans="1:2" x14ac:dyDescent="0.25">
      <c r="A595" s="1">
        <v>40375</v>
      </c>
      <c r="B595">
        <v>280701.7</v>
      </c>
    </row>
    <row r="596" spans="1:2" x14ac:dyDescent="0.25">
      <c r="A596" s="1">
        <v>40382</v>
      </c>
      <c r="B596">
        <v>274742.63</v>
      </c>
    </row>
    <row r="597" spans="1:2" x14ac:dyDescent="0.25">
      <c r="A597" s="1">
        <v>40389</v>
      </c>
      <c r="B597">
        <v>268929.03000000003</v>
      </c>
    </row>
    <row r="598" spans="1:2" x14ac:dyDescent="0.25">
      <c r="A598" s="1">
        <v>40396</v>
      </c>
      <c r="B598">
        <v>303043.02</v>
      </c>
    </row>
    <row r="599" spans="1:2" x14ac:dyDescent="0.25">
      <c r="A599" s="1">
        <v>40403</v>
      </c>
      <c r="B599">
        <v>286477.34999999998</v>
      </c>
    </row>
    <row r="600" spans="1:2" x14ac:dyDescent="0.25">
      <c r="A600" s="1">
        <v>40410</v>
      </c>
      <c r="B600">
        <v>287205.38</v>
      </c>
    </row>
    <row r="601" spans="1:2" x14ac:dyDescent="0.25">
      <c r="A601" s="1">
        <v>40417</v>
      </c>
      <c r="B601">
        <v>288519.75</v>
      </c>
    </row>
    <row r="602" spans="1:2" x14ac:dyDescent="0.25">
      <c r="A602" s="1">
        <v>40424</v>
      </c>
      <c r="B602">
        <v>323798</v>
      </c>
    </row>
    <row r="603" spans="1:2" x14ac:dyDescent="0.25">
      <c r="A603" s="1">
        <v>40431</v>
      </c>
      <c r="B603">
        <v>306533.08</v>
      </c>
    </row>
    <row r="604" spans="1:2" x14ac:dyDescent="0.25">
      <c r="A604" s="1">
        <v>40438</v>
      </c>
      <c r="B604">
        <v>282558.65000000002</v>
      </c>
    </row>
    <row r="605" spans="1:2" x14ac:dyDescent="0.25">
      <c r="A605" s="1">
        <v>40445</v>
      </c>
      <c r="B605">
        <v>293131.58</v>
      </c>
    </row>
    <row r="606" spans="1:2" x14ac:dyDescent="0.25">
      <c r="A606" s="1">
        <v>40452</v>
      </c>
      <c r="B606">
        <v>283178.12</v>
      </c>
    </row>
    <row r="607" spans="1:2" x14ac:dyDescent="0.25">
      <c r="A607" s="1">
        <v>40459</v>
      </c>
      <c r="B607">
        <v>290494.84999999998</v>
      </c>
    </row>
    <row r="608" spans="1:2" x14ac:dyDescent="0.25">
      <c r="A608" s="1">
        <v>40466</v>
      </c>
      <c r="B608">
        <v>280681.2</v>
      </c>
    </row>
    <row r="609" spans="1:2" x14ac:dyDescent="0.25">
      <c r="A609" s="1">
        <v>40473</v>
      </c>
      <c r="B609">
        <v>284988.27</v>
      </c>
    </row>
    <row r="610" spans="1:2" x14ac:dyDescent="0.25">
      <c r="A610" s="1">
        <v>40480</v>
      </c>
      <c r="B610">
        <v>278031.81</v>
      </c>
    </row>
    <row r="611" spans="1:2" x14ac:dyDescent="0.25">
      <c r="A611" s="1">
        <v>40487</v>
      </c>
      <c r="B611">
        <v>325310.3</v>
      </c>
    </row>
    <row r="612" spans="1:2" x14ac:dyDescent="0.25">
      <c r="A612" s="1">
        <v>40494</v>
      </c>
      <c r="B612">
        <v>301827.36</v>
      </c>
    </row>
    <row r="613" spans="1:2" x14ac:dyDescent="0.25">
      <c r="A613" s="1">
        <v>40501</v>
      </c>
      <c r="B613">
        <v>297384.81</v>
      </c>
    </row>
    <row r="614" spans="1:2" x14ac:dyDescent="0.25">
      <c r="A614" s="1">
        <v>40508</v>
      </c>
      <c r="B614">
        <v>488362.61</v>
      </c>
    </row>
    <row r="615" spans="1:2" x14ac:dyDescent="0.25">
      <c r="A615" s="1">
        <v>40515</v>
      </c>
      <c r="B615">
        <v>344490.88</v>
      </c>
    </row>
    <row r="616" spans="1:2" x14ac:dyDescent="0.25">
      <c r="A616" s="1">
        <v>40522</v>
      </c>
      <c r="B616">
        <v>352811.53</v>
      </c>
    </row>
    <row r="617" spans="1:2" x14ac:dyDescent="0.25">
      <c r="A617" s="1">
        <v>40529</v>
      </c>
      <c r="B617">
        <v>367801.19</v>
      </c>
    </row>
    <row r="618" spans="1:2" x14ac:dyDescent="0.25">
      <c r="A618" s="1">
        <v>40536</v>
      </c>
      <c r="B618">
        <v>466010.25</v>
      </c>
    </row>
    <row r="619" spans="1:2" x14ac:dyDescent="0.25">
      <c r="A619" s="1">
        <v>40543</v>
      </c>
      <c r="B619">
        <v>298180.18</v>
      </c>
    </row>
    <row r="620" spans="1:2" x14ac:dyDescent="0.25">
      <c r="A620" s="1">
        <v>40550</v>
      </c>
      <c r="B620">
        <v>286347.26</v>
      </c>
    </row>
    <row r="621" spans="1:2" x14ac:dyDescent="0.25">
      <c r="A621" s="1">
        <v>40557</v>
      </c>
      <c r="B621">
        <v>260636.71</v>
      </c>
    </row>
    <row r="622" spans="1:2" x14ac:dyDescent="0.25">
      <c r="A622" s="1">
        <v>40564</v>
      </c>
      <c r="B622">
        <v>275313.34000000003</v>
      </c>
    </row>
    <row r="623" spans="1:2" x14ac:dyDescent="0.25">
      <c r="A623" s="1">
        <v>40571</v>
      </c>
      <c r="B623">
        <v>279088.39</v>
      </c>
    </row>
    <row r="624" spans="1:2" x14ac:dyDescent="0.25">
      <c r="A624" s="1">
        <v>40578</v>
      </c>
      <c r="B624">
        <v>329613.2</v>
      </c>
    </row>
    <row r="625" spans="1:2" x14ac:dyDescent="0.25">
      <c r="A625" s="1">
        <v>40585</v>
      </c>
      <c r="B625">
        <v>311590.53999999998</v>
      </c>
    </row>
    <row r="626" spans="1:2" x14ac:dyDescent="0.25">
      <c r="A626" s="1">
        <v>40592</v>
      </c>
      <c r="B626">
        <v>356622.61</v>
      </c>
    </row>
    <row r="627" spans="1:2" x14ac:dyDescent="0.25">
      <c r="A627" s="1">
        <v>40599</v>
      </c>
      <c r="B627">
        <v>294659.5</v>
      </c>
    </row>
    <row r="628" spans="1:2" x14ac:dyDescent="0.25">
      <c r="A628" s="1">
        <v>40606</v>
      </c>
      <c r="B628">
        <v>329033.65999999997</v>
      </c>
    </row>
    <row r="629" spans="1:2" x14ac:dyDescent="0.25">
      <c r="A629" s="1">
        <v>40613</v>
      </c>
      <c r="B629">
        <v>293098.09999999998</v>
      </c>
    </row>
    <row r="630" spans="1:2" x14ac:dyDescent="0.25">
      <c r="A630" s="1">
        <v>40620</v>
      </c>
      <c r="B630">
        <v>312177.67</v>
      </c>
    </row>
    <row r="631" spans="1:2" x14ac:dyDescent="0.25">
      <c r="A631" s="1">
        <v>40627</v>
      </c>
      <c r="B631">
        <v>294732.5</v>
      </c>
    </row>
    <row r="632" spans="1:2" x14ac:dyDescent="0.25">
      <c r="A632" s="1">
        <v>40634</v>
      </c>
      <c r="B632">
        <v>314316.55</v>
      </c>
    </row>
    <row r="633" spans="1:2" x14ac:dyDescent="0.25">
      <c r="A633" s="1">
        <v>40641</v>
      </c>
      <c r="B633">
        <v>307333.62</v>
      </c>
    </row>
    <row r="634" spans="1:2" x14ac:dyDescent="0.25">
      <c r="A634" s="1">
        <v>40648</v>
      </c>
      <c r="B634">
        <v>307913.58</v>
      </c>
    </row>
    <row r="635" spans="1:2" x14ac:dyDescent="0.25">
      <c r="A635" s="1">
        <v>40655</v>
      </c>
      <c r="B635">
        <v>328415.44</v>
      </c>
    </row>
    <row r="636" spans="1:2" x14ac:dyDescent="0.25">
      <c r="A636" s="1">
        <v>40662</v>
      </c>
      <c r="B636">
        <v>307291.56</v>
      </c>
    </row>
    <row r="637" spans="1:2" x14ac:dyDescent="0.25">
      <c r="A637" s="1">
        <v>40669</v>
      </c>
      <c r="B637">
        <v>322904.68</v>
      </c>
    </row>
    <row r="638" spans="1:2" x14ac:dyDescent="0.25">
      <c r="A638" s="1">
        <v>40676</v>
      </c>
      <c r="B638">
        <v>290930.01</v>
      </c>
    </row>
    <row r="639" spans="1:2" x14ac:dyDescent="0.25">
      <c r="A639" s="1">
        <v>40683</v>
      </c>
      <c r="B639">
        <v>299614.33</v>
      </c>
    </row>
    <row r="640" spans="1:2" x14ac:dyDescent="0.25">
      <c r="A640" s="1">
        <v>40690</v>
      </c>
      <c r="B640">
        <v>297149.69</v>
      </c>
    </row>
    <row r="641" spans="1:2" x14ac:dyDescent="0.25">
      <c r="A641" s="1">
        <v>40697</v>
      </c>
      <c r="B641">
        <v>329183.92</v>
      </c>
    </row>
    <row r="642" spans="1:2" x14ac:dyDescent="0.25">
      <c r="A642" s="1">
        <v>40704</v>
      </c>
      <c r="B642">
        <v>304984.14</v>
      </c>
    </row>
    <row r="643" spans="1:2" x14ac:dyDescent="0.25">
      <c r="A643" s="1">
        <v>40711</v>
      </c>
      <c r="B643">
        <v>304811.82</v>
      </c>
    </row>
    <row r="644" spans="1:2" x14ac:dyDescent="0.25">
      <c r="A644" s="1">
        <v>40718</v>
      </c>
      <c r="B644">
        <v>302881.64</v>
      </c>
    </row>
    <row r="645" spans="1:2" x14ac:dyDescent="0.25">
      <c r="A645" s="1">
        <v>40725</v>
      </c>
      <c r="B645">
        <v>327093.89</v>
      </c>
    </row>
    <row r="646" spans="1:2" x14ac:dyDescent="0.25">
      <c r="A646" s="1">
        <v>40732</v>
      </c>
      <c r="B646">
        <v>310804.93</v>
      </c>
    </row>
    <row r="647" spans="1:2" x14ac:dyDescent="0.25">
      <c r="A647" s="1">
        <v>40739</v>
      </c>
      <c r="B647">
        <v>283248.62</v>
      </c>
    </row>
    <row r="648" spans="1:2" x14ac:dyDescent="0.25">
      <c r="A648" s="1">
        <v>40746</v>
      </c>
      <c r="B648">
        <v>292539.73</v>
      </c>
    </row>
    <row r="649" spans="1:2" x14ac:dyDescent="0.25">
      <c r="A649" s="1">
        <v>40753</v>
      </c>
      <c r="B649">
        <v>275142.17</v>
      </c>
    </row>
    <row r="650" spans="1:2" x14ac:dyDescent="0.25">
      <c r="A650" s="1">
        <v>40760</v>
      </c>
      <c r="B650">
        <v>317738.56</v>
      </c>
    </row>
    <row r="651" spans="1:2" x14ac:dyDescent="0.25">
      <c r="A651" s="1">
        <v>40767</v>
      </c>
      <c r="B651">
        <v>289886.15999999997</v>
      </c>
    </row>
    <row r="652" spans="1:2" x14ac:dyDescent="0.25">
      <c r="A652" s="1">
        <v>40774</v>
      </c>
      <c r="B652">
        <v>303643.84000000003</v>
      </c>
    </row>
    <row r="653" spans="1:2" x14ac:dyDescent="0.25">
      <c r="A653" s="1">
        <v>40781</v>
      </c>
      <c r="B653">
        <v>310338.17</v>
      </c>
    </row>
    <row r="654" spans="1:2" x14ac:dyDescent="0.25">
      <c r="A654" s="1">
        <v>40788</v>
      </c>
      <c r="B654">
        <v>315645.53000000003</v>
      </c>
    </row>
    <row r="655" spans="1:2" x14ac:dyDescent="0.25">
      <c r="A655" s="1">
        <v>40795</v>
      </c>
      <c r="B655">
        <v>321110.21999999997</v>
      </c>
    </row>
    <row r="656" spans="1:2" x14ac:dyDescent="0.25">
      <c r="A656" s="1">
        <v>40802</v>
      </c>
      <c r="B656">
        <v>278529.71000000002</v>
      </c>
    </row>
    <row r="657" spans="1:2" x14ac:dyDescent="0.25">
      <c r="A657" s="1">
        <v>40809</v>
      </c>
      <c r="B657">
        <v>291024.98</v>
      </c>
    </row>
    <row r="658" spans="1:2" x14ac:dyDescent="0.25">
      <c r="A658" s="1">
        <v>40816</v>
      </c>
      <c r="B658">
        <v>292315.38</v>
      </c>
    </row>
    <row r="659" spans="1:2" x14ac:dyDescent="0.25">
      <c r="A659" s="1">
        <v>40823</v>
      </c>
      <c r="B659">
        <v>309111.46999999997</v>
      </c>
    </row>
    <row r="660" spans="1:2" x14ac:dyDescent="0.25">
      <c r="A660" s="1">
        <v>40830</v>
      </c>
      <c r="B660">
        <v>286117.71999999997</v>
      </c>
    </row>
    <row r="661" spans="1:2" x14ac:dyDescent="0.25">
      <c r="A661" s="1">
        <v>40837</v>
      </c>
      <c r="B661">
        <v>306069.18</v>
      </c>
    </row>
    <row r="662" spans="1:2" x14ac:dyDescent="0.25">
      <c r="A662" s="1">
        <v>40844</v>
      </c>
      <c r="B662">
        <v>307035.11</v>
      </c>
    </row>
    <row r="663" spans="1:2" x14ac:dyDescent="0.25">
      <c r="A663" s="1">
        <v>40851</v>
      </c>
      <c r="B663">
        <v>353652.23</v>
      </c>
    </row>
    <row r="664" spans="1:2" x14ac:dyDescent="0.25">
      <c r="A664" s="1">
        <v>40858</v>
      </c>
      <c r="B664">
        <v>311906.7</v>
      </c>
    </row>
    <row r="665" spans="1:2" x14ac:dyDescent="0.25">
      <c r="A665" s="1">
        <v>40865</v>
      </c>
      <c r="B665">
        <v>307944.37</v>
      </c>
    </row>
    <row r="666" spans="1:2" x14ac:dyDescent="0.25">
      <c r="A666" s="1">
        <v>40872</v>
      </c>
      <c r="B666">
        <v>507900.07</v>
      </c>
    </row>
    <row r="667" spans="1:2" x14ac:dyDescent="0.25">
      <c r="A667" s="1">
        <v>40879</v>
      </c>
      <c r="B667">
        <v>376225.61</v>
      </c>
    </row>
    <row r="668" spans="1:2" x14ac:dyDescent="0.25">
      <c r="A668" s="1">
        <v>40886</v>
      </c>
      <c r="B668">
        <v>367433.77</v>
      </c>
    </row>
    <row r="669" spans="1:2" x14ac:dyDescent="0.25">
      <c r="A669" s="1">
        <v>40893</v>
      </c>
      <c r="B669">
        <v>379530.3</v>
      </c>
    </row>
    <row r="670" spans="1:2" x14ac:dyDescent="0.25">
      <c r="A670" s="1">
        <v>40900</v>
      </c>
      <c r="B670">
        <v>458562.24</v>
      </c>
    </row>
    <row r="671" spans="1:2" x14ac:dyDescent="0.25">
      <c r="A671" s="1">
        <v>40907</v>
      </c>
      <c r="B671">
        <v>349624.88</v>
      </c>
    </row>
    <row r="672" spans="1:2" x14ac:dyDescent="0.25">
      <c r="A672" s="1">
        <v>40914</v>
      </c>
      <c r="B672">
        <v>312078.71000000002</v>
      </c>
    </row>
    <row r="673" spans="1:2" x14ac:dyDescent="0.25">
      <c r="A673" s="1">
        <v>40921</v>
      </c>
      <c r="B673">
        <v>291454.52</v>
      </c>
    </row>
    <row r="674" spans="1:2" x14ac:dyDescent="0.25">
      <c r="A674" s="1">
        <v>40928</v>
      </c>
      <c r="B674">
        <v>287523.98</v>
      </c>
    </row>
    <row r="675" spans="1:2" x14ac:dyDescent="0.25">
      <c r="A675" s="1">
        <v>40935</v>
      </c>
      <c r="B675">
        <v>295974.21999999997</v>
      </c>
    </row>
    <row r="676" spans="1:2" x14ac:dyDescent="0.25">
      <c r="A676" s="1">
        <v>40942</v>
      </c>
      <c r="B676">
        <v>333948</v>
      </c>
    </row>
    <row r="677" spans="1:2" x14ac:dyDescent="0.25">
      <c r="A677" s="1">
        <v>40949</v>
      </c>
      <c r="B677">
        <v>349239.88</v>
      </c>
    </row>
    <row r="678" spans="1:2" x14ac:dyDescent="0.25">
      <c r="A678" s="1">
        <v>40956</v>
      </c>
      <c r="B678">
        <v>356427.98</v>
      </c>
    </row>
    <row r="679" spans="1:2" x14ac:dyDescent="0.25">
      <c r="A679" s="1">
        <v>40963</v>
      </c>
      <c r="B679">
        <v>312220.46999999997</v>
      </c>
    </row>
    <row r="680" spans="1:2" x14ac:dyDescent="0.25">
      <c r="A680" s="1">
        <v>40970</v>
      </c>
      <c r="B680">
        <v>359206.21</v>
      </c>
    </row>
    <row r="681" spans="1:2" x14ac:dyDescent="0.25">
      <c r="A681" s="1">
        <v>40977</v>
      </c>
      <c r="B681">
        <v>347295.6</v>
      </c>
    </row>
    <row r="682" spans="1:2" x14ac:dyDescent="0.25">
      <c r="A682" s="1">
        <v>40991</v>
      </c>
      <c r="B682">
        <v>321299.99</v>
      </c>
    </row>
    <row r="683" spans="1:2" x14ac:dyDescent="0.25">
      <c r="A683" s="1">
        <v>40998</v>
      </c>
      <c r="B683">
        <v>331318.73</v>
      </c>
    </row>
    <row r="684" spans="1:2" x14ac:dyDescent="0.25">
      <c r="A684" s="1">
        <v>41005</v>
      </c>
      <c r="B684">
        <v>402985.7</v>
      </c>
    </row>
    <row r="685" spans="1:2" x14ac:dyDescent="0.25">
      <c r="A685" s="1">
        <v>41012</v>
      </c>
      <c r="B685">
        <v>351832.03</v>
      </c>
    </row>
    <row r="686" spans="1:2" x14ac:dyDescent="0.25">
      <c r="A686" s="1">
        <v>41019</v>
      </c>
      <c r="B686">
        <v>330063.06</v>
      </c>
    </row>
    <row r="687" spans="1:2" x14ac:dyDescent="0.25">
      <c r="A687" s="1">
        <v>41026</v>
      </c>
      <c r="B687">
        <v>324839.74</v>
      </c>
    </row>
    <row r="688" spans="1:2" x14ac:dyDescent="0.25">
      <c r="A688" s="1">
        <v>41033</v>
      </c>
      <c r="B688">
        <v>360932.69</v>
      </c>
    </row>
    <row r="689" spans="1:2" x14ac:dyDescent="0.25">
      <c r="A689" s="1">
        <v>41040</v>
      </c>
      <c r="B689">
        <v>333870.52</v>
      </c>
    </row>
    <row r="690" spans="1:2" x14ac:dyDescent="0.25">
      <c r="A690" s="1">
        <v>41047</v>
      </c>
      <c r="B690">
        <v>336189.66</v>
      </c>
    </row>
    <row r="691" spans="1:2" x14ac:dyDescent="0.25">
      <c r="A691" s="1">
        <v>41054</v>
      </c>
      <c r="B691">
        <v>341994.48</v>
      </c>
    </row>
    <row r="692" spans="1:2" x14ac:dyDescent="0.25">
      <c r="A692" s="1">
        <v>41061</v>
      </c>
      <c r="B692">
        <v>359867.8</v>
      </c>
    </row>
    <row r="693" spans="1:2" x14ac:dyDescent="0.25">
      <c r="A693" s="1">
        <v>41068</v>
      </c>
      <c r="B693">
        <v>341704.59</v>
      </c>
    </row>
    <row r="694" spans="1:2" x14ac:dyDescent="0.25">
      <c r="A694" s="1">
        <v>41075</v>
      </c>
      <c r="B694">
        <v>327383.64</v>
      </c>
    </row>
    <row r="695" spans="1:2" x14ac:dyDescent="0.25">
      <c r="A695" s="1">
        <v>41082</v>
      </c>
      <c r="B695">
        <v>325041.68</v>
      </c>
    </row>
    <row r="696" spans="1:2" x14ac:dyDescent="0.25">
      <c r="A696" s="1">
        <v>41089</v>
      </c>
      <c r="B696">
        <v>329658.09999999998</v>
      </c>
    </row>
    <row r="697" spans="1:2" x14ac:dyDescent="0.25">
      <c r="A697" s="1">
        <v>41096</v>
      </c>
      <c r="B697">
        <v>341214.43</v>
      </c>
    </row>
    <row r="698" spans="1:2" x14ac:dyDescent="0.25">
      <c r="A698" s="1">
        <v>41103</v>
      </c>
      <c r="B698">
        <v>316203.64</v>
      </c>
    </row>
    <row r="699" spans="1:2" x14ac:dyDescent="0.25">
      <c r="A699" s="1">
        <v>41110</v>
      </c>
      <c r="B699">
        <v>321205.12</v>
      </c>
    </row>
    <row r="700" spans="1:2" x14ac:dyDescent="0.25">
      <c r="A700" s="1">
        <v>41117</v>
      </c>
      <c r="B700">
        <v>306827.36</v>
      </c>
    </row>
    <row r="701" spans="1:2" x14ac:dyDescent="0.25">
      <c r="A701" s="1">
        <v>41124</v>
      </c>
      <c r="B701">
        <v>324195.17</v>
      </c>
    </row>
    <row r="702" spans="1:2" x14ac:dyDescent="0.25">
      <c r="A702" s="1">
        <v>41131</v>
      </c>
      <c r="B702">
        <v>306759.7</v>
      </c>
    </row>
    <row r="703" spans="1:2" x14ac:dyDescent="0.25">
      <c r="A703" s="1">
        <v>41138</v>
      </c>
      <c r="B703">
        <v>314014.18</v>
      </c>
    </row>
    <row r="704" spans="1:2" x14ac:dyDescent="0.25">
      <c r="A704" s="1">
        <v>41145</v>
      </c>
      <c r="B704">
        <v>320831.35999999999</v>
      </c>
    </row>
    <row r="705" spans="1:2" x14ac:dyDescent="0.25">
      <c r="A705" s="1">
        <v>41152</v>
      </c>
      <c r="B705">
        <v>344642.01</v>
      </c>
    </row>
    <row r="706" spans="1:2" x14ac:dyDescent="0.25">
      <c r="A706" s="1">
        <v>41159</v>
      </c>
      <c r="B706">
        <v>350648.91</v>
      </c>
    </row>
    <row r="707" spans="1:2" x14ac:dyDescent="0.25">
      <c r="A707" s="1">
        <v>41166</v>
      </c>
      <c r="B707">
        <v>299800.67</v>
      </c>
    </row>
    <row r="708" spans="1:2" x14ac:dyDescent="0.25">
      <c r="A708" s="1">
        <v>41173</v>
      </c>
      <c r="B708">
        <v>307306.76</v>
      </c>
    </row>
    <row r="709" spans="1:2" x14ac:dyDescent="0.25">
      <c r="A709" s="1">
        <v>41180</v>
      </c>
      <c r="B709">
        <v>310141.68</v>
      </c>
    </row>
    <row r="710" spans="1:2" x14ac:dyDescent="0.25">
      <c r="A710" s="1">
        <v>41187</v>
      </c>
      <c r="B710">
        <v>343048.29</v>
      </c>
    </row>
    <row r="711" spans="1:2" x14ac:dyDescent="0.25">
      <c r="A711" s="1">
        <v>41194</v>
      </c>
      <c r="B711">
        <v>325345.40999999997</v>
      </c>
    </row>
    <row r="712" spans="1:2" x14ac:dyDescent="0.25">
      <c r="A712" s="1">
        <v>41201</v>
      </c>
      <c r="B712">
        <v>313358.15000000002</v>
      </c>
    </row>
    <row r="713" spans="1:2" x14ac:dyDescent="0.25">
      <c r="A713" s="1">
        <v>41208</v>
      </c>
      <c r="B713">
        <v>319550.77</v>
      </c>
    </row>
    <row r="714" spans="1:2" x14ac:dyDescent="0.25">
      <c r="A714" s="1">
        <v>40214</v>
      </c>
      <c r="B714">
        <v>1652635.1</v>
      </c>
    </row>
    <row r="715" spans="1:2" x14ac:dyDescent="0.25">
      <c r="A715" s="1">
        <v>40221</v>
      </c>
      <c r="B715">
        <v>1606283.86</v>
      </c>
    </row>
    <row r="716" spans="1:2" x14ac:dyDescent="0.25">
      <c r="A716" s="1">
        <v>40228</v>
      </c>
      <c r="B716">
        <v>1567138.07</v>
      </c>
    </row>
    <row r="717" spans="1:2" x14ac:dyDescent="0.25">
      <c r="A717" s="1">
        <v>40235</v>
      </c>
      <c r="B717">
        <v>1432953.21</v>
      </c>
    </row>
    <row r="718" spans="1:2" x14ac:dyDescent="0.25">
      <c r="A718" s="1">
        <v>40242</v>
      </c>
      <c r="B718">
        <v>1601348.82</v>
      </c>
    </row>
    <row r="719" spans="1:2" x14ac:dyDescent="0.25">
      <c r="A719" s="1">
        <v>40249</v>
      </c>
      <c r="B719">
        <v>1558621.36</v>
      </c>
    </row>
    <row r="720" spans="1:2" x14ac:dyDescent="0.25">
      <c r="A720" s="1">
        <v>40256</v>
      </c>
      <c r="B720">
        <v>1693058.91</v>
      </c>
    </row>
    <row r="721" spans="1:2" x14ac:dyDescent="0.25">
      <c r="A721" s="1">
        <v>40263</v>
      </c>
      <c r="B721">
        <v>1472033.38</v>
      </c>
    </row>
    <row r="722" spans="1:2" x14ac:dyDescent="0.25">
      <c r="A722" s="1">
        <v>40270</v>
      </c>
      <c r="B722">
        <v>1770333.9</v>
      </c>
    </row>
    <row r="723" spans="1:2" x14ac:dyDescent="0.25">
      <c r="A723" s="1">
        <v>40277</v>
      </c>
      <c r="B723">
        <v>1667181.82</v>
      </c>
    </row>
    <row r="724" spans="1:2" x14ac:dyDescent="0.25">
      <c r="A724" s="1">
        <v>40284</v>
      </c>
      <c r="B724">
        <v>1519846.36</v>
      </c>
    </row>
    <row r="725" spans="1:2" x14ac:dyDescent="0.25">
      <c r="A725" s="1">
        <v>40291</v>
      </c>
      <c r="B725">
        <v>1540435.99</v>
      </c>
    </row>
    <row r="726" spans="1:2" x14ac:dyDescent="0.25">
      <c r="A726" s="1">
        <v>40298</v>
      </c>
      <c r="B726">
        <v>1498080.16</v>
      </c>
    </row>
    <row r="727" spans="1:2" x14ac:dyDescent="0.25">
      <c r="A727" s="1">
        <v>40305</v>
      </c>
      <c r="B727">
        <v>1619920.04</v>
      </c>
    </row>
    <row r="728" spans="1:2" x14ac:dyDescent="0.25">
      <c r="A728" s="1">
        <v>40312</v>
      </c>
      <c r="B728">
        <v>1524059.4</v>
      </c>
    </row>
    <row r="729" spans="1:2" x14ac:dyDescent="0.25">
      <c r="A729" s="1">
        <v>40319</v>
      </c>
      <c r="B729">
        <v>1531938.44</v>
      </c>
    </row>
    <row r="730" spans="1:2" x14ac:dyDescent="0.25">
      <c r="A730" s="1">
        <v>40326</v>
      </c>
      <c r="B730">
        <v>1644470.66</v>
      </c>
    </row>
    <row r="731" spans="1:2" x14ac:dyDescent="0.25">
      <c r="A731" s="1">
        <v>40333</v>
      </c>
      <c r="B731">
        <v>1857380.09</v>
      </c>
    </row>
    <row r="732" spans="1:2" x14ac:dyDescent="0.25">
      <c r="A732" s="1">
        <v>40340</v>
      </c>
      <c r="B732">
        <v>1685652.35</v>
      </c>
    </row>
    <row r="733" spans="1:2" x14ac:dyDescent="0.25">
      <c r="A733" s="1">
        <v>40347</v>
      </c>
      <c r="B733">
        <v>1677248.24</v>
      </c>
    </row>
    <row r="734" spans="1:2" x14ac:dyDescent="0.25">
      <c r="A734" s="1">
        <v>40354</v>
      </c>
      <c r="B734">
        <v>1640681.88</v>
      </c>
    </row>
    <row r="735" spans="1:2" x14ac:dyDescent="0.25">
      <c r="A735" s="1">
        <v>40361</v>
      </c>
      <c r="B735">
        <v>1759777.25</v>
      </c>
    </row>
    <row r="736" spans="1:2" x14ac:dyDescent="0.25">
      <c r="A736" s="1">
        <v>40368</v>
      </c>
      <c r="B736">
        <v>1690317.99</v>
      </c>
    </row>
    <row r="737" spans="1:2" x14ac:dyDescent="0.25">
      <c r="A737" s="1">
        <v>40375</v>
      </c>
      <c r="B737">
        <v>1560120.8</v>
      </c>
    </row>
    <row r="738" spans="1:2" x14ac:dyDescent="0.25">
      <c r="A738" s="1">
        <v>40382</v>
      </c>
      <c r="B738">
        <v>1585240.92</v>
      </c>
    </row>
    <row r="739" spans="1:2" x14ac:dyDescent="0.25">
      <c r="A739" s="1">
        <v>40389</v>
      </c>
      <c r="B739">
        <v>1532308.78</v>
      </c>
    </row>
    <row r="740" spans="1:2" x14ac:dyDescent="0.25">
      <c r="A740" s="1">
        <v>40396</v>
      </c>
      <c r="B740">
        <v>1633241.59</v>
      </c>
    </row>
    <row r="741" spans="1:2" x14ac:dyDescent="0.25">
      <c r="A741" s="1">
        <v>40403</v>
      </c>
      <c r="B741">
        <v>1547654.98</v>
      </c>
    </row>
    <row r="742" spans="1:2" x14ac:dyDescent="0.25">
      <c r="A742" s="1">
        <v>40410</v>
      </c>
      <c r="B742">
        <v>1539930.5</v>
      </c>
    </row>
    <row r="743" spans="1:2" x14ac:dyDescent="0.25">
      <c r="A743" s="1">
        <v>40417</v>
      </c>
      <c r="B743">
        <v>1450766.12</v>
      </c>
    </row>
    <row r="744" spans="1:2" x14ac:dyDescent="0.25">
      <c r="A744" s="1">
        <v>40424</v>
      </c>
      <c r="B744">
        <v>1510925.32</v>
      </c>
    </row>
    <row r="745" spans="1:2" x14ac:dyDescent="0.25">
      <c r="A745" s="1">
        <v>40431</v>
      </c>
      <c r="B745">
        <v>1424225.44</v>
      </c>
    </row>
    <row r="746" spans="1:2" x14ac:dyDescent="0.25">
      <c r="A746" s="1">
        <v>40438</v>
      </c>
      <c r="B746">
        <v>1308537.75</v>
      </c>
    </row>
    <row r="747" spans="1:2" x14ac:dyDescent="0.25">
      <c r="A747" s="1">
        <v>40445</v>
      </c>
      <c r="B747">
        <v>1275591.8400000001</v>
      </c>
    </row>
    <row r="748" spans="1:2" x14ac:dyDescent="0.25">
      <c r="A748" s="1">
        <v>40452</v>
      </c>
      <c r="B748">
        <v>1328468.8899999999</v>
      </c>
    </row>
    <row r="749" spans="1:2" x14ac:dyDescent="0.25">
      <c r="A749" s="1">
        <v>40459</v>
      </c>
      <c r="B749">
        <v>1360317.9</v>
      </c>
    </row>
    <row r="750" spans="1:2" x14ac:dyDescent="0.25">
      <c r="A750" s="1">
        <v>40466</v>
      </c>
      <c r="B750">
        <v>1344580.92</v>
      </c>
    </row>
    <row r="751" spans="1:2" x14ac:dyDescent="0.25">
      <c r="A751" s="1">
        <v>40473</v>
      </c>
      <c r="B751">
        <v>1332716.53</v>
      </c>
    </row>
    <row r="752" spans="1:2" x14ac:dyDescent="0.25">
      <c r="A752" s="1">
        <v>40480</v>
      </c>
      <c r="B752">
        <v>1385323.7</v>
      </c>
    </row>
    <row r="753" spans="1:2" x14ac:dyDescent="0.25">
      <c r="A753" s="1">
        <v>40487</v>
      </c>
      <c r="B753">
        <v>1505442.15</v>
      </c>
    </row>
    <row r="754" spans="1:2" x14ac:dyDescent="0.25">
      <c r="A754" s="1">
        <v>40494</v>
      </c>
      <c r="B754">
        <v>1495536.46</v>
      </c>
    </row>
    <row r="755" spans="1:2" x14ac:dyDescent="0.25">
      <c r="A755" s="1">
        <v>40501</v>
      </c>
      <c r="B755">
        <v>1518841.45</v>
      </c>
    </row>
    <row r="756" spans="1:2" x14ac:dyDescent="0.25">
      <c r="A756" s="1">
        <v>40508</v>
      </c>
      <c r="B756">
        <v>2267452.4</v>
      </c>
    </row>
    <row r="757" spans="1:2" x14ac:dyDescent="0.25">
      <c r="A757" s="1">
        <v>40515</v>
      </c>
      <c r="B757">
        <v>1677067.24</v>
      </c>
    </row>
    <row r="758" spans="1:2" x14ac:dyDescent="0.25">
      <c r="A758" s="1">
        <v>40522</v>
      </c>
      <c r="B758">
        <v>1834737.58</v>
      </c>
    </row>
    <row r="759" spans="1:2" x14ac:dyDescent="0.25">
      <c r="A759" s="1">
        <v>40529</v>
      </c>
      <c r="B759">
        <v>2090268.95</v>
      </c>
    </row>
    <row r="760" spans="1:2" x14ac:dyDescent="0.25">
      <c r="A760" s="1">
        <v>40536</v>
      </c>
      <c r="B760">
        <v>2727575.18</v>
      </c>
    </row>
    <row r="761" spans="1:2" x14ac:dyDescent="0.25">
      <c r="A761" s="1">
        <v>40543</v>
      </c>
      <c r="B761">
        <v>1464050.02</v>
      </c>
    </row>
    <row r="762" spans="1:2" x14ac:dyDescent="0.25">
      <c r="A762" s="1">
        <v>40550</v>
      </c>
      <c r="B762">
        <v>1350441.68</v>
      </c>
    </row>
    <row r="763" spans="1:2" x14ac:dyDescent="0.25">
      <c r="A763" s="1">
        <v>40557</v>
      </c>
      <c r="B763">
        <v>1306194.55</v>
      </c>
    </row>
    <row r="764" spans="1:2" x14ac:dyDescent="0.25">
      <c r="A764" s="1">
        <v>40564</v>
      </c>
      <c r="B764">
        <v>1261253.18</v>
      </c>
    </row>
    <row r="765" spans="1:2" x14ac:dyDescent="0.25">
      <c r="A765" s="1">
        <v>40571</v>
      </c>
      <c r="B765">
        <v>1287034.7</v>
      </c>
    </row>
    <row r="766" spans="1:2" x14ac:dyDescent="0.25">
      <c r="A766" s="1">
        <v>40578</v>
      </c>
      <c r="B766">
        <v>1514999.17</v>
      </c>
    </row>
    <row r="767" spans="1:2" x14ac:dyDescent="0.25">
      <c r="A767" s="1">
        <v>40585</v>
      </c>
      <c r="B767">
        <v>1486920.17</v>
      </c>
    </row>
    <row r="768" spans="1:2" x14ac:dyDescent="0.25">
      <c r="A768" s="1">
        <v>40592</v>
      </c>
      <c r="B768">
        <v>1572117.54</v>
      </c>
    </row>
    <row r="769" spans="1:2" x14ac:dyDescent="0.25">
      <c r="A769" s="1">
        <v>40599</v>
      </c>
      <c r="B769">
        <v>1422600.43</v>
      </c>
    </row>
    <row r="770" spans="1:2" x14ac:dyDescent="0.25">
      <c r="A770" s="1">
        <v>40606</v>
      </c>
      <c r="B770">
        <v>1502617.99</v>
      </c>
    </row>
    <row r="771" spans="1:2" x14ac:dyDescent="0.25">
      <c r="A771" s="1">
        <v>40613</v>
      </c>
      <c r="B771">
        <v>1494497.39</v>
      </c>
    </row>
    <row r="772" spans="1:2" x14ac:dyDescent="0.25">
      <c r="A772" s="1">
        <v>40620</v>
      </c>
      <c r="B772">
        <v>1685375.47</v>
      </c>
    </row>
    <row r="773" spans="1:2" x14ac:dyDescent="0.25">
      <c r="A773" s="1">
        <v>40627</v>
      </c>
      <c r="B773">
        <v>1438465.81</v>
      </c>
    </row>
    <row r="774" spans="1:2" x14ac:dyDescent="0.25">
      <c r="A774" s="1">
        <v>40634</v>
      </c>
      <c r="B774">
        <v>1459276.77</v>
      </c>
    </row>
    <row r="775" spans="1:2" x14ac:dyDescent="0.25">
      <c r="A775" s="1">
        <v>40641</v>
      </c>
      <c r="B775">
        <v>1534594</v>
      </c>
    </row>
    <row r="776" spans="1:2" x14ac:dyDescent="0.25">
      <c r="A776" s="1">
        <v>40648</v>
      </c>
      <c r="B776">
        <v>1448797.02</v>
      </c>
    </row>
    <row r="777" spans="1:2" x14ac:dyDescent="0.25">
      <c r="A777" s="1">
        <v>40655</v>
      </c>
      <c r="B777">
        <v>1639358.93</v>
      </c>
    </row>
    <row r="778" spans="1:2" x14ac:dyDescent="0.25">
      <c r="A778" s="1">
        <v>40662</v>
      </c>
      <c r="B778">
        <v>1479249.9</v>
      </c>
    </row>
    <row r="779" spans="1:2" x14ac:dyDescent="0.25">
      <c r="A779" s="1">
        <v>40669</v>
      </c>
      <c r="B779">
        <v>1504651.57</v>
      </c>
    </row>
    <row r="780" spans="1:2" x14ac:dyDescent="0.25">
      <c r="A780" s="1">
        <v>40676</v>
      </c>
      <c r="B780">
        <v>1453185.65</v>
      </c>
    </row>
    <row r="781" spans="1:2" x14ac:dyDescent="0.25">
      <c r="A781" s="1">
        <v>40683</v>
      </c>
      <c r="B781">
        <v>1382783.83</v>
      </c>
    </row>
    <row r="782" spans="1:2" x14ac:dyDescent="0.25">
      <c r="A782" s="1">
        <v>40690</v>
      </c>
      <c r="B782">
        <v>1523979.11</v>
      </c>
    </row>
    <row r="783" spans="1:2" x14ac:dyDescent="0.25">
      <c r="A783" s="1">
        <v>40697</v>
      </c>
      <c r="B783">
        <v>1705506.29</v>
      </c>
    </row>
    <row r="784" spans="1:2" x14ac:dyDescent="0.25">
      <c r="A784" s="1">
        <v>40704</v>
      </c>
      <c r="B784">
        <v>1598643.65</v>
      </c>
    </row>
    <row r="785" spans="1:2" x14ac:dyDescent="0.25">
      <c r="A785" s="1">
        <v>40711</v>
      </c>
      <c r="B785">
        <v>1622150.33</v>
      </c>
    </row>
    <row r="786" spans="1:2" x14ac:dyDescent="0.25">
      <c r="A786" s="1">
        <v>40718</v>
      </c>
      <c r="B786">
        <v>1543365.9</v>
      </c>
    </row>
    <row r="787" spans="1:2" x14ac:dyDescent="0.25">
      <c r="A787" s="1">
        <v>40725</v>
      </c>
      <c r="B787">
        <v>1694551.15</v>
      </c>
    </row>
    <row r="788" spans="1:2" x14ac:dyDescent="0.25">
      <c r="A788" s="1">
        <v>40732</v>
      </c>
      <c r="B788">
        <v>1709373.62</v>
      </c>
    </row>
    <row r="789" spans="1:2" x14ac:dyDescent="0.25">
      <c r="A789" s="1">
        <v>40739</v>
      </c>
      <c r="B789">
        <v>1526801.24</v>
      </c>
    </row>
    <row r="790" spans="1:2" x14ac:dyDescent="0.25">
      <c r="A790" s="1">
        <v>40746</v>
      </c>
      <c r="B790">
        <v>1526506.08</v>
      </c>
    </row>
    <row r="791" spans="1:2" x14ac:dyDescent="0.25">
      <c r="A791" s="1">
        <v>40753</v>
      </c>
      <c r="B791">
        <v>1483991.05</v>
      </c>
    </row>
    <row r="792" spans="1:2" x14ac:dyDescent="0.25">
      <c r="A792" s="1">
        <v>40760</v>
      </c>
      <c r="B792">
        <v>1601584.57</v>
      </c>
    </row>
    <row r="793" spans="1:2" x14ac:dyDescent="0.25">
      <c r="A793" s="1">
        <v>40767</v>
      </c>
      <c r="B793">
        <v>1484995.38</v>
      </c>
    </row>
    <row r="794" spans="1:2" x14ac:dyDescent="0.25">
      <c r="A794" s="1">
        <v>40774</v>
      </c>
      <c r="B794">
        <v>1493544.04</v>
      </c>
    </row>
    <row r="795" spans="1:2" x14ac:dyDescent="0.25">
      <c r="A795" s="1">
        <v>40781</v>
      </c>
      <c r="B795">
        <v>1420405.41</v>
      </c>
    </row>
    <row r="796" spans="1:2" x14ac:dyDescent="0.25">
      <c r="A796" s="1">
        <v>40788</v>
      </c>
      <c r="B796">
        <v>1481618.74</v>
      </c>
    </row>
    <row r="797" spans="1:2" x14ac:dyDescent="0.25">
      <c r="A797" s="1">
        <v>40795</v>
      </c>
      <c r="B797">
        <v>1483574.38</v>
      </c>
    </row>
    <row r="798" spans="1:2" x14ac:dyDescent="0.25">
      <c r="A798" s="1">
        <v>40802</v>
      </c>
      <c r="B798">
        <v>1351407.79</v>
      </c>
    </row>
    <row r="799" spans="1:2" x14ac:dyDescent="0.25">
      <c r="A799" s="1">
        <v>40809</v>
      </c>
      <c r="B799">
        <v>1336044.75</v>
      </c>
    </row>
    <row r="800" spans="1:2" x14ac:dyDescent="0.25">
      <c r="A800" s="1">
        <v>40816</v>
      </c>
      <c r="B800">
        <v>1307551.92</v>
      </c>
    </row>
    <row r="801" spans="1:2" x14ac:dyDescent="0.25">
      <c r="A801" s="1">
        <v>40823</v>
      </c>
      <c r="B801">
        <v>1481739.2</v>
      </c>
    </row>
    <row r="802" spans="1:2" x14ac:dyDescent="0.25">
      <c r="A802" s="1">
        <v>40830</v>
      </c>
      <c r="B802">
        <v>1386520.99</v>
      </c>
    </row>
    <row r="803" spans="1:2" x14ac:dyDescent="0.25">
      <c r="A803" s="1">
        <v>40837</v>
      </c>
      <c r="B803">
        <v>1417922.37</v>
      </c>
    </row>
    <row r="804" spans="1:2" x14ac:dyDescent="0.25">
      <c r="A804" s="1">
        <v>40844</v>
      </c>
      <c r="B804">
        <v>1419445.12</v>
      </c>
    </row>
    <row r="805" spans="1:2" x14ac:dyDescent="0.25">
      <c r="A805" s="1">
        <v>40851</v>
      </c>
      <c r="B805">
        <v>1523420.38</v>
      </c>
    </row>
    <row r="806" spans="1:2" x14ac:dyDescent="0.25">
      <c r="A806" s="1">
        <v>40858</v>
      </c>
      <c r="B806">
        <v>1536176.54</v>
      </c>
    </row>
    <row r="807" spans="1:2" x14ac:dyDescent="0.25">
      <c r="A807" s="1">
        <v>40865</v>
      </c>
      <c r="B807">
        <v>1524390.07</v>
      </c>
    </row>
    <row r="808" spans="1:2" x14ac:dyDescent="0.25">
      <c r="A808" s="1">
        <v>40872</v>
      </c>
      <c r="B808">
        <v>2249811.5499999998</v>
      </c>
    </row>
    <row r="809" spans="1:2" x14ac:dyDescent="0.25">
      <c r="A809" s="1">
        <v>40879</v>
      </c>
      <c r="B809">
        <v>1688531.34</v>
      </c>
    </row>
    <row r="810" spans="1:2" x14ac:dyDescent="0.25">
      <c r="A810" s="1">
        <v>40886</v>
      </c>
      <c r="B810">
        <v>1903385.14</v>
      </c>
    </row>
    <row r="811" spans="1:2" x14ac:dyDescent="0.25">
      <c r="A811" s="1">
        <v>40893</v>
      </c>
      <c r="B811">
        <v>2034695.56</v>
      </c>
    </row>
    <row r="812" spans="1:2" x14ac:dyDescent="0.25">
      <c r="A812" s="1">
        <v>40900</v>
      </c>
      <c r="B812">
        <v>2644633.02</v>
      </c>
    </row>
    <row r="813" spans="1:2" x14ac:dyDescent="0.25">
      <c r="A813" s="1">
        <v>40907</v>
      </c>
      <c r="B813">
        <v>1598080.52</v>
      </c>
    </row>
    <row r="814" spans="1:2" x14ac:dyDescent="0.25">
      <c r="A814" s="1">
        <v>40914</v>
      </c>
      <c r="B814">
        <v>1395339.71</v>
      </c>
    </row>
    <row r="815" spans="1:2" x14ac:dyDescent="0.25">
      <c r="A815" s="1">
        <v>40921</v>
      </c>
      <c r="B815">
        <v>1344243.17</v>
      </c>
    </row>
    <row r="816" spans="1:2" x14ac:dyDescent="0.25">
      <c r="A816" s="1">
        <v>40928</v>
      </c>
      <c r="B816">
        <v>1326255.7</v>
      </c>
    </row>
    <row r="817" spans="1:2" x14ac:dyDescent="0.25">
      <c r="A817" s="1">
        <v>40935</v>
      </c>
      <c r="B817">
        <v>1315610.6599999999</v>
      </c>
    </row>
    <row r="818" spans="1:2" x14ac:dyDescent="0.25">
      <c r="A818" s="1">
        <v>40942</v>
      </c>
      <c r="B818">
        <v>1496305.78</v>
      </c>
    </row>
    <row r="819" spans="1:2" x14ac:dyDescent="0.25">
      <c r="A819" s="1">
        <v>40949</v>
      </c>
      <c r="B819">
        <v>1620603.92</v>
      </c>
    </row>
    <row r="820" spans="1:2" x14ac:dyDescent="0.25">
      <c r="A820" s="1">
        <v>40956</v>
      </c>
      <c r="B820">
        <v>1632616.09</v>
      </c>
    </row>
    <row r="821" spans="1:2" x14ac:dyDescent="0.25">
      <c r="A821" s="1">
        <v>40963</v>
      </c>
      <c r="B821">
        <v>1465187.71</v>
      </c>
    </row>
    <row r="822" spans="1:2" x14ac:dyDescent="0.25">
      <c r="A822" s="1">
        <v>40970</v>
      </c>
      <c r="B822">
        <v>1550385.65</v>
      </c>
    </row>
    <row r="823" spans="1:2" x14ac:dyDescent="0.25">
      <c r="A823" s="1">
        <v>40977</v>
      </c>
      <c r="B823">
        <v>1569304.4</v>
      </c>
    </row>
    <row r="824" spans="1:2" x14ac:dyDescent="0.25">
      <c r="A824" s="1">
        <v>40984</v>
      </c>
      <c r="B824">
        <v>1748010.29</v>
      </c>
    </row>
    <row r="825" spans="1:2" x14ac:dyDescent="0.25">
      <c r="A825" s="1">
        <v>40998</v>
      </c>
      <c r="B825">
        <v>1508933.26</v>
      </c>
    </row>
    <row r="826" spans="1:2" x14ac:dyDescent="0.25">
      <c r="A826" s="1">
        <v>41005</v>
      </c>
      <c r="B826">
        <v>1840131.19</v>
      </c>
    </row>
    <row r="827" spans="1:2" x14ac:dyDescent="0.25">
      <c r="A827" s="1">
        <v>41012</v>
      </c>
      <c r="B827">
        <v>1616394.45</v>
      </c>
    </row>
    <row r="828" spans="1:2" x14ac:dyDescent="0.25">
      <c r="A828" s="1">
        <v>41019</v>
      </c>
      <c r="B828">
        <v>1456073.24</v>
      </c>
    </row>
    <row r="829" spans="1:2" x14ac:dyDescent="0.25">
      <c r="A829" s="1">
        <v>41026</v>
      </c>
      <c r="B829">
        <v>1456221.1</v>
      </c>
    </row>
    <row r="830" spans="1:2" x14ac:dyDescent="0.25">
      <c r="A830" s="1">
        <v>41033</v>
      </c>
      <c r="B830">
        <v>1543461.12</v>
      </c>
    </row>
    <row r="831" spans="1:2" x14ac:dyDescent="0.25">
      <c r="A831" s="1">
        <v>41040</v>
      </c>
      <c r="B831">
        <v>1517075.67</v>
      </c>
    </row>
    <row r="832" spans="1:2" x14ac:dyDescent="0.25">
      <c r="A832" s="1">
        <v>41047</v>
      </c>
      <c r="B832">
        <v>1513635.64</v>
      </c>
    </row>
    <row r="833" spans="1:2" x14ac:dyDescent="0.25">
      <c r="A833" s="1">
        <v>41054</v>
      </c>
      <c r="B833">
        <v>1603793.42</v>
      </c>
    </row>
    <row r="834" spans="1:2" x14ac:dyDescent="0.25">
      <c r="A834" s="1">
        <v>41061</v>
      </c>
      <c r="B834">
        <v>1681121.38</v>
      </c>
    </row>
    <row r="835" spans="1:2" x14ac:dyDescent="0.25">
      <c r="A835" s="1">
        <v>41068</v>
      </c>
      <c r="B835">
        <v>1696619.52</v>
      </c>
    </row>
    <row r="836" spans="1:2" x14ac:dyDescent="0.25">
      <c r="A836" s="1">
        <v>41075</v>
      </c>
      <c r="B836">
        <v>1642247.48</v>
      </c>
    </row>
    <row r="837" spans="1:2" x14ac:dyDescent="0.25">
      <c r="A837" s="1">
        <v>41082</v>
      </c>
      <c r="B837">
        <v>1618272.25</v>
      </c>
    </row>
    <row r="838" spans="1:2" x14ac:dyDescent="0.25">
      <c r="A838" s="1">
        <v>41089</v>
      </c>
      <c r="B838">
        <v>1648863.46</v>
      </c>
    </row>
    <row r="839" spans="1:2" x14ac:dyDescent="0.25">
      <c r="A839" s="1">
        <v>41096</v>
      </c>
      <c r="B839">
        <v>1876359.39</v>
      </c>
    </row>
    <row r="840" spans="1:2" x14ac:dyDescent="0.25">
      <c r="A840" s="1">
        <v>41103</v>
      </c>
      <c r="B840">
        <v>1588142.26</v>
      </c>
    </row>
    <row r="841" spans="1:2" x14ac:dyDescent="0.25">
      <c r="A841" s="1">
        <v>41110</v>
      </c>
      <c r="B841">
        <v>1574361.97</v>
      </c>
    </row>
    <row r="842" spans="1:2" x14ac:dyDescent="0.25">
      <c r="A842" s="1">
        <v>41117</v>
      </c>
      <c r="B842">
        <v>1513229.16</v>
      </c>
    </row>
    <row r="843" spans="1:2" x14ac:dyDescent="0.25">
      <c r="A843" s="1">
        <v>41124</v>
      </c>
      <c r="B843">
        <v>1627274.93</v>
      </c>
    </row>
    <row r="844" spans="1:2" x14ac:dyDescent="0.25">
      <c r="A844" s="1">
        <v>41131</v>
      </c>
      <c r="B844">
        <v>1588380.73</v>
      </c>
    </row>
    <row r="845" spans="1:2" x14ac:dyDescent="0.25">
      <c r="A845" s="1">
        <v>41138</v>
      </c>
      <c r="B845">
        <v>1543049.52</v>
      </c>
    </row>
    <row r="846" spans="1:2" x14ac:dyDescent="0.25">
      <c r="A846" s="1">
        <v>41145</v>
      </c>
      <c r="B846">
        <v>1501095.49</v>
      </c>
    </row>
    <row r="847" spans="1:2" x14ac:dyDescent="0.25">
      <c r="A847" s="1">
        <v>41152</v>
      </c>
      <c r="B847">
        <v>1577439.81</v>
      </c>
    </row>
    <row r="848" spans="1:2" x14ac:dyDescent="0.25">
      <c r="A848" s="1">
        <v>41159</v>
      </c>
      <c r="B848">
        <v>1608077.01</v>
      </c>
    </row>
    <row r="849" spans="1:2" x14ac:dyDescent="0.25">
      <c r="A849" s="1">
        <v>41166</v>
      </c>
      <c r="B849">
        <v>1375166.86</v>
      </c>
    </row>
    <row r="850" spans="1:2" x14ac:dyDescent="0.25">
      <c r="A850" s="1">
        <v>41173</v>
      </c>
      <c r="B850">
        <v>1425603.65</v>
      </c>
    </row>
    <row r="851" spans="1:2" x14ac:dyDescent="0.25">
      <c r="A851" s="1">
        <v>41180</v>
      </c>
      <c r="B851">
        <v>1369131.46</v>
      </c>
    </row>
    <row r="852" spans="1:2" x14ac:dyDescent="0.25">
      <c r="A852" s="1">
        <v>41187</v>
      </c>
      <c r="B852">
        <v>1518177.71</v>
      </c>
    </row>
    <row r="853" spans="1:2" x14ac:dyDescent="0.25">
      <c r="A853" s="1">
        <v>41194</v>
      </c>
      <c r="B853">
        <v>1459396.84</v>
      </c>
    </row>
    <row r="854" spans="1:2" x14ac:dyDescent="0.25">
      <c r="A854" s="1">
        <v>41201</v>
      </c>
      <c r="B854">
        <v>1436883.99</v>
      </c>
    </row>
    <row r="855" spans="1:2" x14ac:dyDescent="0.25">
      <c r="A855" s="1">
        <v>41208</v>
      </c>
      <c r="B855">
        <v>1431426.34</v>
      </c>
    </row>
    <row r="856" spans="1:2" x14ac:dyDescent="0.25">
      <c r="A856" s="1">
        <v>40214</v>
      </c>
      <c r="B856">
        <v>496725.44</v>
      </c>
    </row>
    <row r="857" spans="1:2" x14ac:dyDescent="0.25">
      <c r="A857" s="1">
        <v>40221</v>
      </c>
      <c r="B857">
        <v>524104.92</v>
      </c>
    </row>
    <row r="858" spans="1:2" x14ac:dyDescent="0.25">
      <c r="A858" s="1">
        <v>40228</v>
      </c>
      <c r="B858">
        <v>506760.54</v>
      </c>
    </row>
    <row r="859" spans="1:2" x14ac:dyDescent="0.25">
      <c r="A859" s="1">
        <v>40235</v>
      </c>
      <c r="B859">
        <v>496083.24</v>
      </c>
    </row>
    <row r="860" spans="1:2" x14ac:dyDescent="0.25">
      <c r="A860" s="1">
        <v>40242</v>
      </c>
      <c r="B860">
        <v>491419.55</v>
      </c>
    </row>
    <row r="861" spans="1:2" x14ac:dyDescent="0.25">
      <c r="A861" s="1">
        <v>40249</v>
      </c>
      <c r="B861">
        <v>480452.1</v>
      </c>
    </row>
    <row r="862" spans="1:2" x14ac:dyDescent="0.25">
      <c r="A862" s="1">
        <v>40256</v>
      </c>
      <c r="B862">
        <v>574450.23</v>
      </c>
    </row>
    <row r="863" spans="1:2" x14ac:dyDescent="0.25">
      <c r="A863" s="1">
        <v>40263</v>
      </c>
      <c r="B863">
        <v>514731.6</v>
      </c>
    </row>
    <row r="864" spans="1:2" x14ac:dyDescent="0.25">
      <c r="A864" s="1">
        <v>40270</v>
      </c>
      <c r="B864">
        <v>561145.14</v>
      </c>
    </row>
    <row r="865" spans="1:2" x14ac:dyDescent="0.25">
      <c r="A865" s="1">
        <v>40277</v>
      </c>
      <c r="B865">
        <v>484263.25</v>
      </c>
    </row>
    <row r="866" spans="1:2" x14ac:dyDescent="0.25">
      <c r="A866" s="1">
        <v>40284</v>
      </c>
      <c r="B866">
        <v>406228.19</v>
      </c>
    </row>
    <row r="867" spans="1:2" x14ac:dyDescent="0.25">
      <c r="A867" s="1">
        <v>40291</v>
      </c>
      <c r="B867">
        <v>404751.25</v>
      </c>
    </row>
    <row r="868" spans="1:2" x14ac:dyDescent="0.25">
      <c r="A868" s="1">
        <v>40298</v>
      </c>
      <c r="B868">
        <v>373655.61</v>
      </c>
    </row>
    <row r="869" spans="1:2" x14ac:dyDescent="0.25">
      <c r="A869" s="1">
        <v>40305</v>
      </c>
      <c r="B869">
        <v>395453.83</v>
      </c>
    </row>
    <row r="870" spans="1:2" x14ac:dyDescent="0.25">
      <c r="A870" s="1">
        <v>40312</v>
      </c>
      <c r="B870">
        <v>372673.61</v>
      </c>
    </row>
    <row r="871" spans="1:2" x14ac:dyDescent="0.25">
      <c r="A871" s="1">
        <v>40319</v>
      </c>
      <c r="B871">
        <v>395195.65</v>
      </c>
    </row>
    <row r="872" spans="1:2" x14ac:dyDescent="0.25">
      <c r="A872" s="1">
        <v>40326</v>
      </c>
      <c r="B872">
        <v>442734.55</v>
      </c>
    </row>
    <row r="873" spans="1:2" x14ac:dyDescent="0.25">
      <c r="A873" s="1">
        <v>40333</v>
      </c>
      <c r="B873">
        <v>509183.22</v>
      </c>
    </row>
    <row r="874" spans="1:2" x14ac:dyDescent="0.25">
      <c r="A874" s="1">
        <v>40340</v>
      </c>
      <c r="B874">
        <v>498580.87</v>
      </c>
    </row>
    <row r="875" spans="1:2" x14ac:dyDescent="0.25">
      <c r="A875" s="1">
        <v>40347</v>
      </c>
      <c r="B875">
        <v>481144.09</v>
      </c>
    </row>
    <row r="876" spans="1:2" x14ac:dyDescent="0.25">
      <c r="A876" s="1">
        <v>40354</v>
      </c>
      <c r="B876">
        <v>553714.87</v>
      </c>
    </row>
    <row r="877" spans="1:2" x14ac:dyDescent="0.25">
      <c r="A877" s="1">
        <v>40361</v>
      </c>
      <c r="B877">
        <v>575570.77</v>
      </c>
    </row>
    <row r="878" spans="1:2" x14ac:dyDescent="0.25">
      <c r="A878" s="1">
        <v>40368</v>
      </c>
      <c r="B878">
        <v>593462.34</v>
      </c>
    </row>
    <row r="879" spans="1:2" x14ac:dyDescent="0.25">
      <c r="A879" s="1">
        <v>40375</v>
      </c>
      <c r="B879">
        <v>557166.35</v>
      </c>
    </row>
    <row r="880" spans="1:2" x14ac:dyDescent="0.25">
      <c r="A880" s="1">
        <v>40382</v>
      </c>
      <c r="B880">
        <v>570231.21</v>
      </c>
    </row>
    <row r="881" spans="1:2" x14ac:dyDescent="0.25">
      <c r="A881" s="1">
        <v>40389</v>
      </c>
      <c r="B881">
        <v>603547.16</v>
      </c>
    </row>
    <row r="882" spans="1:2" x14ac:dyDescent="0.25">
      <c r="A882" s="1">
        <v>40396</v>
      </c>
      <c r="B882">
        <v>643854.17000000004</v>
      </c>
    </row>
    <row r="883" spans="1:2" x14ac:dyDescent="0.25">
      <c r="A883" s="1">
        <v>40403</v>
      </c>
      <c r="B883">
        <v>598185.4</v>
      </c>
    </row>
    <row r="884" spans="1:2" x14ac:dyDescent="0.25">
      <c r="A884" s="1">
        <v>40410</v>
      </c>
      <c r="B884">
        <v>582353.17000000004</v>
      </c>
    </row>
    <row r="885" spans="1:2" x14ac:dyDescent="0.25">
      <c r="A885" s="1">
        <v>40417</v>
      </c>
      <c r="B885">
        <v>554309.24</v>
      </c>
    </row>
    <row r="886" spans="1:2" x14ac:dyDescent="0.25">
      <c r="A886" s="1">
        <v>40424</v>
      </c>
      <c r="B886">
        <v>532765.05000000005</v>
      </c>
    </row>
    <row r="887" spans="1:2" x14ac:dyDescent="0.25">
      <c r="A887" s="1">
        <v>40431</v>
      </c>
      <c r="B887">
        <v>535769.31999999995</v>
      </c>
    </row>
    <row r="888" spans="1:2" x14ac:dyDescent="0.25">
      <c r="A888" s="1">
        <v>40438</v>
      </c>
      <c r="B888">
        <v>489408.53</v>
      </c>
    </row>
    <row r="889" spans="1:2" x14ac:dyDescent="0.25">
      <c r="A889" s="1">
        <v>40445</v>
      </c>
      <c r="B889">
        <v>488008.83</v>
      </c>
    </row>
    <row r="890" spans="1:2" x14ac:dyDescent="0.25">
      <c r="A890" s="1">
        <v>40452</v>
      </c>
      <c r="B890">
        <v>448998.73</v>
      </c>
    </row>
    <row r="891" spans="1:2" x14ac:dyDescent="0.25">
      <c r="A891" s="1">
        <v>40459</v>
      </c>
      <c r="B891">
        <v>480239.88</v>
      </c>
    </row>
    <row r="892" spans="1:2" x14ac:dyDescent="0.25">
      <c r="A892" s="1">
        <v>40466</v>
      </c>
      <c r="B892">
        <v>463370.48</v>
      </c>
    </row>
    <row r="893" spans="1:2" x14ac:dyDescent="0.25">
      <c r="A893" s="1">
        <v>40473</v>
      </c>
      <c r="B893">
        <v>472450.81</v>
      </c>
    </row>
    <row r="894" spans="1:2" x14ac:dyDescent="0.25">
      <c r="A894" s="1">
        <v>40480</v>
      </c>
      <c r="B894">
        <v>465493.15</v>
      </c>
    </row>
    <row r="895" spans="1:2" x14ac:dyDescent="0.25">
      <c r="A895" s="1">
        <v>40487</v>
      </c>
      <c r="B895">
        <v>480512.44</v>
      </c>
    </row>
    <row r="896" spans="1:2" x14ac:dyDescent="0.25">
      <c r="A896" s="1">
        <v>40494</v>
      </c>
      <c r="B896">
        <v>507584.29</v>
      </c>
    </row>
    <row r="897" spans="1:2" x14ac:dyDescent="0.25">
      <c r="A897" s="1">
        <v>40501</v>
      </c>
      <c r="B897">
        <v>482528.36</v>
      </c>
    </row>
    <row r="898" spans="1:2" x14ac:dyDescent="0.25">
      <c r="A898" s="1">
        <v>40508</v>
      </c>
      <c r="B898">
        <v>835189.26</v>
      </c>
    </row>
    <row r="899" spans="1:2" x14ac:dyDescent="0.25">
      <c r="A899" s="1">
        <v>40515</v>
      </c>
      <c r="B899">
        <v>552811.62</v>
      </c>
    </row>
    <row r="900" spans="1:2" x14ac:dyDescent="0.25">
      <c r="A900" s="1">
        <v>40522</v>
      </c>
      <c r="B900">
        <v>599730.06999999995</v>
      </c>
    </row>
    <row r="901" spans="1:2" x14ac:dyDescent="0.25">
      <c r="A901" s="1">
        <v>40529</v>
      </c>
      <c r="B901">
        <v>716388.81</v>
      </c>
    </row>
    <row r="902" spans="1:2" x14ac:dyDescent="0.25">
      <c r="A902" s="1">
        <v>40536</v>
      </c>
      <c r="B902">
        <v>1045124.88</v>
      </c>
    </row>
    <row r="903" spans="1:2" x14ac:dyDescent="0.25">
      <c r="A903" s="1">
        <v>40543</v>
      </c>
      <c r="B903">
        <v>729572.08</v>
      </c>
    </row>
    <row r="904" spans="1:2" x14ac:dyDescent="0.25">
      <c r="A904" s="1">
        <v>40550</v>
      </c>
      <c r="B904">
        <v>661163.93999999994</v>
      </c>
    </row>
    <row r="905" spans="1:2" x14ac:dyDescent="0.25">
      <c r="A905" s="1">
        <v>40557</v>
      </c>
      <c r="B905">
        <v>547384.9</v>
      </c>
    </row>
    <row r="906" spans="1:2" x14ac:dyDescent="0.25">
      <c r="A906" s="1">
        <v>40564</v>
      </c>
      <c r="B906">
        <v>521539.46</v>
      </c>
    </row>
    <row r="907" spans="1:2" x14ac:dyDescent="0.25">
      <c r="A907" s="1">
        <v>40571</v>
      </c>
      <c r="B907">
        <v>513372.17</v>
      </c>
    </row>
    <row r="908" spans="1:2" x14ac:dyDescent="0.25">
      <c r="A908" s="1">
        <v>40578</v>
      </c>
      <c r="B908">
        <v>558027.77</v>
      </c>
    </row>
    <row r="909" spans="1:2" x14ac:dyDescent="0.25">
      <c r="A909" s="1">
        <v>40585</v>
      </c>
      <c r="B909">
        <v>559903.13</v>
      </c>
    </row>
    <row r="910" spans="1:2" x14ac:dyDescent="0.25">
      <c r="A910" s="1">
        <v>40592</v>
      </c>
      <c r="B910">
        <v>572387.47</v>
      </c>
    </row>
    <row r="911" spans="1:2" x14ac:dyDescent="0.25">
      <c r="A911" s="1">
        <v>40599</v>
      </c>
      <c r="B911">
        <v>546690.84</v>
      </c>
    </row>
    <row r="912" spans="1:2" x14ac:dyDescent="0.25">
      <c r="A912" s="1">
        <v>40606</v>
      </c>
      <c r="B912">
        <v>551378.39</v>
      </c>
    </row>
    <row r="913" spans="1:2" x14ac:dyDescent="0.25">
      <c r="A913" s="1">
        <v>40613</v>
      </c>
      <c r="B913">
        <v>558963.82999999996</v>
      </c>
    </row>
    <row r="914" spans="1:2" x14ac:dyDescent="0.25">
      <c r="A914" s="1">
        <v>40620</v>
      </c>
      <c r="B914">
        <v>635014.68999999994</v>
      </c>
    </row>
    <row r="915" spans="1:2" x14ac:dyDescent="0.25">
      <c r="A915" s="1">
        <v>40627</v>
      </c>
      <c r="B915">
        <v>559061.57999999996</v>
      </c>
    </row>
    <row r="916" spans="1:2" x14ac:dyDescent="0.25">
      <c r="A916" s="1">
        <v>40634</v>
      </c>
      <c r="B916">
        <v>513409.67</v>
      </c>
    </row>
    <row r="917" spans="1:2" x14ac:dyDescent="0.25">
      <c r="A917" s="1">
        <v>40641</v>
      </c>
      <c r="B917">
        <v>500552.16</v>
      </c>
    </row>
    <row r="918" spans="1:2" x14ac:dyDescent="0.25">
      <c r="A918" s="1">
        <v>40648</v>
      </c>
      <c r="B918">
        <v>423380.14</v>
      </c>
    </row>
    <row r="919" spans="1:2" x14ac:dyDescent="0.25">
      <c r="A919" s="1">
        <v>40655</v>
      </c>
      <c r="B919">
        <v>466594.89</v>
      </c>
    </row>
    <row r="920" spans="1:2" x14ac:dyDescent="0.25">
      <c r="A920" s="1">
        <v>40662</v>
      </c>
      <c r="B920">
        <v>410429.73</v>
      </c>
    </row>
    <row r="921" spans="1:2" x14ac:dyDescent="0.25">
      <c r="A921" s="1">
        <v>40669</v>
      </c>
      <c r="B921">
        <v>407012.47</v>
      </c>
    </row>
    <row r="922" spans="1:2" x14ac:dyDescent="0.25">
      <c r="A922" s="1">
        <v>40676</v>
      </c>
      <c r="B922">
        <v>414094.05</v>
      </c>
    </row>
    <row r="923" spans="1:2" x14ac:dyDescent="0.25">
      <c r="A923" s="1">
        <v>40683</v>
      </c>
      <c r="B923">
        <v>424670.98</v>
      </c>
    </row>
    <row r="924" spans="1:2" x14ac:dyDescent="0.25">
      <c r="A924" s="1">
        <v>40690</v>
      </c>
      <c r="B924">
        <v>457216.87</v>
      </c>
    </row>
    <row r="925" spans="1:2" x14ac:dyDescent="0.25">
      <c r="A925" s="1">
        <v>40697</v>
      </c>
      <c r="B925">
        <v>542295.37</v>
      </c>
    </row>
    <row r="926" spans="1:2" x14ac:dyDescent="0.25">
      <c r="A926" s="1">
        <v>40704</v>
      </c>
      <c r="B926">
        <v>621099.94999999995</v>
      </c>
    </row>
    <row r="927" spans="1:2" x14ac:dyDescent="0.25">
      <c r="A927" s="1">
        <v>40711</v>
      </c>
      <c r="B927">
        <v>610991.35</v>
      </c>
    </row>
    <row r="928" spans="1:2" x14ac:dyDescent="0.25">
      <c r="A928" s="1">
        <v>40718</v>
      </c>
      <c r="B928">
        <v>640043.97</v>
      </c>
    </row>
    <row r="929" spans="1:2" x14ac:dyDescent="0.25">
      <c r="A929" s="1">
        <v>40725</v>
      </c>
      <c r="B929">
        <v>704344.21</v>
      </c>
    </row>
    <row r="930" spans="1:2" x14ac:dyDescent="0.25">
      <c r="A930" s="1">
        <v>40732</v>
      </c>
      <c r="B930">
        <v>761793.94</v>
      </c>
    </row>
    <row r="931" spans="1:2" x14ac:dyDescent="0.25">
      <c r="A931" s="1">
        <v>40739</v>
      </c>
      <c r="B931">
        <v>642748.21</v>
      </c>
    </row>
    <row r="932" spans="1:2" x14ac:dyDescent="0.25">
      <c r="A932" s="1">
        <v>40746</v>
      </c>
      <c r="B932">
        <v>688043.96</v>
      </c>
    </row>
    <row r="933" spans="1:2" x14ac:dyDescent="0.25">
      <c r="A933" s="1">
        <v>40753</v>
      </c>
      <c r="B933">
        <v>653382.62</v>
      </c>
    </row>
    <row r="934" spans="1:2" x14ac:dyDescent="0.25">
      <c r="A934" s="1">
        <v>40760</v>
      </c>
      <c r="B934">
        <v>695392.84</v>
      </c>
    </row>
    <row r="935" spans="1:2" x14ac:dyDescent="0.25">
      <c r="A935" s="1">
        <v>40767</v>
      </c>
      <c r="B935">
        <v>670670.46</v>
      </c>
    </row>
    <row r="936" spans="1:2" x14ac:dyDescent="0.25">
      <c r="A936" s="1">
        <v>40774</v>
      </c>
      <c r="B936">
        <v>645156.21</v>
      </c>
    </row>
    <row r="937" spans="1:2" x14ac:dyDescent="0.25">
      <c r="A937" s="1">
        <v>40781</v>
      </c>
      <c r="B937">
        <v>629994.47</v>
      </c>
    </row>
    <row r="938" spans="1:2" x14ac:dyDescent="0.25">
      <c r="A938" s="1">
        <v>40788</v>
      </c>
      <c r="B938">
        <v>592355.24</v>
      </c>
    </row>
    <row r="939" spans="1:2" x14ac:dyDescent="0.25">
      <c r="A939" s="1">
        <v>40795</v>
      </c>
      <c r="B939">
        <v>613135.23</v>
      </c>
    </row>
    <row r="940" spans="1:2" x14ac:dyDescent="0.25">
      <c r="A940" s="1">
        <v>40802</v>
      </c>
      <c r="B940">
        <v>558981.44999999995</v>
      </c>
    </row>
    <row r="941" spans="1:2" x14ac:dyDescent="0.25">
      <c r="A941" s="1">
        <v>40809</v>
      </c>
      <c r="B941">
        <v>536144.81000000006</v>
      </c>
    </row>
    <row r="942" spans="1:2" x14ac:dyDescent="0.25">
      <c r="A942" s="1">
        <v>40816</v>
      </c>
      <c r="B942">
        <v>488880.26</v>
      </c>
    </row>
    <row r="943" spans="1:2" x14ac:dyDescent="0.25">
      <c r="A943" s="1">
        <v>40823</v>
      </c>
      <c r="B943">
        <v>525866.36</v>
      </c>
    </row>
    <row r="944" spans="1:2" x14ac:dyDescent="0.25">
      <c r="A944" s="1">
        <v>40830</v>
      </c>
      <c r="B944">
        <v>501959.19</v>
      </c>
    </row>
    <row r="945" spans="1:2" x14ac:dyDescent="0.25">
      <c r="A945" s="1">
        <v>40837</v>
      </c>
      <c r="B945">
        <v>558691.43000000005</v>
      </c>
    </row>
    <row r="946" spans="1:2" x14ac:dyDescent="0.25">
      <c r="A946" s="1">
        <v>40844</v>
      </c>
      <c r="B946">
        <v>527339.52000000002</v>
      </c>
    </row>
    <row r="947" spans="1:2" x14ac:dyDescent="0.25">
      <c r="A947" s="1">
        <v>40851</v>
      </c>
      <c r="B947">
        <v>564536.01</v>
      </c>
    </row>
    <row r="948" spans="1:2" x14ac:dyDescent="0.25">
      <c r="A948" s="1">
        <v>40858</v>
      </c>
      <c r="B948">
        <v>556015.59</v>
      </c>
    </row>
    <row r="949" spans="1:2" x14ac:dyDescent="0.25">
      <c r="A949" s="1">
        <v>40865</v>
      </c>
      <c r="B949">
        <v>539826.56000000006</v>
      </c>
    </row>
    <row r="950" spans="1:2" x14ac:dyDescent="0.25">
      <c r="A950" s="1">
        <v>40872</v>
      </c>
      <c r="B950">
        <v>949075.87</v>
      </c>
    </row>
    <row r="951" spans="1:2" x14ac:dyDescent="0.25">
      <c r="A951" s="1">
        <v>40879</v>
      </c>
      <c r="B951">
        <v>591907.88</v>
      </c>
    </row>
    <row r="952" spans="1:2" x14ac:dyDescent="0.25">
      <c r="A952" s="1">
        <v>40886</v>
      </c>
      <c r="B952">
        <v>653845.44999999995</v>
      </c>
    </row>
    <row r="953" spans="1:2" x14ac:dyDescent="0.25">
      <c r="A953" s="1">
        <v>40893</v>
      </c>
      <c r="B953">
        <v>720242.19</v>
      </c>
    </row>
    <row r="954" spans="1:2" x14ac:dyDescent="0.25">
      <c r="A954" s="1">
        <v>40900</v>
      </c>
      <c r="B954">
        <v>1059715.27</v>
      </c>
    </row>
    <row r="955" spans="1:2" x14ac:dyDescent="0.25">
      <c r="A955" s="1">
        <v>40907</v>
      </c>
      <c r="B955">
        <v>815915.52000000002</v>
      </c>
    </row>
    <row r="956" spans="1:2" x14ac:dyDescent="0.25">
      <c r="A956" s="1">
        <v>40914</v>
      </c>
      <c r="B956">
        <v>713117.66</v>
      </c>
    </row>
    <row r="957" spans="1:2" x14ac:dyDescent="0.25">
      <c r="A957" s="1">
        <v>40921</v>
      </c>
      <c r="B957">
        <v>593875.46</v>
      </c>
    </row>
    <row r="958" spans="1:2" x14ac:dyDescent="0.25">
      <c r="A958" s="1">
        <v>40928</v>
      </c>
      <c r="B958">
        <v>578002.85</v>
      </c>
    </row>
    <row r="959" spans="1:2" x14ac:dyDescent="0.25">
      <c r="A959" s="1">
        <v>40935</v>
      </c>
      <c r="B959">
        <v>541037.98</v>
      </c>
    </row>
    <row r="960" spans="1:2" x14ac:dyDescent="0.25">
      <c r="A960" s="1">
        <v>40942</v>
      </c>
      <c r="B960">
        <v>580453.31999999995</v>
      </c>
    </row>
    <row r="961" spans="1:2" x14ac:dyDescent="0.25">
      <c r="A961" s="1">
        <v>40949</v>
      </c>
      <c r="B961">
        <v>563460.77</v>
      </c>
    </row>
    <row r="962" spans="1:2" x14ac:dyDescent="0.25">
      <c r="A962" s="1">
        <v>40956</v>
      </c>
      <c r="B962">
        <v>620908.18000000005</v>
      </c>
    </row>
    <row r="963" spans="1:2" x14ac:dyDescent="0.25">
      <c r="A963" s="1">
        <v>40963</v>
      </c>
      <c r="B963">
        <v>603041.14</v>
      </c>
    </row>
    <row r="964" spans="1:2" x14ac:dyDescent="0.25">
      <c r="A964" s="1">
        <v>40970</v>
      </c>
      <c r="B964">
        <v>551058.13</v>
      </c>
    </row>
    <row r="965" spans="1:2" x14ac:dyDescent="0.25">
      <c r="A965" s="1">
        <v>40977</v>
      </c>
      <c r="B965">
        <v>579166.5</v>
      </c>
    </row>
    <row r="966" spans="1:2" x14ac:dyDescent="0.25">
      <c r="A966" s="1">
        <v>40984</v>
      </c>
      <c r="B966">
        <v>669205.73</v>
      </c>
    </row>
    <row r="967" spans="1:2" x14ac:dyDescent="0.25">
      <c r="A967" s="1">
        <v>40991</v>
      </c>
      <c r="B967">
        <v>615997.29</v>
      </c>
    </row>
    <row r="968" spans="1:2" x14ac:dyDescent="0.25">
      <c r="A968" s="1">
        <v>40998</v>
      </c>
      <c r="B968">
        <v>583322.19999999995</v>
      </c>
    </row>
    <row r="969" spans="1:2" x14ac:dyDescent="0.25">
      <c r="A969" s="1">
        <v>41005</v>
      </c>
      <c r="B969">
        <v>621425.98</v>
      </c>
    </row>
    <row r="970" spans="1:2" x14ac:dyDescent="0.25">
      <c r="A970" s="1">
        <v>41012</v>
      </c>
      <c r="B970">
        <v>517420.23</v>
      </c>
    </row>
    <row r="971" spans="1:2" x14ac:dyDescent="0.25">
      <c r="A971" s="1">
        <v>41019</v>
      </c>
      <c r="B971">
        <v>457340.06</v>
      </c>
    </row>
    <row r="972" spans="1:2" x14ac:dyDescent="0.25">
      <c r="A972" s="1">
        <v>41026</v>
      </c>
      <c r="B972">
        <v>467827.75</v>
      </c>
    </row>
    <row r="973" spans="1:2" x14ac:dyDescent="0.25">
      <c r="A973" s="1">
        <v>41033</v>
      </c>
      <c r="B973">
        <v>465198.89</v>
      </c>
    </row>
    <row r="974" spans="1:2" x14ac:dyDescent="0.25">
      <c r="A974" s="1">
        <v>41040</v>
      </c>
      <c r="B974">
        <v>460397.41</v>
      </c>
    </row>
    <row r="975" spans="1:2" x14ac:dyDescent="0.25">
      <c r="A975" s="1">
        <v>41047</v>
      </c>
      <c r="B975">
        <v>468428.3</v>
      </c>
    </row>
    <row r="976" spans="1:2" x14ac:dyDescent="0.25">
      <c r="A976" s="1">
        <v>41054</v>
      </c>
      <c r="B976">
        <v>532739.77</v>
      </c>
    </row>
    <row r="977" spans="1:2" x14ac:dyDescent="0.25">
      <c r="A977" s="1">
        <v>41061</v>
      </c>
      <c r="B977">
        <v>598495.02</v>
      </c>
    </row>
    <row r="978" spans="1:2" x14ac:dyDescent="0.25">
      <c r="A978" s="1">
        <v>41068</v>
      </c>
      <c r="B978">
        <v>642963.75</v>
      </c>
    </row>
    <row r="979" spans="1:2" x14ac:dyDescent="0.25">
      <c r="A979" s="1">
        <v>41075</v>
      </c>
      <c r="B979">
        <v>666942.02</v>
      </c>
    </row>
    <row r="980" spans="1:2" x14ac:dyDescent="0.25">
      <c r="A980" s="1">
        <v>41082</v>
      </c>
      <c r="B980">
        <v>687344.68</v>
      </c>
    </row>
    <row r="981" spans="1:2" x14ac:dyDescent="0.25">
      <c r="A981" s="1">
        <v>41089</v>
      </c>
      <c r="B981">
        <v>704335.41</v>
      </c>
    </row>
    <row r="982" spans="1:2" x14ac:dyDescent="0.25">
      <c r="A982" s="1">
        <v>41096</v>
      </c>
      <c r="B982">
        <v>805642.61</v>
      </c>
    </row>
    <row r="983" spans="1:2" x14ac:dyDescent="0.25">
      <c r="A983" s="1">
        <v>41103</v>
      </c>
      <c r="B983">
        <v>694150.89</v>
      </c>
    </row>
    <row r="984" spans="1:2" x14ac:dyDescent="0.25">
      <c r="A984" s="1">
        <v>41110</v>
      </c>
      <c r="B984">
        <v>686345.69</v>
      </c>
    </row>
    <row r="985" spans="1:2" x14ac:dyDescent="0.25">
      <c r="A985" s="1">
        <v>41117</v>
      </c>
      <c r="B985">
        <v>686365.4</v>
      </c>
    </row>
    <row r="986" spans="1:2" x14ac:dyDescent="0.25">
      <c r="A986" s="1">
        <v>41124</v>
      </c>
      <c r="B986">
        <v>680954.81</v>
      </c>
    </row>
    <row r="987" spans="1:2" x14ac:dyDescent="0.25">
      <c r="A987" s="1">
        <v>41131</v>
      </c>
      <c r="B987">
        <v>675926.3</v>
      </c>
    </row>
    <row r="988" spans="1:2" x14ac:dyDescent="0.25">
      <c r="A988" s="1">
        <v>41138</v>
      </c>
      <c r="B988">
        <v>642450.4</v>
      </c>
    </row>
    <row r="989" spans="1:2" x14ac:dyDescent="0.25">
      <c r="A989" s="1">
        <v>41145</v>
      </c>
      <c r="B989">
        <v>609099.37</v>
      </c>
    </row>
    <row r="990" spans="1:2" x14ac:dyDescent="0.25">
      <c r="A990" s="1">
        <v>41152</v>
      </c>
      <c r="B990">
        <v>586467.16</v>
      </c>
    </row>
    <row r="991" spans="1:2" x14ac:dyDescent="0.25">
      <c r="A991" s="1">
        <v>41159</v>
      </c>
      <c r="B991">
        <v>597876.55000000005</v>
      </c>
    </row>
    <row r="992" spans="1:2" x14ac:dyDescent="0.25">
      <c r="A992" s="1">
        <v>41166</v>
      </c>
      <c r="B992">
        <v>541120.19999999995</v>
      </c>
    </row>
    <row r="993" spans="1:2" x14ac:dyDescent="0.25">
      <c r="A993" s="1">
        <v>41173</v>
      </c>
      <c r="B993">
        <v>530842.25</v>
      </c>
    </row>
    <row r="994" spans="1:2" x14ac:dyDescent="0.25">
      <c r="A994" s="1">
        <v>41180</v>
      </c>
      <c r="B994">
        <v>525545.76</v>
      </c>
    </row>
    <row r="995" spans="1:2" x14ac:dyDescent="0.25">
      <c r="A995" s="1">
        <v>41187</v>
      </c>
      <c r="B995">
        <v>505830.56</v>
      </c>
    </row>
    <row r="996" spans="1:2" x14ac:dyDescent="0.25">
      <c r="A996" s="1">
        <v>41194</v>
      </c>
      <c r="B996">
        <v>503463.93</v>
      </c>
    </row>
    <row r="997" spans="1:2" x14ac:dyDescent="0.25">
      <c r="A997" s="1">
        <v>41201</v>
      </c>
      <c r="B997">
        <v>516424.83</v>
      </c>
    </row>
    <row r="998" spans="1:2" x14ac:dyDescent="0.25">
      <c r="A998" s="1">
        <v>41208</v>
      </c>
      <c r="B998">
        <v>495543.28</v>
      </c>
    </row>
    <row r="999" spans="1:2" x14ac:dyDescent="0.25">
      <c r="A999" s="1">
        <v>40214</v>
      </c>
      <c r="B999">
        <v>1004137.09</v>
      </c>
    </row>
    <row r="1000" spans="1:2" x14ac:dyDescent="0.25">
      <c r="A1000" s="1">
        <v>40221</v>
      </c>
      <c r="B1000">
        <v>994801.4</v>
      </c>
    </row>
    <row r="1001" spans="1:2" x14ac:dyDescent="0.25">
      <c r="A1001" s="1">
        <v>40228</v>
      </c>
      <c r="B1001">
        <v>963960.37</v>
      </c>
    </row>
    <row r="1002" spans="1:2" x14ac:dyDescent="0.25">
      <c r="A1002" s="1">
        <v>40235</v>
      </c>
      <c r="B1002">
        <v>847592.11</v>
      </c>
    </row>
    <row r="1003" spans="1:2" x14ac:dyDescent="0.25">
      <c r="A1003" s="1">
        <v>40242</v>
      </c>
      <c r="B1003">
        <v>881503.95</v>
      </c>
    </row>
    <row r="1004" spans="1:2" x14ac:dyDescent="0.25">
      <c r="A1004" s="1">
        <v>40249</v>
      </c>
      <c r="B1004">
        <v>860336.16</v>
      </c>
    </row>
    <row r="1005" spans="1:2" x14ac:dyDescent="0.25">
      <c r="A1005" s="1">
        <v>40256</v>
      </c>
      <c r="B1005">
        <v>839911</v>
      </c>
    </row>
    <row r="1006" spans="1:2" x14ac:dyDescent="0.25">
      <c r="A1006" s="1">
        <v>40263</v>
      </c>
      <c r="B1006">
        <v>772539.12</v>
      </c>
    </row>
    <row r="1007" spans="1:2" x14ac:dyDescent="0.25">
      <c r="A1007" s="1">
        <v>40270</v>
      </c>
      <c r="B1007">
        <v>914500.91</v>
      </c>
    </row>
    <row r="1008" spans="1:2" x14ac:dyDescent="0.25">
      <c r="A1008" s="1">
        <v>40277</v>
      </c>
      <c r="B1008">
        <v>916033.92</v>
      </c>
    </row>
    <row r="1009" spans="1:2" x14ac:dyDescent="0.25">
      <c r="A1009" s="1">
        <v>40284</v>
      </c>
      <c r="B1009">
        <v>882917.12</v>
      </c>
    </row>
    <row r="1010" spans="1:2" x14ac:dyDescent="0.25">
      <c r="A1010" s="1">
        <v>40291</v>
      </c>
      <c r="B1010">
        <v>850440.26</v>
      </c>
    </row>
    <row r="1011" spans="1:2" x14ac:dyDescent="0.25">
      <c r="A1011" s="1">
        <v>40298</v>
      </c>
      <c r="B1011">
        <v>778672.64000000001</v>
      </c>
    </row>
    <row r="1012" spans="1:2" x14ac:dyDescent="0.25">
      <c r="A1012" s="1">
        <v>40305</v>
      </c>
      <c r="B1012">
        <v>916820.96</v>
      </c>
    </row>
    <row r="1013" spans="1:2" x14ac:dyDescent="0.25">
      <c r="A1013" s="1">
        <v>40312</v>
      </c>
      <c r="B1013">
        <v>873337.84</v>
      </c>
    </row>
    <row r="1014" spans="1:2" x14ac:dyDescent="0.25">
      <c r="A1014" s="1">
        <v>40319</v>
      </c>
      <c r="B1014">
        <v>818333.21</v>
      </c>
    </row>
    <row r="1015" spans="1:2" x14ac:dyDescent="0.25">
      <c r="A1015" s="1">
        <v>40326</v>
      </c>
      <c r="B1015">
        <v>868041.56</v>
      </c>
    </row>
    <row r="1016" spans="1:2" x14ac:dyDescent="0.25">
      <c r="A1016" s="1">
        <v>40333</v>
      </c>
      <c r="B1016">
        <v>958225.41</v>
      </c>
    </row>
    <row r="1017" spans="1:2" x14ac:dyDescent="0.25">
      <c r="A1017" s="1">
        <v>40340</v>
      </c>
      <c r="B1017">
        <v>914835.86</v>
      </c>
    </row>
    <row r="1018" spans="1:2" x14ac:dyDescent="0.25">
      <c r="A1018" s="1">
        <v>40347</v>
      </c>
      <c r="B1018">
        <v>869922.56</v>
      </c>
    </row>
    <row r="1019" spans="1:2" x14ac:dyDescent="0.25">
      <c r="A1019" s="1">
        <v>40354</v>
      </c>
      <c r="B1019">
        <v>814919.11</v>
      </c>
    </row>
    <row r="1020" spans="1:2" x14ac:dyDescent="0.25">
      <c r="A1020" s="1">
        <v>40361</v>
      </c>
      <c r="B1020">
        <v>852333.75</v>
      </c>
    </row>
    <row r="1021" spans="1:2" x14ac:dyDescent="0.25">
      <c r="A1021" s="1">
        <v>40368</v>
      </c>
      <c r="B1021">
        <v>845289.77</v>
      </c>
    </row>
    <row r="1022" spans="1:2" x14ac:dyDescent="0.25">
      <c r="A1022" s="1">
        <v>40375</v>
      </c>
      <c r="B1022">
        <v>848630.57</v>
      </c>
    </row>
    <row r="1023" spans="1:2" x14ac:dyDescent="0.25">
      <c r="A1023" s="1">
        <v>40382</v>
      </c>
      <c r="B1023">
        <v>785515.88</v>
      </c>
    </row>
    <row r="1024" spans="1:2" x14ac:dyDescent="0.25">
      <c r="A1024" s="1">
        <v>40389</v>
      </c>
      <c r="B1024">
        <v>787295.09</v>
      </c>
    </row>
    <row r="1025" spans="1:2" x14ac:dyDescent="0.25">
      <c r="A1025" s="1">
        <v>40396</v>
      </c>
      <c r="B1025">
        <v>893399.77</v>
      </c>
    </row>
    <row r="1026" spans="1:2" x14ac:dyDescent="0.25">
      <c r="A1026" s="1">
        <v>40403</v>
      </c>
      <c r="B1026">
        <v>867919.21</v>
      </c>
    </row>
    <row r="1027" spans="1:2" x14ac:dyDescent="0.25">
      <c r="A1027" s="1">
        <v>40410</v>
      </c>
      <c r="B1027">
        <v>870676.44</v>
      </c>
    </row>
    <row r="1028" spans="1:2" x14ac:dyDescent="0.25">
      <c r="A1028" s="1">
        <v>40417</v>
      </c>
      <c r="B1028">
        <v>888816.78</v>
      </c>
    </row>
    <row r="1029" spans="1:2" x14ac:dyDescent="0.25">
      <c r="A1029" s="1">
        <v>40424</v>
      </c>
      <c r="B1029">
        <v>899036.47</v>
      </c>
    </row>
    <row r="1030" spans="1:2" x14ac:dyDescent="0.25">
      <c r="A1030" s="1">
        <v>40431</v>
      </c>
      <c r="B1030">
        <v>831425.2</v>
      </c>
    </row>
    <row r="1031" spans="1:2" x14ac:dyDescent="0.25">
      <c r="A1031" s="1">
        <v>40438</v>
      </c>
      <c r="B1031">
        <v>836707.85</v>
      </c>
    </row>
    <row r="1032" spans="1:2" x14ac:dyDescent="0.25">
      <c r="A1032" s="1">
        <v>40445</v>
      </c>
      <c r="B1032">
        <v>773725.08</v>
      </c>
    </row>
    <row r="1033" spans="1:2" x14ac:dyDescent="0.25">
      <c r="A1033" s="1">
        <v>40452</v>
      </c>
      <c r="B1033">
        <v>804105.49</v>
      </c>
    </row>
    <row r="1034" spans="1:2" x14ac:dyDescent="0.25">
      <c r="A1034" s="1">
        <v>40459</v>
      </c>
      <c r="B1034">
        <v>870349.86</v>
      </c>
    </row>
    <row r="1035" spans="1:2" x14ac:dyDescent="0.25">
      <c r="A1035" s="1">
        <v>40466</v>
      </c>
      <c r="B1035">
        <v>826546.96</v>
      </c>
    </row>
    <row r="1036" spans="1:2" x14ac:dyDescent="0.25">
      <c r="A1036" s="1">
        <v>40473</v>
      </c>
      <c r="B1036">
        <v>836419.14</v>
      </c>
    </row>
    <row r="1037" spans="1:2" x14ac:dyDescent="0.25">
      <c r="A1037" s="1">
        <v>40480</v>
      </c>
      <c r="B1037">
        <v>830756.76</v>
      </c>
    </row>
    <row r="1038" spans="1:2" x14ac:dyDescent="0.25">
      <c r="A1038" s="1">
        <v>40487</v>
      </c>
      <c r="B1038">
        <v>927266.34</v>
      </c>
    </row>
    <row r="1039" spans="1:2" x14ac:dyDescent="0.25">
      <c r="A1039" s="1">
        <v>40494</v>
      </c>
      <c r="B1039">
        <v>911538.98</v>
      </c>
    </row>
    <row r="1040" spans="1:2" x14ac:dyDescent="0.25">
      <c r="A1040" s="1">
        <v>40501</v>
      </c>
      <c r="B1040">
        <v>885608.04</v>
      </c>
    </row>
    <row r="1041" spans="1:2" x14ac:dyDescent="0.25">
      <c r="A1041" s="1">
        <v>40508</v>
      </c>
      <c r="B1041">
        <v>1261693.1599999999</v>
      </c>
    </row>
    <row r="1042" spans="1:2" x14ac:dyDescent="0.25">
      <c r="A1042" s="1">
        <v>40515</v>
      </c>
      <c r="B1042">
        <v>952766.93</v>
      </c>
    </row>
    <row r="1043" spans="1:2" x14ac:dyDescent="0.25">
      <c r="A1043" s="1">
        <v>40522</v>
      </c>
      <c r="B1043">
        <v>1069061.6299999999</v>
      </c>
    </row>
    <row r="1044" spans="1:2" x14ac:dyDescent="0.25">
      <c r="A1044" s="1">
        <v>40529</v>
      </c>
      <c r="B1044">
        <v>1220579.55</v>
      </c>
    </row>
    <row r="1045" spans="1:2" x14ac:dyDescent="0.25">
      <c r="A1045" s="1">
        <v>40536</v>
      </c>
      <c r="B1045">
        <v>1511641.09</v>
      </c>
    </row>
    <row r="1046" spans="1:2" x14ac:dyDescent="0.25">
      <c r="A1046" s="1">
        <v>40543</v>
      </c>
      <c r="B1046">
        <v>773586.49</v>
      </c>
    </row>
    <row r="1047" spans="1:2" x14ac:dyDescent="0.25">
      <c r="A1047" s="1">
        <v>40550</v>
      </c>
      <c r="B1047">
        <v>873065.23</v>
      </c>
    </row>
    <row r="1048" spans="1:2" x14ac:dyDescent="0.25">
      <c r="A1048" s="1">
        <v>40557</v>
      </c>
      <c r="B1048">
        <v>809646.66</v>
      </c>
    </row>
    <row r="1049" spans="1:2" x14ac:dyDescent="0.25">
      <c r="A1049" s="1">
        <v>40564</v>
      </c>
      <c r="B1049">
        <v>822668.23</v>
      </c>
    </row>
    <row r="1050" spans="1:2" x14ac:dyDescent="0.25">
      <c r="A1050" s="1">
        <v>40571</v>
      </c>
      <c r="B1050">
        <v>782256.66</v>
      </c>
    </row>
    <row r="1051" spans="1:2" x14ac:dyDescent="0.25">
      <c r="A1051" s="1">
        <v>40578</v>
      </c>
      <c r="B1051">
        <v>944594.78</v>
      </c>
    </row>
    <row r="1052" spans="1:2" x14ac:dyDescent="0.25">
      <c r="A1052" s="1">
        <v>40585</v>
      </c>
      <c r="B1052">
        <v>996147.39</v>
      </c>
    </row>
    <row r="1053" spans="1:2" x14ac:dyDescent="0.25">
      <c r="A1053" s="1">
        <v>40592</v>
      </c>
      <c r="B1053">
        <v>1065108.6399999999</v>
      </c>
    </row>
    <row r="1054" spans="1:2" x14ac:dyDescent="0.25">
      <c r="A1054" s="1">
        <v>40599</v>
      </c>
      <c r="B1054">
        <v>917317.15</v>
      </c>
    </row>
    <row r="1055" spans="1:2" x14ac:dyDescent="0.25">
      <c r="A1055" s="1">
        <v>40606</v>
      </c>
      <c r="B1055">
        <v>935266.43</v>
      </c>
    </row>
    <row r="1056" spans="1:2" x14ac:dyDescent="0.25">
      <c r="A1056" s="1">
        <v>40613</v>
      </c>
      <c r="B1056">
        <v>900387.29</v>
      </c>
    </row>
    <row r="1057" spans="1:2" x14ac:dyDescent="0.25">
      <c r="A1057" s="1">
        <v>40620</v>
      </c>
      <c r="B1057">
        <v>898289.14</v>
      </c>
    </row>
    <row r="1058" spans="1:2" x14ac:dyDescent="0.25">
      <c r="A1058" s="1">
        <v>40627</v>
      </c>
      <c r="B1058">
        <v>827968.36</v>
      </c>
    </row>
    <row r="1059" spans="1:2" x14ac:dyDescent="0.25">
      <c r="A1059" s="1">
        <v>40634</v>
      </c>
      <c r="B1059">
        <v>878762.3</v>
      </c>
    </row>
    <row r="1060" spans="1:2" x14ac:dyDescent="0.25">
      <c r="A1060" s="1">
        <v>40641</v>
      </c>
      <c r="B1060">
        <v>949825.83</v>
      </c>
    </row>
    <row r="1061" spans="1:2" x14ac:dyDescent="0.25">
      <c r="A1061" s="1">
        <v>40648</v>
      </c>
      <c r="B1061">
        <v>908278.74</v>
      </c>
    </row>
    <row r="1062" spans="1:2" x14ac:dyDescent="0.25">
      <c r="A1062" s="1">
        <v>40655</v>
      </c>
      <c r="B1062">
        <v>937473.13</v>
      </c>
    </row>
    <row r="1063" spans="1:2" x14ac:dyDescent="0.25">
      <c r="A1063" s="1">
        <v>40662</v>
      </c>
      <c r="B1063">
        <v>855014.77</v>
      </c>
    </row>
    <row r="1064" spans="1:2" x14ac:dyDescent="0.25">
      <c r="A1064" s="1">
        <v>40669</v>
      </c>
      <c r="B1064">
        <v>941457.34</v>
      </c>
    </row>
    <row r="1065" spans="1:2" x14ac:dyDescent="0.25">
      <c r="A1065" s="1">
        <v>40676</v>
      </c>
      <c r="B1065">
        <v>895763.41</v>
      </c>
    </row>
    <row r="1066" spans="1:2" x14ac:dyDescent="0.25">
      <c r="A1066" s="1">
        <v>40683</v>
      </c>
      <c r="B1066">
        <v>836049.89</v>
      </c>
    </row>
    <row r="1067" spans="1:2" x14ac:dyDescent="0.25">
      <c r="A1067" s="1">
        <v>40690</v>
      </c>
      <c r="B1067">
        <v>857939.41</v>
      </c>
    </row>
    <row r="1068" spans="1:2" x14ac:dyDescent="0.25">
      <c r="A1068" s="1">
        <v>40697</v>
      </c>
      <c r="B1068">
        <v>929222.16</v>
      </c>
    </row>
    <row r="1069" spans="1:2" x14ac:dyDescent="0.25">
      <c r="A1069" s="1">
        <v>40704</v>
      </c>
      <c r="B1069">
        <v>897309.41</v>
      </c>
    </row>
    <row r="1070" spans="1:2" x14ac:dyDescent="0.25">
      <c r="A1070" s="1">
        <v>40711</v>
      </c>
      <c r="B1070">
        <v>922048.41</v>
      </c>
    </row>
    <row r="1071" spans="1:2" x14ac:dyDescent="0.25">
      <c r="A1071" s="1">
        <v>40718</v>
      </c>
      <c r="B1071">
        <v>864881.24</v>
      </c>
    </row>
    <row r="1072" spans="1:2" x14ac:dyDescent="0.25">
      <c r="A1072" s="1">
        <v>40725</v>
      </c>
      <c r="B1072">
        <v>883683.35</v>
      </c>
    </row>
    <row r="1073" spans="1:2" x14ac:dyDescent="0.25">
      <c r="A1073" s="1">
        <v>40732</v>
      </c>
      <c r="B1073">
        <v>861965.12</v>
      </c>
    </row>
    <row r="1074" spans="1:2" x14ac:dyDescent="0.25">
      <c r="A1074" s="1">
        <v>40739</v>
      </c>
      <c r="B1074">
        <v>849925.37</v>
      </c>
    </row>
    <row r="1075" spans="1:2" x14ac:dyDescent="0.25">
      <c r="A1075" s="1">
        <v>40746</v>
      </c>
      <c r="B1075">
        <v>829902.42</v>
      </c>
    </row>
    <row r="1076" spans="1:2" x14ac:dyDescent="0.25">
      <c r="A1076" s="1">
        <v>40753</v>
      </c>
      <c r="B1076">
        <v>807082.19</v>
      </c>
    </row>
    <row r="1077" spans="1:2" x14ac:dyDescent="0.25">
      <c r="A1077" s="1">
        <v>40760</v>
      </c>
      <c r="B1077">
        <v>892393.77</v>
      </c>
    </row>
    <row r="1078" spans="1:2" x14ac:dyDescent="0.25">
      <c r="A1078" s="1">
        <v>40767</v>
      </c>
      <c r="B1078">
        <v>856796.1</v>
      </c>
    </row>
    <row r="1079" spans="1:2" x14ac:dyDescent="0.25">
      <c r="A1079" s="1">
        <v>40774</v>
      </c>
      <c r="B1079">
        <v>895066.5</v>
      </c>
    </row>
    <row r="1080" spans="1:2" x14ac:dyDescent="0.25">
      <c r="A1080" s="1">
        <v>40781</v>
      </c>
      <c r="B1080">
        <v>912542.82</v>
      </c>
    </row>
    <row r="1081" spans="1:2" x14ac:dyDescent="0.25">
      <c r="A1081" s="1">
        <v>40788</v>
      </c>
      <c r="B1081">
        <v>891387.14</v>
      </c>
    </row>
    <row r="1082" spans="1:2" x14ac:dyDescent="0.25">
      <c r="A1082" s="1">
        <v>40795</v>
      </c>
      <c r="B1082">
        <v>848358.09</v>
      </c>
    </row>
    <row r="1083" spans="1:2" x14ac:dyDescent="0.25">
      <c r="A1083" s="1">
        <v>40802</v>
      </c>
      <c r="B1083">
        <v>870971.82</v>
      </c>
    </row>
    <row r="1084" spans="1:2" x14ac:dyDescent="0.25">
      <c r="A1084" s="1">
        <v>40809</v>
      </c>
      <c r="B1084">
        <v>806444.29</v>
      </c>
    </row>
    <row r="1085" spans="1:2" x14ac:dyDescent="0.25">
      <c r="A1085" s="1">
        <v>40816</v>
      </c>
      <c r="B1085">
        <v>809049.37</v>
      </c>
    </row>
    <row r="1086" spans="1:2" x14ac:dyDescent="0.25">
      <c r="A1086" s="1">
        <v>40823</v>
      </c>
      <c r="B1086">
        <v>929976.55</v>
      </c>
    </row>
    <row r="1087" spans="1:2" x14ac:dyDescent="0.25">
      <c r="A1087" s="1">
        <v>40830</v>
      </c>
      <c r="B1087">
        <v>863188.26</v>
      </c>
    </row>
    <row r="1088" spans="1:2" x14ac:dyDescent="0.25">
      <c r="A1088" s="1">
        <v>40837</v>
      </c>
      <c r="B1088">
        <v>905984.49</v>
      </c>
    </row>
    <row r="1089" spans="1:2" x14ac:dyDescent="0.25">
      <c r="A1089" s="1">
        <v>40844</v>
      </c>
      <c r="B1089">
        <v>876712.31</v>
      </c>
    </row>
    <row r="1090" spans="1:2" x14ac:dyDescent="0.25">
      <c r="A1090" s="1">
        <v>40851</v>
      </c>
      <c r="B1090">
        <v>947815.05</v>
      </c>
    </row>
    <row r="1091" spans="1:2" x14ac:dyDescent="0.25">
      <c r="A1091" s="1">
        <v>40858</v>
      </c>
      <c r="B1091">
        <v>917088.48</v>
      </c>
    </row>
    <row r="1092" spans="1:2" x14ac:dyDescent="0.25">
      <c r="A1092" s="1">
        <v>40865</v>
      </c>
      <c r="B1092">
        <v>897032.19</v>
      </c>
    </row>
    <row r="1093" spans="1:2" x14ac:dyDescent="0.25">
      <c r="A1093" s="1">
        <v>40872</v>
      </c>
      <c r="B1093">
        <v>1235163.8600000001</v>
      </c>
    </row>
    <row r="1094" spans="1:2" x14ac:dyDescent="0.25">
      <c r="A1094" s="1">
        <v>40879</v>
      </c>
      <c r="B1094">
        <v>986601.46</v>
      </c>
    </row>
    <row r="1095" spans="1:2" x14ac:dyDescent="0.25">
      <c r="A1095" s="1">
        <v>40886</v>
      </c>
      <c r="B1095">
        <v>1051922.95</v>
      </c>
    </row>
    <row r="1096" spans="1:2" x14ac:dyDescent="0.25">
      <c r="A1096" s="1">
        <v>40893</v>
      </c>
      <c r="B1096">
        <v>1118163.94</v>
      </c>
    </row>
    <row r="1097" spans="1:2" x14ac:dyDescent="0.25">
      <c r="A1097" s="1">
        <v>40900</v>
      </c>
      <c r="B1097">
        <v>1462254.05</v>
      </c>
    </row>
    <row r="1098" spans="1:2" x14ac:dyDescent="0.25">
      <c r="A1098" s="1">
        <v>40907</v>
      </c>
      <c r="B1098">
        <v>858572.22</v>
      </c>
    </row>
    <row r="1099" spans="1:2" x14ac:dyDescent="0.25">
      <c r="A1099" s="1">
        <v>40914</v>
      </c>
      <c r="B1099">
        <v>872113.23</v>
      </c>
    </row>
    <row r="1100" spans="1:2" x14ac:dyDescent="0.25">
      <c r="A1100" s="1">
        <v>40921</v>
      </c>
      <c r="B1100">
        <v>817661.76</v>
      </c>
    </row>
    <row r="1101" spans="1:2" x14ac:dyDescent="0.25">
      <c r="A1101" s="1">
        <v>40928</v>
      </c>
      <c r="B1101">
        <v>813954.82</v>
      </c>
    </row>
    <row r="1102" spans="1:2" x14ac:dyDescent="0.25">
      <c r="A1102" s="1">
        <v>40935</v>
      </c>
      <c r="B1102">
        <v>778178.53</v>
      </c>
    </row>
    <row r="1103" spans="1:2" x14ac:dyDescent="0.25">
      <c r="A1103" s="1">
        <v>40942</v>
      </c>
      <c r="B1103">
        <v>927610.69</v>
      </c>
    </row>
    <row r="1104" spans="1:2" x14ac:dyDescent="0.25">
      <c r="A1104" s="1">
        <v>40949</v>
      </c>
      <c r="B1104">
        <v>1021400.42</v>
      </c>
    </row>
    <row r="1105" spans="1:2" x14ac:dyDescent="0.25">
      <c r="A1105" s="1">
        <v>40956</v>
      </c>
      <c r="B1105">
        <v>1096232.8899999999</v>
      </c>
    </row>
    <row r="1106" spans="1:2" x14ac:dyDescent="0.25">
      <c r="A1106" s="1">
        <v>40963</v>
      </c>
      <c r="B1106">
        <v>928537.54</v>
      </c>
    </row>
    <row r="1107" spans="1:2" x14ac:dyDescent="0.25">
      <c r="A1107" s="1">
        <v>40970</v>
      </c>
      <c r="B1107">
        <v>952264.91</v>
      </c>
    </row>
    <row r="1108" spans="1:2" x14ac:dyDescent="0.25">
      <c r="A1108" s="1">
        <v>40977</v>
      </c>
      <c r="B1108">
        <v>960115.56</v>
      </c>
    </row>
    <row r="1109" spans="1:2" x14ac:dyDescent="0.25">
      <c r="A1109" s="1">
        <v>40984</v>
      </c>
      <c r="B1109">
        <v>921178.39</v>
      </c>
    </row>
    <row r="1110" spans="1:2" x14ac:dyDescent="0.25">
      <c r="A1110" s="1">
        <v>40991</v>
      </c>
      <c r="B1110">
        <v>874223.25</v>
      </c>
    </row>
    <row r="1111" spans="1:2" x14ac:dyDescent="0.25">
      <c r="A1111" s="1">
        <v>40998</v>
      </c>
      <c r="B1111">
        <v>905935.29</v>
      </c>
    </row>
    <row r="1112" spans="1:2" x14ac:dyDescent="0.25">
      <c r="A1112" s="1">
        <v>41005</v>
      </c>
      <c r="B1112">
        <v>1046816.59</v>
      </c>
    </row>
    <row r="1113" spans="1:2" x14ac:dyDescent="0.25">
      <c r="A1113" s="1">
        <v>41012</v>
      </c>
      <c r="B1113">
        <v>909989.45</v>
      </c>
    </row>
    <row r="1114" spans="1:2" x14ac:dyDescent="0.25">
      <c r="A1114" s="1">
        <v>41019</v>
      </c>
      <c r="B1114">
        <v>872288.46</v>
      </c>
    </row>
    <row r="1115" spans="1:2" x14ac:dyDescent="0.25">
      <c r="A1115" s="1">
        <v>41026</v>
      </c>
      <c r="B1115">
        <v>879448.25</v>
      </c>
    </row>
    <row r="1116" spans="1:2" x14ac:dyDescent="0.25">
      <c r="A1116" s="1">
        <v>41033</v>
      </c>
      <c r="B1116">
        <v>937232.09</v>
      </c>
    </row>
    <row r="1117" spans="1:2" x14ac:dyDescent="0.25">
      <c r="A1117" s="1">
        <v>41040</v>
      </c>
      <c r="B1117">
        <v>920128.89</v>
      </c>
    </row>
    <row r="1118" spans="1:2" x14ac:dyDescent="0.25">
      <c r="A1118" s="1">
        <v>41047</v>
      </c>
      <c r="B1118">
        <v>913922.01</v>
      </c>
    </row>
    <row r="1119" spans="1:2" x14ac:dyDescent="0.25">
      <c r="A1119" s="1">
        <v>41054</v>
      </c>
      <c r="B1119">
        <v>895157.44</v>
      </c>
    </row>
    <row r="1120" spans="1:2" x14ac:dyDescent="0.25">
      <c r="A1120" s="1">
        <v>41061</v>
      </c>
      <c r="B1120">
        <v>921161.2</v>
      </c>
    </row>
    <row r="1121" spans="1:2" x14ac:dyDescent="0.25">
      <c r="A1121" s="1">
        <v>41068</v>
      </c>
      <c r="B1121">
        <v>928820</v>
      </c>
    </row>
    <row r="1122" spans="1:2" x14ac:dyDescent="0.25">
      <c r="A1122" s="1">
        <v>41075</v>
      </c>
      <c r="B1122">
        <v>916918.7</v>
      </c>
    </row>
    <row r="1123" spans="1:2" x14ac:dyDescent="0.25">
      <c r="A1123" s="1">
        <v>41082</v>
      </c>
      <c r="B1123">
        <v>899449.65</v>
      </c>
    </row>
    <row r="1124" spans="1:2" x14ac:dyDescent="0.25">
      <c r="A1124" s="1">
        <v>41089</v>
      </c>
      <c r="B1124">
        <v>878298.22</v>
      </c>
    </row>
    <row r="1125" spans="1:2" x14ac:dyDescent="0.25">
      <c r="A1125" s="1">
        <v>41096</v>
      </c>
      <c r="B1125">
        <v>936205.5</v>
      </c>
    </row>
    <row r="1126" spans="1:2" x14ac:dyDescent="0.25">
      <c r="A1126" s="1">
        <v>41103</v>
      </c>
      <c r="B1126">
        <v>890488.01</v>
      </c>
    </row>
    <row r="1127" spans="1:2" x14ac:dyDescent="0.25">
      <c r="A1127" s="1">
        <v>41110</v>
      </c>
      <c r="B1127">
        <v>888834.07</v>
      </c>
    </row>
    <row r="1128" spans="1:2" x14ac:dyDescent="0.25">
      <c r="A1128" s="1">
        <v>41117</v>
      </c>
      <c r="B1128">
        <v>838227.52</v>
      </c>
    </row>
    <row r="1129" spans="1:2" x14ac:dyDescent="0.25">
      <c r="A1129" s="1">
        <v>41124</v>
      </c>
      <c r="B1129">
        <v>897076.73</v>
      </c>
    </row>
    <row r="1130" spans="1:2" x14ac:dyDescent="0.25">
      <c r="A1130" s="1">
        <v>41131</v>
      </c>
      <c r="B1130">
        <v>930745.69</v>
      </c>
    </row>
    <row r="1131" spans="1:2" x14ac:dyDescent="0.25">
      <c r="A1131" s="1">
        <v>41138</v>
      </c>
      <c r="B1131">
        <v>896613.19</v>
      </c>
    </row>
    <row r="1132" spans="1:2" x14ac:dyDescent="0.25">
      <c r="A1132" s="1">
        <v>41145</v>
      </c>
      <c r="B1132">
        <v>936373.65</v>
      </c>
    </row>
    <row r="1133" spans="1:2" x14ac:dyDescent="0.25">
      <c r="A1133" s="1">
        <v>41152</v>
      </c>
      <c r="B1133">
        <v>976137.73</v>
      </c>
    </row>
    <row r="1134" spans="1:2" x14ac:dyDescent="0.25">
      <c r="A1134" s="1">
        <v>41159</v>
      </c>
      <c r="B1134">
        <v>932160.37</v>
      </c>
    </row>
    <row r="1135" spans="1:2" x14ac:dyDescent="0.25">
      <c r="A1135" s="1">
        <v>41166</v>
      </c>
      <c r="B1135">
        <v>883569.38</v>
      </c>
    </row>
    <row r="1136" spans="1:2" x14ac:dyDescent="0.25">
      <c r="A1136" s="1">
        <v>41173</v>
      </c>
      <c r="B1136">
        <v>857796.45</v>
      </c>
    </row>
    <row r="1137" spans="1:2" x14ac:dyDescent="0.25">
      <c r="A1137" s="1">
        <v>41180</v>
      </c>
      <c r="B1137">
        <v>884724.41</v>
      </c>
    </row>
    <row r="1138" spans="1:2" x14ac:dyDescent="0.25">
      <c r="A1138" s="1">
        <v>41187</v>
      </c>
      <c r="B1138">
        <v>976436.02</v>
      </c>
    </row>
    <row r="1139" spans="1:2" x14ac:dyDescent="0.25">
      <c r="A1139" s="1">
        <v>41194</v>
      </c>
      <c r="B1139">
        <v>927511.99</v>
      </c>
    </row>
    <row r="1140" spans="1:2" x14ac:dyDescent="0.25">
      <c r="A1140" s="1">
        <v>41201</v>
      </c>
      <c r="B1140">
        <v>900309.75</v>
      </c>
    </row>
    <row r="1141" spans="1:2" x14ac:dyDescent="0.25">
      <c r="A1141" s="1">
        <v>41208</v>
      </c>
      <c r="B1141">
        <v>891671.44</v>
      </c>
    </row>
    <row r="1142" spans="1:2" x14ac:dyDescent="0.25">
      <c r="A1142" s="1">
        <v>40214</v>
      </c>
      <c r="B1142">
        <v>549505.55000000005</v>
      </c>
    </row>
    <row r="1143" spans="1:2" x14ac:dyDescent="0.25">
      <c r="A1143" s="1">
        <v>40221</v>
      </c>
      <c r="B1143">
        <v>552677.48</v>
      </c>
    </row>
    <row r="1144" spans="1:2" x14ac:dyDescent="0.25">
      <c r="A1144" s="1">
        <v>40228</v>
      </c>
      <c r="B1144">
        <v>511327.9</v>
      </c>
    </row>
    <row r="1145" spans="1:2" x14ac:dyDescent="0.25">
      <c r="A1145" s="1">
        <v>40235</v>
      </c>
      <c r="B1145">
        <v>473773.27</v>
      </c>
    </row>
    <row r="1146" spans="1:2" x14ac:dyDescent="0.25">
      <c r="A1146" s="1">
        <v>40242</v>
      </c>
      <c r="B1146">
        <v>507297.88</v>
      </c>
    </row>
    <row r="1147" spans="1:2" x14ac:dyDescent="0.25">
      <c r="A1147" s="1">
        <v>40249</v>
      </c>
      <c r="B1147">
        <v>494145.8</v>
      </c>
    </row>
    <row r="1148" spans="1:2" x14ac:dyDescent="0.25">
      <c r="A1148" s="1">
        <v>40256</v>
      </c>
      <c r="B1148">
        <v>485744.61</v>
      </c>
    </row>
    <row r="1149" spans="1:2" x14ac:dyDescent="0.25">
      <c r="A1149" s="1">
        <v>40263</v>
      </c>
      <c r="B1149">
        <v>484946.56</v>
      </c>
    </row>
    <row r="1150" spans="1:2" x14ac:dyDescent="0.25">
      <c r="A1150" s="1">
        <v>40270</v>
      </c>
      <c r="B1150">
        <v>545206.31999999995</v>
      </c>
    </row>
    <row r="1151" spans="1:2" x14ac:dyDescent="0.25">
      <c r="A1151" s="1">
        <v>40277</v>
      </c>
      <c r="B1151">
        <v>529384.31000000006</v>
      </c>
    </row>
    <row r="1152" spans="1:2" x14ac:dyDescent="0.25">
      <c r="A1152" s="1">
        <v>40284</v>
      </c>
      <c r="B1152">
        <v>485764.32</v>
      </c>
    </row>
    <row r="1153" spans="1:2" x14ac:dyDescent="0.25">
      <c r="A1153" s="1">
        <v>40291</v>
      </c>
      <c r="B1153">
        <v>488683.57</v>
      </c>
    </row>
    <row r="1154" spans="1:2" x14ac:dyDescent="0.25">
      <c r="A1154" s="1">
        <v>40298</v>
      </c>
      <c r="B1154">
        <v>491723.42</v>
      </c>
    </row>
    <row r="1155" spans="1:2" x14ac:dyDescent="0.25">
      <c r="A1155" s="1">
        <v>40305</v>
      </c>
      <c r="B1155">
        <v>526128.61</v>
      </c>
    </row>
    <row r="1156" spans="1:2" x14ac:dyDescent="0.25">
      <c r="A1156" s="1">
        <v>40312</v>
      </c>
      <c r="B1156">
        <v>492792.8</v>
      </c>
    </row>
    <row r="1157" spans="1:2" x14ac:dyDescent="0.25">
      <c r="A1157" s="1">
        <v>40319</v>
      </c>
      <c r="B1157">
        <v>506274.94</v>
      </c>
    </row>
    <row r="1158" spans="1:2" x14ac:dyDescent="0.25">
      <c r="A1158" s="1">
        <v>40326</v>
      </c>
      <c r="B1158">
        <v>558143.53</v>
      </c>
    </row>
    <row r="1159" spans="1:2" x14ac:dyDescent="0.25">
      <c r="A1159" s="1">
        <v>40333</v>
      </c>
      <c r="B1159">
        <v>586061.46</v>
      </c>
    </row>
    <row r="1160" spans="1:2" x14ac:dyDescent="0.25">
      <c r="A1160" s="1">
        <v>40340</v>
      </c>
      <c r="B1160">
        <v>522715.68</v>
      </c>
    </row>
    <row r="1161" spans="1:2" x14ac:dyDescent="0.25">
      <c r="A1161" s="1">
        <v>40347</v>
      </c>
      <c r="B1161">
        <v>513073.87</v>
      </c>
    </row>
    <row r="1162" spans="1:2" x14ac:dyDescent="0.25">
      <c r="A1162" s="1">
        <v>40354</v>
      </c>
      <c r="B1162">
        <v>509263.28</v>
      </c>
    </row>
    <row r="1163" spans="1:2" x14ac:dyDescent="0.25">
      <c r="A1163" s="1">
        <v>40361</v>
      </c>
      <c r="B1163">
        <v>528832.54</v>
      </c>
    </row>
    <row r="1164" spans="1:2" x14ac:dyDescent="0.25">
      <c r="A1164" s="1">
        <v>40368</v>
      </c>
      <c r="B1164">
        <v>485389.15</v>
      </c>
    </row>
    <row r="1165" spans="1:2" x14ac:dyDescent="0.25">
      <c r="A1165" s="1">
        <v>40375</v>
      </c>
      <c r="B1165">
        <v>474030.51</v>
      </c>
    </row>
    <row r="1166" spans="1:2" x14ac:dyDescent="0.25">
      <c r="A1166" s="1">
        <v>40382</v>
      </c>
      <c r="B1166">
        <v>462676.5</v>
      </c>
    </row>
    <row r="1167" spans="1:2" x14ac:dyDescent="0.25">
      <c r="A1167" s="1">
        <v>40389</v>
      </c>
      <c r="B1167">
        <v>468675.19</v>
      </c>
    </row>
    <row r="1168" spans="1:2" x14ac:dyDescent="0.25">
      <c r="A1168" s="1">
        <v>40396</v>
      </c>
      <c r="B1168">
        <v>522815.45</v>
      </c>
    </row>
    <row r="1169" spans="1:2" x14ac:dyDescent="0.25">
      <c r="A1169" s="1">
        <v>40403</v>
      </c>
      <c r="B1169">
        <v>481897.98</v>
      </c>
    </row>
    <row r="1170" spans="1:2" x14ac:dyDescent="0.25">
      <c r="A1170" s="1">
        <v>40410</v>
      </c>
      <c r="B1170">
        <v>499325.38</v>
      </c>
    </row>
    <row r="1171" spans="1:2" x14ac:dyDescent="0.25">
      <c r="A1171" s="1">
        <v>40417</v>
      </c>
      <c r="B1171">
        <v>506789.66</v>
      </c>
    </row>
    <row r="1172" spans="1:2" x14ac:dyDescent="0.25">
      <c r="A1172" s="1">
        <v>40424</v>
      </c>
      <c r="B1172">
        <v>511049.06</v>
      </c>
    </row>
    <row r="1173" spans="1:2" x14ac:dyDescent="0.25">
      <c r="A1173" s="1">
        <v>40431</v>
      </c>
      <c r="B1173">
        <v>484835.2</v>
      </c>
    </row>
    <row r="1174" spans="1:2" x14ac:dyDescent="0.25">
      <c r="A1174" s="1">
        <v>40438</v>
      </c>
      <c r="B1174">
        <v>463448.59</v>
      </c>
    </row>
    <row r="1175" spans="1:2" x14ac:dyDescent="0.25">
      <c r="A1175" s="1">
        <v>40445</v>
      </c>
      <c r="B1175">
        <v>452905.22</v>
      </c>
    </row>
    <row r="1176" spans="1:2" x14ac:dyDescent="0.25">
      <c r="A1176" s="1">
        <v>40452</v>
      </c>
      <c r="B1176">
        <v>495692.19</v>
      </c>
    </row>
    <row r="1177" spans="1:2" x14ac:dyDescent="0.25">
      <c r="A1177" s="1">
        <v>40459</v>
      </c>
      <c r="B1177">
        <v>505069.21</v>
      </c>
    </row>
    <row r="1178" spans="1:2" x14ac:dyDescent="0.25">
      <c r="A1178" s="1">
        <v>40466</v>
      </c>
      <c r="B1178">
        <v>454769.68</v>
      </c>
    </row>
    <row r="1179" spans="1:2" x14ac:dyDescent="0.25">
      <c r="A1179" s="1">
        <v>40473</v>
      </c>
      <c r="B1179">
        <v>466322.76</v>
      </c>
    </row>
    <row r="1180" spans="1:2" x14ac:dyDescent="0.25">
      <c r="A1180" s="1">
        <v>40480</v>
      </c>
      <c r="B1180">
        <v>508801.61</v>
      </c>
    </row>
    <row r="1181" spans="1:2" x14ac:dyDescent="0.25">
      <c r="A1181" s="1">
        <v>40487</v>
      </c>
      <c r="B1181">
        <v>517869.97</v>
      </c>
    </row>
    <row r="1182" spans="1:2" x14ac:dyDescent="0.25">
      <c r="A1182" s="1">
        <v>40494</v>
      </c>
      <c r="B1182">
        <v>520846.68</v>
      </c>
    </row>
    <row r="1183" spans="1:2" x14ac:dyDescent="0.25">
      <c r="A1183" s="1">
        <v>40501</v>
      </c>
      <c r="B1183">
        <v>519823.3</v>
      </c>
    </row>
    <row r="1184" spans="1:2" x14ac:dyDescent="0.25">
      <c r="A1184" s="1">
        <v>40508</v>
      </c>
      <c r="B1184">
        <v>768070.53</v>
      </c>
    </row>
    <row r="1185" spans="1:2" x14ac:dyDescent="0.25">
      <c r="A1185" s="1">
        <v>40515</v>
      </c>
      <c r="B1185">
        <v>578164.81999999995</v>
      </c>
    </row>
    <row r="1186" spans="1:2" x14ac:dyDescent="0.25">
      <c r="A1186" s="1">
        <v>40522</v>
      </c>
      <c r="B1186">
        <v>618121.81999999995</v>
      </c>
    </row>
    <row r="1187" spans="1:2" x14ac:dyDescent="0.25">
      <c r="A1187" s="1">
        <v>40529</v>
      </c>
      <c r="B1187">
        <v>685243.2</v>
      </c>
    </row>
    <row r="1188" spans="1:2" x14ac:dyDescent="0.25">
      <c r="A1188" s="1">
        <v>40536</v>
      </c>
      <c r="B1188">
        <v>873347.55</v>
      </c>
    </row>
    <row r="1189" spans="1:2" x14ac:dyDescent="0.25">
      <c r="A1189" s="1">
        <v>40543</v>
      </c>
      <c r="B1189">
        <v>459770.85</v>
      </c>
    </row>
    <row r="1190" spans="1:2" x14ac:dyDescent="0.25">
      <c r="A1190" s="1">
        <v>40550</v>
      </c>
      <c r="B1190">
        <v>490981.78</v>
      </c>
    </row>
    <row r="1191" spans="1:2" x14ac:dyDescent="0.25">
      <c r="A1191" s="1">
        <v>40557</v>
      </c>
      <c r="B1191">
        <v>458086.69</v>
      </c>
    </row>
    <row r="1192" spans="1:2" x14ac:dyDescent="0.25">
      <c r="A1192" s="1">
        <v>40564</v>
      </c>
      <c r="B1192">
        <v>454021.69</v>
      </c>
    </row>
    <row r="1193" spans="1:2" x14ac:dyDescent="0.25">
      <c r="A1193" s="1">
        <v>40571</v>
      </c>
      <c r="B1193">
        <v>463561.48</v>
      </c>
    </row>
    <row r="1194" spans="1:2" x14ac:dyDescent="0.25">
      <c r="A1194" s="1">
        <v>40578</v>
      </c>
      <c r="B1194">
        <v>544612.28</v>
      </c>
    </row>
    <row r="1195" spans="1:2" x14ac:dyDescent="0.25">
      <c r="A1195" s="1">
        <v>40585</v>
      </c>
      <c r="B1195">
        <v>555279.02</v>
      </c>
    </row>
    <row r="1196" spans="1:2" x14ac:dyDescent="0.25">
      <c r="A1196" s="1">
        <v>40592</v>
      </c>
      <c r="B1196">
        <v>610985.56000000006</v>
      </c>
    </row>
    <row r="1197" spans="1:2" x14ac:dyDescent="0.25">
      <c r="A1197" s="1">
        <v>40599</v>
      </c>
      <c r="B1197">
        <v>513107.20000000001</v>
      </c>
    </row>
    <row r="1198" spans="1:2" x14ac:dyDescent="0.25">
      <c r="A1198" s="1">
        <v>40606</v>
      </c>
      <c r="B1198">
        <v>542016.18000000005</v>
      </c>
    </row>
    <row r="1199" spans="1:2" x14ac:dyDescent="0.25">
      <c r="A1199" s="1">
        <v>40613</v>
      </c>
      <c r="B1199">
        <v>517783.5</v>
      </c>
    </row>
    <row r="1200" spans="1:2" x14ac:dyDescent="0.25">
      <c r="A1200" s="1">
        <v>40620</v>
      </c>
      <c r="B1200">
        <v>515226.11</v>
      </c>
    </row>
    <row r="1201" spans="1:2" x14ac:dyDescent="0.25">
      <c r="A1201" s="1">
        <v>40627</v>
      </c>
      <c r="B1201">
        <v>497488.4</v>
      </c>
    </row>
    <row r="1202" spans="1:2" x14ac:dyDescent="0.25">
      <c r="A1202" s="1">
        <v>40634</v>
      </c>
      <c r="B1202">
        <v>520962.14</v>
      </c>
    </row>
    <row r="1203" spans="1:2" x14ac:dyDescent="0.25">
      <c r="A1203" s="1">
        <v>40641</v>
      </c>
      <c r="B1203">
        <v>561625.92000000004</v>
      </c>
    </row>
    <row r="1204" spans="1:2" x14ac:dyDescent="0.25">
      <c r="A1204" s="1">
        <v>40648</v>
      </c>
      <c r="B1204">
        <v>528420.28</v>
      </c>
    </row>
    <row r="1205" spans="1:2" x14ac:dyDescent="0.25">
      <c r="A1205" s="1">
        <v>40655</v>
      </c>
      <c r="B1205">
        <v>549502.11</v>
      </c>
    </row>
    <row r="1206" spans="1:2" x14ac:dyDescent="0.25">
      <c r="A1206" s="1">
        <v>40662</v>
      </c>
      <c r="B1206">
        <v>532226.19999999995</v>
      </c>
    </row>
    <row r="1207" spans="1:2" x14ac:dyDescent="0.25">
      <c r="A1207" s="1">
        <v>40669</v>
      </c>
      <c r="B1207">
        <v>545251.1</v>
      </c>
    </row>
    <row r="1208" spans="1:2" x14ac:dyDescent="0.25">
      <c r="A1208" s="1">
        <v>40676</v>
      </c>
      <c r="B1208">
        <v>539126</v>
      </c>
    </row>
    <row r="1209" spans="1:2" x14ac:dyDescent="0.25">
      <c r="A1209" s="1">
        <v>40683</v>
      </c>
      <c r="B1209">
        <v>518266.9</v>
      </c>
    </row>
    <row r="1210" spans="1:2" x14ac:dyDescent="0.25">
      <c r="A1210" s="1">
        <v>40690</v>
      </c>
      <c r="B1210">
        <v>553834.04</v>
      </c>
    </row>
    <row r="1211" spans="1:2" x14ac:dyDescent="0.25">
      <c r="A1211" s="1">
        <v>40697</v>
      </c>
      <c r="B1211">
        <v>587004.29</v>
      </c>
    </row>
    <row r="1212" spans="1:2" x14ac:dyDescent="0.25">
      <c r="A1212" s="1">
        <v>40704</v>
      </c>
      <c r="B1212">
        <v>550076.31999999995</v>
      </c>
    </row>
    <row r="1213" spans="1:2" x14ac:dyDescent="0.25">
      <c r="A1213" s="1">
        <v>40711</v>
      </c>
      <c r="B1213">
        <v>558671.14</v>
      </c>
    </row>
    <row r="1214" spans="1:2" x14ac:dyDescent="0.25">
      <c r="A1214" s="1">
        <v>40718</v>
      </c>
      <c r="B1214">
        <v>538745.93000000005</v>
      </c>
    </row>
    <row r="1215" spans="1:2" x14ac:dyDescent="0.25">
      <c r="A1215" s="1">
        <v>40725</v>
      </c>
      <c r="B1215">
        <v>537064.03</v>
      </c>
    </row>
    <row r="1216" spans="1:2" x14ac:dyDescent="0.25">
      <c r="A1216" s="1">
        <v>40732</v>
      </c>
      <c r="B1216">
        <v>535983.13</v>
      </c>
    </row>
    <row r="1217" spans="1:2" x14ac:dyDescent="0.25">
      <c r="A1217" s="1">
        <v>40739</v>
      </c>
      <c r="B1217">
        <v>512834.04</v>
      </c>
    </row>
    <row r="1218" spans="1:2" x14ac:dyDescent="0.25">
      <c r="A1218" s="1">
        <v>40746</v>
      </c>
      <c r="B1218">
        <v>491449.94</v>
      </c>
    </row>
    <row r="1219" spans="1:2" x14ac:dyDescent="0.25">
      <c r="A1219" s="1">
        <v>40753</v>
      </c>
      <c r="B1219">
        <v>471449.98</v>
      </c>
    </row>
    <row r="1220" spans="1:2" x14ac:dyDescent="0.25">
      <c r="A1220" s="1">
        <v>40760</v>
      </c>
      <c r="B1220">
        <v>554879.67000000004</v>
      </c>
    </row>
    <row r="1221" spans="1:2" x14ac:dyDescent="0.25">
      <c r="A1221" s="1">
        <v>40767</v>
      </c>
      <c r="B1221">
        <v>520284.79</v>
      </c>
    </row>
    <row r="1222" spans="1:2" x14ac:dyDescent="0.25">
      <c r="A1222" s="1">
        <v>40774</v>
      </c>
      <c r="B1222">
        <v>540819.43999999994</v>
      </c>
    </row>
    <row r="1223" spans="1:2" x14ac:dyDescent="0.25">
      <c r="A1223" s="1">
        <v>40781</v>
      </c>
      <c r="B1223">
        <v>542663.53</v>
      </c>
    </row>
    <row r="1224" spans="1:2" x14ac:dyDescent="0.25">
      <c r="A1224" s="1">
        <v>40788</v>
      </c>
      <c r="B1224">
        <v>544643.32999999996</v>
      </c>
    </row>
    <row r="1225" spans="1:2" x14ac:dyDescent="0.25">
      <c r="A1225" s="1">
        <v>40795</v>
      </c>
      <c r="B1225">
        <v>528784.86</v>
      </c>
    </row>
    <row r="1226" spans="1:2" x14ac:dyDescent="0.25">
      <c r="A1226" s="1">
        <v>40802</v>
      </c>
      <c r="B1226">
        <v>500274.03</v>
      </c>
    </row>
    <row r="1227" spans="1:2" x14ac:dyDescent="0.25">
      <c r="A1227" s="1">
        <v>40809</v>
      </c>
      <c r="B1227">
        <v>506743.78</v>
      </c>
    </row>
    <row r="1228" spans="1:2" x14ac:dyDescent="0.25">
      <c r="A1228" s="1">
        <v>40816</v>
      </c>
      <c r="B1228">
        <v>508567.03999999998</v>
      </c>
    </row>
    <row r="1229" spans="1:2" x14ac:dyDescent="0.25">
      <c r="A1229" s="1">
        <v>40823</v>
      </c>
      <c r="B1229">
        <v>553836.98</v>
      </c>
    </row>
    <row r="1230" spans="1:2" x14ac:dyDescent="0.25">
      <c r="A1230" s="1">
        <v>40830</v>
      </c>
      <c r="B1230">
        <v>529515.66</v>
      </c>
    </row>
    <row r="1231" spans="1:2" x14ac:dyDescent="0.25">
      <c r="A1231" s="1">
        <v>40837</v>
      </c>
      <c r="B1231">
        <v>557075.21</v>
      </c>
    </row>
    <row r="1232" spans="1:2" x14ac:dyDescent="0.25">
      <c r="A1232" s="1">
        <v>40844</v>
      </c>
      <c r="B1232">
        <v>548527.49</v>
      </c>
    </row>
    <row r="1233" spans="1:2" x14ac:dyDescent="0.25">
      <c r="A1233" s="1">
        <v>40851</v>
      </c>
      <c r="B1233">
        <v>597855.06999999995</v>
      </c>
    </row>
    <row r="1234" spans="1:2" x14ac:dyDescent="0.25">
      <c r="A1234" s="1">
        <v>40858</v>
      </c>
      <c r="B1234">
        <v>594574.12</v>
      </c>
    </row>
    <row r="1235" spans="1:2" x14ac:dyDescent="0.25">
      <c r="A1235" s="1">
        <v>40865</v>
      </c>
      <c r="B1235">
        <v>542414.27</v>
      </c>
    </row>
    <row r="1236" spans="1:2" x14ac:dyDescent="0.25">
      <c r="A1236" s="1">
        <v>40872</v>
      </c>
      <c r="B1236">
        <v>814753.5</v>
      </c>
    </row>
    <row r="1237" spans="1:2" x14ac:dyDescent="0.25">
      <c r="A1237" s="1">
        <v>40879</v>
      </c>
      <c r="B1237">
        <v>613115.21</v>
      </c>
    </row>
    <row r="1238" spans="1:2" x14ac:dyDescent="0.25">
      <c r="A1238" s="1">
        <v>40886</v>
      </c>
      <c r="B1238">
        <v>630327.28</v>
      </c>
    </row>
    <row r="1239" spans="1:2" x14ac:dyDescent="0.25">
      <c r="A1239" s="1">
        <v>40893</v>
      </c>
      <c r="B1239">
        <v>705557.97</v>
      </c>
    </row>
    <row r="1240" spans="1:2" x14ac:dyDescent="0.25">
      <c r="A1240" s="1">
        <v>40900</v>
      </c>
      <c r="B1240">
        <v>905324.68</v>
      </c>
    </row>
    <row r="1241" spans="1:2" x14ac:dyDescent="0.25">
      <c r="A1241" s="1">
        <v>40907</v>
      </c>
      <c r="B1241">
        <v>549788.36</v>
      </c>
    </row>
    <row r="1242" spans="1:2" x14ac:dyDescent="0.25">
      <c r="A1242" s="1">
        <v>40914</v>
      </c>
      <c r="B1242">
        <v>519585.67</v>
      </c>
    </row>
    <row r="1243" spans="1:2" x14ac:dyDescent="0.25">
      <c r="A1243" s="1">
        <v>40921</v>
      </c>
      <c r="B1243">
        <v>474964.6</v>
      </c>
    </row>
    <row r="1244" spans="1:2" x14ac:dyDescent="0.25">
      <c r="A1244" s="1">
        <v>40928</v>
      </c>
      <c r="B1244">
        <v>480130.04</v>
      </c>
    </row>
    <row r="1245" spans="1:2" x14ac:dyDescent="0.25">
      <c r="A1245" s="1">
        <v>40935</v>
      </c>
      <c r="B1245">
        <v>482451.21</v>
      </c>
    </row>
    <row r="1246" spans="1:2" x14ac:dyDescent="0.25">
      <c r="A1246" s="1">
        <v>40942</v>
      </c>
      <c r="B1246">
        <v>549967.89</v>
      </c>
    </row>
    <row r="1247" spans="1:2" x14ac:dyDescent="0.25">
      <c r="A1247" s="1">
        <v>40949</v>
      </c>
      <c r="B1247">
        <v>609736.12</v>
      </c>
    </row>
    <row r="1248" spans="1:2" x14ac:dyDescent="0.25">
      <c r="A1248" s="1">
        <v>40956</v>
      </c>
      <c r="B1248">
        <v>658965.05000000005</v>
      </c>
    </row>
    <row r="1249" spans="1:2" x14ac:dyDescent="0.25">
      <c r="A1249" s="1">
        <v>40963</v>
      </c>
      <c r="B1249">
        <v>563578.79</v>
      </c>
    </row>
    <row r="1250" spans="1:2" x14ac:dyDescent="0.25">
      <c r="A1250" s="1">
        <v>40970</v>
      </c>
      <c r="B1250">
        <v>619498.28</v>
      </c>
    </row>
    <row r="1251" spans="1:2" x14ac:dyDescent="0.25">
      <c r="A1251" s="1">
        <v>40977</v>
      </c>
      <c r="B1251">
        <v>574955.94999999995</v>
      </c>
    </row>
    <row r="1252" spans="1:2" x14ac:dyDescent="0.25">
      <c r="A1252" s="1">
        <v>40984</v>
      </c>
      <c r="B1252">
        <v>550373.56999999995</v>
      </c>
    </row>
    <row r="1253" spans="1:2" x14ac:dyDescent="0.25">
      <c r="A1253" s="1">
        <v>40991</v>
      </c>
      <c r="B1253">
        <v>550791.31999999995</v>
      </c>
    </row>
    <row r="1254" spans="1:2" x14ac:dyDescent="0.25">
      <c r="A1254" s="1">
        <v>40998</v>
      </c>
      <c r="B1254">
        <v>574985.37</v>
      </c>
    </row>
    <row r="1255" spans="1:2" x14ac:dyDescent="0.25">
      <c r="A1255" s="1">
        <v>41005</v>
      </c>
      <c r="B1255">
        <v>677885.99</v>
      </c>
    </row>
    <row r="1256" spans="1:2" x14ac:dyDescent="0.25">
      <c r="A1256" s="1">
        <v>41012</v>
      </c>
      <c r="B1256">
        <v>578539.86</v>
      </c>
    </row>
    <row r="1257" spans="1:2" x14ac:dyDescent="0.25">
      <c r="A1257" s="1">
        <v>41019</v>
      </c>
      <c r="B1257">
        <v>542819.03</v>
      </c>
    </row>
    <row r="1258" spans="1:2" x14ac:dyDescent="0.25">
      <c r="A1258" s="1">
        <v>41026</v>
      </c>
      <c r="B1258">
        <v>550414.99</v>
      </c>
    </row>
    <row r="1259" spans="1:2" x14ac:dyDescent="0.25">
      <c r="A1259" s="1">
        <v>41033</v>
      </c>
      <c r="B1259">
        <v>586289.07999999996</v>
      </c>
    </row>
    <row r="1260" spans="1:2" x14ac:dyDescent="0.25">
      <c r="A1260" s="1">
        <v>41040</v>
      </c>
      <c r="B1260">
        <v>592572.30000000005</v>
      </c>
    </row>
    <row r="1261" spans="1:2" x14ac:dyDescent="0.25">
      <c r="A1261" s="1">
        <v>41047</v>
      </c>
      <c r="B1261">
        <v>571463.93000000005</v>
      </c>
    </row>
    <row r="1262" spans="1:2" x14ac:dyDescent="0.25">
      <c r="A1262" s="1">
        <v>41054</v>
      </c>
      <c r="B1262">
        <v>547226</v>
      </c>
    </row>
    <row r="1263" spans="1:2" x14ac:dyDescent="0.25">
      <c r="A1263" s="1">
        <v>41061</v>
      </c>
      <c r="B1263">
        <v>583648.59</v>
      </c>
    </row>
    <row r="1264" spans="1:2" x14ac:dyDescent="0.25">
      <c r="A1264" s="1">
        <v>41068</v>
      </c>
      <c r="B1264">
        <v>582525.42000000004</v>
      </c>
    </row>
    <row r="1265" spans="1:2" x14ac:dyDescent="0.25">
      <c r="A1265" s="1">
        <v>41075</v>
      </c>
      <c r="B1265">
        <v>564606.1</v>
      </c>
    </row>
    <row r="1266" spans="1:2" x14ac:dyDescent="0.25">
      <c r="A1266" s="1">
        <v>41082</v>
      </c>
      <c r="B1266">
        <v>562173.12</v>
      </c>
    </row>
    <row r="1267" spans="1:2" x14ac:dyDescent="0.25">
      <c r="A1267" s="1">
        <v>41089</v>
      </c>
      <c r="B1267">
        <v>544770.69999999995</v>
      </c>
    </row>
    <row r="1268" spans="1:2" x14ac:dyDescent="0.25">
      <c r="A1268" s="1">
        <v>41096</v>
      </c>
      <c r="B1268">
        <v>578790.36</v>
      </c>
    </row>
    <row r="1269" spans="1:2" x14ac:dyDescent="0.25">
      <c r="A1269" s="1">
        <v>41103</v>
      </c>
      <c r="B1269">
        <v>536537.64</v>
      </c>
    </row>
    <row r="1270" spans="1:2" x14ac:dyDescent="0.25">
      <c r="A1270" s="1">
        <v>41110</v>
      </c>
      <c r="B1270">
        <v>513991.57</v>
      </c>
    </row>
    <row r="1271" spans="1:2" x14ac:dyDescent="0.25">
      <c r="A1271" s="1">
        <v>41117</v>
      </c>
      <c r="B1271">
        <v>495951</v>
      </c>
    </row>
    <row r="1272" spans="1:2" x14ac:dyDescent="0.25">
      <c r="A1272" s="1">
        <v>41124</v>
      </c>
      <c r="B1272">
        <v>533887.54</v>
      </c>
    </row>
    <row r="1273" spans="1:2" x14ac:dyDescent="0.25">
      <c r="A1273" s="1">
        <v>41131</v>
      </c>
      <c r="B1273">
        <v>538713.47</v>
      </c>
    </row>
    <row r="1274" spans="1:2" x14ac:dyDescent="0.25">
      <c r="A1274" s="1">
        <v>41138</v>
      </c>
      <c r="B1274">
        <v>535153.47</v>
      </c>
    </row>
    <row r="1275" spans="1:2" x14ac:dyDescent="0.25">
      <c r="A1275" s="1">
        <v>41145</v>
      </c>
      <c r="B1275">
        <v>572887.78</v>
      </c>
    </row>
    <row r="1276" spans="1:2" x14ac:dyDescent="0.25">
      <c r="A1276" s="1">
        <v>41152</v>
      </c>
      <c r="B1276">
        <v>576879.15</v>
      </c>
    </row>
    <row r="1277" spans="1:2" x14ac:dyDescent="0.25">
      <c r="A1277" s="1">
        <v>41159</v>
      </c>
      <c r="B1277">
        <v>565812.29</v>
      </c>
    </row>
    <row r="1278" spans="1:2" x14ac:dyDescent="0.25">
      <c r="A1278" s="1">
        <v>41166</v>
      </c>
      <c r="B1278">
        <v>523427.35</v>
      </c>
    </row>
    <row r="1279" spans="1:2" x14ac:dyDescent="0.25">
      <c r="A1279" s="1">
        <v>41173</v>
      </c>
      <c r="B1279">
        <v>533756.88</v>
      </c>
    </row>
    <row r="1280" spans="1:2" x14ac:dyDescent="0.25">
      <c r="A1280" s="1">
        <v>41180</v>
      </c>
      <c r="B1280">
        <v>516361.06</v>
      </c>
    </row>
    <row r="1281" spans="1:2" x14ac:dyDescent="0.25">
      <c r="A1281" s="1">
        <v>41187</v>
      </c>
      <c r="B1281">
        <v>606755.30000000005</v>
      </c>
    </row>
    <row r="1282" spans="1:2" x14ac:dyDescent="0.25">
      <c r="A1282" s="1">
        <v>41194</v>
      </c>
      <c r="B1282">
        <v>558464.80000000005</v>
      </c>
    </row>
    <row r="1283" spans="1:2" x14ac:dyDescent="0.25">
      <c r="A1283" s="1">
        <v>41201</v>
      </c>
      <c r="B1283">
        <v>542009.46</v>
      </c>
    </row>
    <row r="1284" spans="1:2" x14ac:dyDescent="0.25">
      <c r="A1284" s="1">
        <v>41208</v>
      </c>
      <c r="B1284">
        <v>549731.49</v>
      </c>
    </row>
    <row r="1285" spans="1:2" x14ac:dyDescent="0.25">
      <c r="A1285" s="1">
        <v>40214</v>
      </c>
      <c r="B1285">
        <v>2193048.75</v>
      </c>
    </row>
    <row r="1286" spans="1:2" x14ac:dyDescent="0.25">
      <c r="A1286" s="1">
        <v>40221</v>
      </c>
      <c r="B1286">
        <v>2176028.52</v>
      </c>
    </row>
    <row r="1287" spans="1:2" x14ac:dyDescent="0.25">
      <c r="A1287" s="1">
        <v>40228</v>
      </c>
      <c r="B1287">
        <v>2113432.58</v>
      </c>
    </row>
    <row r="1288" spans="1:2" x14ac:dyDescent="0.25">
      <c r="A1288" s="1">
        <v>40235</v>
      </c>
      <c r="B1288">
        <v>2006774.96</v>
      </c>
    </row>
    <row r="1289" spans="1:2" x14ac:dyDescent="0.25">
      <c r="A1289" s="1">
        <v>40242</v>
      </c>
      <c r="B1289">
        <v>1987090.09</v>
      </c>
    </row>
    <row r="1290" spans="1:2" x14ac:dyDescent="0.25">
      <c r="A1290" s="1">
        <v>40249</v>
      </c>
      <c r="B1290">
        <v>1941346.13</v>
      </c>
    </row>
    <row r="1291" spans="1:2" x14ac:dyDescent="0.25">
      <c r="A1291" s="1">
        <v>40256</v>
      </c>
      <c r="B1291">
        <v>1946875.06</v>
      </c>
    </row>
    <row r="1292" spans="1:2" x14ac:dyDescent="0.25">
      <c r="A1292" s="1">
        <v>40263</v>
      </c>
      <c r="B1292">
        <v>1893532.46</v>
      </c>
    </row>
    <row r="1293" spans="1:2" x14ac:dyDescent="0.25">
      <c r="A1293" s="1">
        <v>40270</v>
      </c>
      <c r="B1293">
        <v>2138651.9700000002</v>
      </c>
    </row>
    <row r="1294" spans="1:2" x14ac:dyDescent="0.25">
      <c r="A1294" s="1">
        <v>40277</v>
      </c>
      <c r="B1294">
        <v>2041069.37</v>
      </c>
    </row>
    <row r="1295" spans="1:2" x14ac:dyDescent="0.25">
      <c r="A1295" s="1">
        <v>40284</v>
      </c>
      <c r="B1295">
        <v>1826241.44</v>
      </c>
    </row>
    <row r="1296" spans="1:2" x14ac:dyDescent="0.25">
      <c r="A1296" s="1">
        <v>40291</v>
      </c>
      <c r="B1296">
        <v>1829521.83</v>
      </c>
    </row>
    <row r="1297" spans="1:2" x14ac:dyDescent="0.25">
      <c r="A1297" s="1">
        <v>40298</v>
      </c>
      <c r="B1297">
        <v>1790694.59</v>
      </c>
    </row>
    <row r="1298" spans="1:2" x14ac:dyDescent="0.25">
      <c r="A1298" s="1">
        <v>40305</v>
      </c>
      <c r="B1298">
        <v>1921432.16</v>
      </c>
    </row>
    <row r="1299" spans="1:2" x14ac:dyDescent="0.25">
      <c r="A1299" s="1">
        <v>40312</v>
      </c>
      <c r="B1299">
        <v>1808056.41</v>
      </c>
    </row>
    <row r="1300" spans="1:2" x14ac:dyDescent="0.25">
      <c r="A1300" s="1">
        <v>40319</v>
      </c>
      <c r="B1300">
        <v>1847613.58</v>
      </c>
    </row>
    <row r="1301" spans="1:2" x14ac:dyDescent="0.25">
      <c r="A1301" s="1">
        <v>40326</v>
      </c>
      <c r="B1301">
        <v>1904618.17</v>
      </c>
    </row>
    <row r="1302" spans="1:2" x14ac:dyDescent="0.25">
      <c r="A1302" s="1">
        <v>40333</v>
      </c>
      <c r="B1302">
        <v>1931406.28</v>
      </c>
    </row>
    <row r="1303" spans="1:2" x14ac:dyDescent="0.25">
      <c r="A1303" s="1">
        <v>40340</v>
      </c>
      <c r="B1303">
        <v>1827521.71</v>
      </c>
    </row>
    <row r="1304" spans="1:2" x14ac:dyDescent="0.25">
      <c r="A1304" s="1">
        <v>40347</v>
      </c>
      <c r="B1304">
        <v>1837636.24</v>
      </c>
    </row>
    <row r="1305" spans="1:2" x14ac:dyDescent="0.25">
      <c r="A1305" s="1">
        <v>40354</v>
      </c>
      <c r="B1305">
        <v>1768172.31</v>
      </c>
    </row>
    <row r="1306" spans="1:2" x14ac:dyDescent="0.25">
      <c r="A1306" s="1">
        <v>40361</v>
      </c>
      <c r="B1306">
        <v>1845893.87</v>
      </c>
    </row>
    <row r="1307" spans="1:2" x14ac:dyDescent="0.25">
      <c r="A1307" s="1">
        <v>40368</v>
      </c>
      <c r="B1307">
        <v>1769793.37</v>
      </c>
    </row>
    <row r="1308" spans="1:2" x14ac:dyDescent="0.25">
      <c r="A1308" s="1">
        <v>40375</v>
      </c>
      <c r="B1308">
        <v>1828052.47</v>
      </c>
    </row>
    <row r="1309" spans="1:2" x14ac:dyDescent="0.25">
      <c r="A1309" s="1">
        <v>40382</v>
      </c>
      <c r="B1309">
        <v>1831676.03</v>
      </c>
    </row>
    <row r="1310" spans="1:2" x14ac:dyDescent="0.25">
      <c r="A1310" s="1">
        <v>40389</v>
      </c>
      <c r="B1310">
        <v>1832664.03</v>
      </c>
    </row>
    <row r="1311" spans="1:2" x14ac:dyDescent="0.25">
      <c r="A1311" s="1">
        <v>40396</v>
      </c>
      <c r="B1311">
        <v>1949236.09</v>
      </c>
    </row>
    <row r="1312" spans="1:2" x14ac:dyDescent="0.25">
      <c r="A1312" s="1">
        <v>40403</v>
      </c>
      <c r="B1312">
        <v>1962996.7</v>
      </c>
    </row>
    <row r="1313" spans="1:2" x14ac:dyDescent="0.25">
      <c r="A1313" s="1">
        <v>40410</v>
      </c>
      <c r="B1313">
        <v>1983190.56</v>
      </c>
    </row>
    <row r="1314" spans="1:2" x14ac:dyDescent="0.25">
      <c r="A1314" s="1">
        <v>40417</v>
      </c>
      <c r="B1314">
        <v>1727565.42</v>
      </c>
    </row>
    <row r="1315" spans="1:2" x14ac:dyDescent="0.25">
      <c r="A1315" s="1">
        <v>40424</v>
      </c>
      <c r="B1315">
        <v>1766331.45</v>
      </c>
    </row>
    <row r="1316" spans="1:2" x14ac:dyDescent="0.25">
      <c r="A1316" s="1">
        <v>40431</v>
      </c>
      <c r="B1316">
        <v>1720530.23</v>
      </c>
    </row>
    <row r="1317" spans="1:2" x14ac:dyDescent="0.25">
      <c r="A1317" s="1">
        <v>40438</v>
      </c>
      <c r="B1317">
        <v>1716755.78</v>
      </c>
    </row>
    <row r="1318" spans="1:2" x14ac:dyDescent="0.25">
      <c r="A1318" s="1">
        <v>40445</v>
      </c>
      <c r="B1318">
        <v>1655036.75</v>
      </c>
    </row>
    <row r="1319" spans="1:2" x14ac:dyDescent="0.25">
      <c r="A1319" s="1">
        <v>40452</v>
      </c>
      <c r="B1319">
        <v>1645892.97</v>
      </c>
    </row>
    <row r="1320" spans="1:2" x14ac:dyDescent="0.25">
      <c r="A1320" s="1">
        <v>40459</v>
      </c>
      <c r="B1320">
        <v>1772192.42</v>
      </c>
    </row>
    <row r="1321" spans="1:2" x14ac:dyDescent="0.25">
      <c r="A1321" s="1">
        <v>40466</v>
      </c>
      <c r="B1321">
        <v>1703850.25</v>
      </c>
    </row>
    <row r="1322" spans="1:2" x14ac:dyDescent="0.25">
      <c r="A1322" s="1">
        <v>40473</v>
      </c>
      <c r="B1322">
        <v>1740234.06</v>
      </c>
    </row>
    <row r="1323" spans="1:2" x14ac:dyDescent="0.25">
      <c r="A1323" s="1">
        <v>40480</v>
      </c>
      <c r="B1323">
        <v>1741308.56</v>
      </c>
    </row>
    <row r="1324" spans="1:2" x14ac:dyDescent="0.25">
      <c r="A1324" s="1">
        <v>40487</v>
      </c>
      <c r="B1324">
        <v>1832211.96</v>
      </c>
    </row>
    <row r="1325" spans="1:2" x14ac:dyDescent="0.25">
      <c r="A1325" s="1">
        <v>40494</v>
      </c>
      <c r="B1325">
        <v>1895901.59</v>
      </c>
    </row>
    <row r="1326" spans="1:2" x14ac:dyDescent="0.25">
      <c r="A1326" s="1">
        <v>40501</v>
      </c>
      <c r="B1326">
        <v>1949177.13</v>
      </c>
    </row>
    <row r="1327" spans="1:2" x14ac:dyDescent="0.25">
      <c r="A1327" s="1">
        <v>40508</v>
      </c>
      <c r="B1327">
        <v>2939946.38</v>
      </c>
    </row>
    <row r="1328" spans="1:2" x14ac:dyDescent="0.25">
      <c r="A1328" s="1">
        <v>40515</v>
      </c>
      <c r="B1328">
        <v>2251206.64</v>
      </c>
    </row>
    <row r="1329" spans="1:2" x14ac:dyDescent="0.25">
      <c r="A1329" s="1">
        <v>40522</v>
      </c>
      <c r="B1329">
        <v>2411790.21</v>
      </c>
    </row>
    <row r="1330" spans="1:2" x14ac:dyDescent="0.25">
      <c r="A1330" s="1">
        <v>40529</v>
      </c>
      <c r="B1330">
        <v>2811646.85</v>
      </c>
    </row>
    <row r="1331" spans="1:2" x14ac:dyDescent="0.25">
      <c r="A1331" s="1">
        <v>40536</v>
      </c>
      <c r="B1331">
        <v>3749057.69</v>
      </c>
    </row>
    <row r="1332" spans="1:2" x14ac:dyDescent="0.25">
      <c r="A1332" s="1">
        <v>40543</v>
      </c>
      <c r="B1332">
        <v>1707298.14</v>
      </c>
    </row>
    <row r="1333" spans="1:2" x14ac:dyDescent="0.25">
      <c r="A1333" s="1">
        <v>40550</v>
      </c>
      <c r="B1333">
        <v>1714309.9</v>
      </c>
    </row>
    <row r="1334" spans="1:2" x14ac:dyDescent="0.25">
      <c r="A1334" s="1">
        <v>40557</v>
      </c>
      <c r="B1334">
        <v>1710803.59</v>
      </c>
    </row>
    <row r="1335" spans="1:2" x14ac:dyDescent="0.25">
      <c r="A1335" s="1">
        <v>40564</v>
      </c>
      <c r="B1335">
        <v>1677556.18</v>
      </c>
    </row>
    <row r="1336" spans="1:2" x14ac:dyDescent="0.25">
      <c r="A1336" s="1">
        <v>40571</v>
      </c>
      <c r="B1336">
        <v>1715769.05</v>
      </c>
    </row>
    <row r="1337" spans="1:2" x14ac:dyDescent="0.25">
      <c r="A1337" s="1">
        <v>40578</v>
      </c>
      <c r="B1337">
        <v>1968045.91</v>
      </c>
    </row>
    <row r="1338" spans="1:2" x14ac:dyDescent="0.25">
      <c r="A1338" s="1">
        <v>40585</v>
      </c>
      <c r="B1338">
        <v>2115408.31</v>
      </c>
    </row>
    <row r="1339" spans="1:2" x14ac:dyDescent="0.25">
      <c r="A1339" s="1">
        <v>40592</v>
      </c>
      <c r="B1339">
        <v>2106934.5499999998</v>
      </c>
    </row>
    <row r="1340" spans="1:2" x14ac:dyDescent="0.25">
      <c r="A1340" s="1">
        <v>40599</v>
      </c>
      <c r="B1340">
        <v>1967996.71</v>
      </c>
    </row>
    <row r="1341" spans="1:2" x14ac:dyDescent="0.25">
      <c r="A1341" s="1">
        <v>40606</v>
      </c>
      <c r="B1341">
        <v>1958003.19</v>
      </c>
    </row>
    <row r="1342" spans="1:2" x14ac:dyDescent="0.25">
      <c r="A1342" s="1">
        <v>40613</v>
      </c>
      <c r="B1342">
        <v>1933469.15</v>
      </c>
    </row>
    <row r="1343" spans="1:2" x14ac:dyDescent="0.25">
      <c r="A1343" s="1">
        <v>40620</v>
      </c>
      <c r="B1343">
        <v>1884734.31</v>
      </c>
    </row>
    <row r="1344" spans="1:2" x14ac:dyDescent="0.25">
      <c r="A1344" s="1">
        <v>40627</v>
      </c>
      <c r="B1344">
        <v>1815798.85</v>
      </c>
    </row>
    <row r="1345" spans="1:2" x14ac:dyDescent="0.25">
      <c r="A1345" s="1">
        <v>40634</v>
      </c>
      <c r="B1345">
        <v>1827733.18</v>
      </c>
    </row>
    <row r="1346" spans="1:2" x14ac:dyDescent="0.25">
      <c r="A1346" s="1">
        <v>40641</v>
      </c>
      <c r="B1346">
        <v>1870720.73</v>
      </c>
    </row>
    <row r="1347" spans="1:2" x14ac:dyDescent="0.25">
      <c r="A1347" s="1">
        <v>40648</v>
      </c>
      <c r="B1347">
        <v>1781767.22</v>
      </c>
    </row>
    <row r="1348" spans="1:2" x14ac:dyDescent="0.25">
      <c r="A1348" s="1">
        <v>40655</v>
      </c>
      <c r="B1348">
        <v>2004831.14</v>
      </c>
    </row>
    <row r="1349" spans="1:2" x14ac:dyDescent="0.25">
      <c r="A1349" s="1">
        <v>40662</v>
      </c>
      <c r="B1349">
        <v>1873646.34</v>
      </c>
    </row>
    <row r="1350" spans="1:2" x14ac:dyDescent="0.25">
      <c r="A1350" s="1">
        <v>40669</v>
      </c>
      <c r="B1350">
        <v>1841369.99</v>
      </c>
    </row>
    <row r="1351" spans="1:2" x14ac:dyDescent="0.25">
      <c r="A1351" s="1">
        <v>40676</v>
      </c>
      <c r="B1351">
        <v>1712995.44</v>
      </c>
    </row>
    <row r="1352" spans="1:2" x14ac:dyDescent="0.25">
      <c r="A1352" s="1">
        <v>40683</v>
      </c>
      <c r="B1352">
        <v>1720908.01</v>
      </c>
    </row>
    <row r="1353" spans="1:2" x14ac:dyDescent="0.25">
      <c r="A1353" s="1">
        <v>40690</v>
      </c>
      <c r="B1353">
        <v>1743000.38</v>
      </c>
    </row>
    <row r="1354" spans="1:2" x14ac:dyDescent="0.25">
      <c r="A1354" s="1">
        <v>40697</v>
      </c>
      <c r="B1354">
        <v>1792210.89</v>
      </c>
    </row>
    <row r="1355" spans="1:2" x14ac:dyDescent="0.25">
      <c r="A1355" s="1">
        <v>40704</v>
      </c>
      <c r="B1355">
        <v>1740063.1</v>
      </c>
    </row>
    <row r="1356" spans="1:2" x14ac:dyDescent="0.25">
      <c r="A1356" s="1">
        <v>40711</v>
      </c>
      <c r="B1356">
        <v>1817934.76</v>
      </c>
    </row>
    <row r="1357" spans="1:2" x14ac:dyDescent="0.25">
      <c r="A1357" s="1">
        <v>40718</v>
      </c>
      <c r="B1357">
        <v>1711813.13</v>
      </c>
    </row>
    <row r="1358" spans="1:2" x14ac:dyDescent="0.25">
      <c r="A1358" s="1">
        <v>40725</v>
      </c>
      <c r="B1358">
        <v>1751369.75</v>
      </c>
    </row>
    <row r="1359" spans="1:2" x14ac:dyDescent="0.25">
      <c r="A1359" s="1">
        <v>40732</v>
      </c>
      <c r="B1359">
        <v>1699708.38</v>
      </c>
    </row>
    <row r="1360" spans="1:2" x14ac:dyDescent="0.25">
      <c r="A1360" s="1">
        <v>40739</v>
      </c>
      <c r="B1360">
        <v>1775068.4</v>
      </c>
    </row>
    <row r="1361" spans="1:2" x14ac:dyDescent="0.25">
      <c r="A1361" s="1">
        <v>40746</v>
      </c>
      <c r="B1361">
        <v>1774342.61</v>
      </c>
    </row>
    <row r="1362" spans="1:2" x14ac:dyDescent="0.25">
      <c r="A1362" s="1">
        <v>40753</v>
      </c>
      <c r="B1362">
        <v>1745841.33</v>
      </c>
    </row>
    <row r="1363" spans="1:2" x14ac:dyDescent="0.25">
      <c r="A1363" s="1">
        <v>40760</v>
      </c>
      <c r="B1363">
        <v>1886299.98</v>
      </c>
    </row>
    <row r="1364" spans="1:2" x14ac:dyDescent="0.25">
      <c r="A1364" s="1">
        <v>40767</v>
      </c>
      <c r="B1364">
        <v>1917397.63</v>
      </c>
    </row>
    <row r="1365" spans="1:2" x14ac:dyDescent="0.25">
      <c r="A1365" s="1">
        <v>40774</v>
      </c>
      <c r="B1365">
        <v>1954849.68</v>
      </c>
    </row>
    <row r="1366" spans="1:2" x14ac:dyDescent="0.25">
      <c r="A1366" s="1">
        <v>40781</v>
      </c>
      <c r="B1366">
        <v>1728399.07</v>
      </c>
    </row>
    <row r="1367" spans="1:2" x14ac:dyDescent="0.25">
      <c r="A1367" s="1">
        <v>40788</v>
      </c>
      <c r="B1367">
        <v>1758587.35</v>
      </c>
    </row>
    <row r="1368" spans="1:2" x14ac:dyDescent="0.25">
      <c r="A1368" s="1">
        <v>40795</v>
      </c>
      <c r="B1368">
        <v>1670579.82</v>
      </c>
    </row>
    <row r="1369" spans="1:2" x14ac:dyDescent="0.25">
      <c r="A1369" s="1">
        <v>40802</v>
      </c>
      <c r="B1369">
        <v>1650894.3</v>
      </c>
    </row>
    <row r="1370" spans="1:2" x14ac:dyDescent="0.25">
      <c r="A1370" s="1">
        <v>40809</v>
      </c>
      <c r="B1370">
        <v>1685910.53</v>
      </c>
    </row>
    <row r="1371" spans="1:2" x14ac:dyDescent="0.25">
      <c r="A1371" s="1">
        <v>40816</v>
      </c>
      <c r="B1371">
        <v>1627707.31</v>
      </c>
    </row>
    <row r="1372" spans="1:2" x14ac:dyDescent="0.25">
      <c r="A1372" s="1">
        <v>40823</v>
      </c>
      <c r="B1372">
        <v>1788227.6</v>
      </c>
    </row>
    <row r="1373" spans="1:2" x14ac:dyDescent="0.25">
      <c r="A1373" s="1">
        <v>40830</v>
      </c>
      <c r="B1373">
        <v>1704753.02</v>
      </c>
    </row>
    <row r="1374" spans="1:2" x14ac:dyDescent="0.25">
      <c r="A1374" s="1">
        <v>40837</v>
      </c>
      <c r="B1374">
        <v>1745928.56</v>
      </c>
    </row>
    <row r="1375" spans="1:2" x14ac:dyDescent="0.25">
      <c r="A1375" s="1">
        <v>40844</v>
      </c>
      <c r="B1375">
        <v>1771792.97</v>
      </c>
    </row>
    <row r="1376" spans="1:2" x14ac:dyDescent="0.25">
      <c r="A1376" s="1">
        <v>40851</v>
      </c>
      <c r="B1376">
        <v>1904438.59</v>
      </c>
    </row>
    <row r="1377" spans="1:2" x14ac:dyDescent="0.25">
      <c r="A1377" s="1">
        <v>40858</v>
      </c>
      <c r="B1377">
        <v>2076570.84</v>
      </c>
    </row>
    <row r="1378" spans="1:2" x14ac:dyDescent="0.25">
      <c r="A1378" s="1">
        <v>40865</v>
      </c>
      <c r="B1378">
        <v>1869087.85</v>
      </c>
    </row>
    <row r="1379" spans="1:2" x14ac:dyDescent="0.25">
      <c r="A1379" s="1">
        <v>40872</v>
      </c>
      <c r="B1379">
        <v>2950198.64</v>
      </c>
    </row>
    <row r="1380" spans="1:2" x14ac:dyDescent="0.25">
      <c r="A1380" s="1">
        <v>40879</v>
      </c>
      <c r="B1380">
        <v>2068097.18</v>
      </c>
    </row>
    <row r="1381" spans="1:2" x14ac:dyDescent="0.25">
      <c r="A1381" s="1">
        <v>40886</v>
      </c>
      <c r="B1381">
        <v>2429310.9</v>
      </c>
    </row>
    <row r="1382" spans="1:2" x14ac:dyDescent="0.25">
      <c r="A1382" s="1">
        <v>40893</v>
      </c>
      <c r="B1382">
        <v>2555031.1800000002</v>
      </c>
    </row>
    <row r="1383" spans="1:2" x14ac:dyDescent="0.25">
      <c r="A1383" s="1">
        <v>40900</v>
      </c>
      <c r="B1383">
        <v>3487986.89</v>
      </c>
    </row>
    <row r="1384" spans="1:2" x14ac:dyDescent="0.25">
      <c r="A1384" s="1">
        <v>40907</v>
      </c>
      <c r="B1384">
        <v>1930690.37</v>
      </c>
    </row>
    <row r="1385" spans="1:2" x14ac:dyDescent="0.25">
      <c r="A1385" s="1">
        <v>40914</v>
      </c>
      <c r="B1385">
        <v>1683401.78</v>
      </c>
    </row>
    <row r="1386" spans="1:2" x14ac:dyDescent="0.25">
      <c r="A1386" s="1">
        <v>40921</v>
      </c>
      <c r="B1386">
        <v>1711562.73</v>
      </c>
    </row>
    <row r="1387" spans="1:2" x14ac:dyDescent="0.25">
      <c r="A1387" s="1">
        <v>40928</v>
      </c>
      <c r="B1387">
        <v>1675562.94</v>
      </c>
    </row>
    <row r="1388" spans="1:2" x14ac:dyDescent="0.25">
      <c r="A1388" s="1">
        <v>40935</v>
      </c>
      <c r="B1388">
        <v>1632406</v>
      </c>
    </row>
    <row r="1389" spans="1:2" x14ac:dyDescent="0.25">
      <c r="A1389" s="1">
        <v>40942</v>
      </c>
      <c r="B1389">
        <v>1867403.01</v>
      </c>
    </row>
    <row r="1390" spans="1:2" x14ac:dyDescent="0.25">
      <c r="A1390" s="1">
        <v>40949</v>
      </c>
      <c r="B1390">
        <v>2218595.7999999998</v>
      </c>
    </row>
    <row r="1391" spans="1:2" x14ac:dyDescent="0.25">
      <c r="A1391" s="1">
        <v>40956</v>
      </c>
      <c r="B1391">
        <v>2168709.7599999998</v>
      </c>
    </row>
    <row r="1392" spans="1:2" x14ac:dyDescent="0.25">
      <c r="A1392" s="1">
        <v>40963</v>
      </c>
      <c r="B1392">
        <v>2039415.74</v>
      </c>
    </row>
    <row r="1393" spans="1:2" x14ac:dyDescent="0.25">
      <c r="A1393" s="1">
        <v>40970</v>
      </c>
      <c r="B1393">
        <v>1990371.02</v>
      </c>
    </row>
    <row r="1394" spans="1:2" x14ac:dyDescent="0.25">
      <c r="A1394" s="1">
        <v>40977</v>
      </c>
      <c r="B1394">
        <v>1917483.1</v>
      </c>
    </row>
    <row r="1395" spans="1:2" x14ac:dyDescent="0.25">
      <c r="A1395" s="1">
        <v>40984</v>
      </c>
      <c r="B1395">
        <v>1930814.66</v>
      </c>
    </row>
    <row r="1396" spans="1:2" x14ac:dyDescent="0.25">
      <c r="A1396" s="1">
        <v>40991</v>
      </c>
      <c r="B1396">
        <v>1837457.69</v>
      </c>
    </row>
    <row r="1397" spans="1:2" x14ac:dyDescent="0.25">
      <c r="A1397" s="1">
        <v>40998</v>
      </c>
      <c r="B1397">
        <v>1815760.42</v>
      </c>
    </row>
    <row r="1398" spans="1:2" x14ac:dyDescent="0.25">
      <c r="A1398" s="1">
        <v>41005</v>
      </c>
      <c r="B1398">
        <v>2163384.17</v>
      </c>
    </row>
    <row r="1399" spans="1:2" x14ac:dyDescent="0.25">
      <c r="A1399" s="1">
        <v>41012</v>
      </c>
      <c r="B1399">
        <v>1974687.51</v>
      </c>
    </row>
    <row r="1400" spans="1:2" x14ac:dyDescent="0.25">
      <c r="A1400" s="1">
        <v>41019</v>
      </c>
      <c r="B1400">
        <v>1777166.53</v>
      </c>
    </row>
    <row r="1401" spans="1:2" x14ac:dyDescent="0.25">
      <c r="A1401" s="1">
        <v>41026</v>
      </c>
      <c r="B1401">
        <v>1712987.56</v>
      </c>
    </row>
    <row r="1402" spans="1:2" x14ac:dyDescent="0.25">
      <c r="A1402" s="1">
        <v>41033</v>
      </c>
      <c r="B1402">
        <v>1821364.42</v>
      </c>
    </row>
    <row r="1403" spans="1:2" x14ac:dyDescent="0.25">
      <c r="A1403" s="1">
        <v>41040</v>
      </c>
      <c r="B1403">
        <v>1792345.3</v>
      </c>
    </row>
    <row r="1404" spans="1:2" x14ac:dyDescent="0.25">
      <c r="A1404" s="1">
        <v>41047</v>
      </c>
      <c r="B1404">
        <v>1795152.73</v>
      </c>
    </row>
    <row r="1405" spans="1:2" x14ac:dyDescent="0.25">
      <c r="A1405" s="1">
        <v>41054</v>
      </c>
      <c r="B1405">
        <v>1830939.1</v>
      </c>
    </row>
    <row r="1406" spans="1:2" x14ac:dyDescent="0.25">
      <c r="A1406" s="1">
        <v>41061</v>
      </c>
      <c r="B1406">
        <v>1767471.48</v>
      </c>
    </row>
    <row r="1407" spans="1:2" x14ac:dyDescent="0.25">
      <c r="A1407" s="1">
        <v>41068</v>
      </c>
      <c r="B1407">
        <v>1840491.41</v>
      </c>
    </row>
    <row r="1408" spans="1:2" x14ac:dyDescent="0.25">
      <c r="A1408" s="1">
        <v>41075</v>
      </c>
      <c r="B1408">
        <v>1811562.88</v>
      </c>
    </row>
    <row r="1409" spans="1:2" x14ac:dyDescent="0.25">
      <c r="A1409" s="1">
        <v>41082</v>
      </c>
      <c r="B1409">
        <v>1755334.18</v>
      </c>
    </row>
    <row r="1410" spans="1:2" x14ac:dyDescent="0.25">
      <c r="A1410" s="1">
        <v>41089</v>
      </c>
      <c r="B1410">
        <v>1707481.9</v>
      </c>
    </row>
    <row r="1411" spans="1:2" x14ac:dyDescent="0.25">
      <c r="A1411" s="1">
        <v>41096</v>
      </c>
      <c r="B1411">
        <v>1805999.79</v>
      </c>
    </row>
    <row r="1412" spans="1:2" x14ac:dyDescent="0.25">
      <c r="A1412" s="1">
        <v>41103</v>
      </c>
      <c r="B1412">
        <v>1765571.91</v>
      </c>
    </row>
    <row r="1413" spans="1:2" x14ac:dyDescent="0.25">
      <c r="A1413" s="1">
        <v>41110</v>
      </c>
      <c r="B1413">
        <v>1869967.03</v>
      </c>
    </row>
    <row r="1414" spans="1:2" x14ac:dyDescent="0.25">
      <c r="A1414" s="1">
        <v>41117</v>
      </c>
      <c r="B1414">
        <v>1817603.66</v>
      </c>
    </row>
    <row r="1415" spans="1:2" x14ac:dyDescent="0.25">
      <c r="A1415" s="1">
        <v>41124</v>
      </c>
      <c r="B1415">
        <v>1939440.09</v>
      </c>
    </row>
    <row r="1416" spans="1:2" x14ac:dyDescent="0.25">
      <c r="A1416" s="1">
        <v>41131</v>
      </c>
      <c r="B1416">
        <v>1880436.94</v>
      </c>
    </row>
    <row r="1417" spans="1:2" x14ac:dyDescent="0.25">
      <c r="A1417" s="1">
        <v>41138</v>
      </c>
      <c r="B1417">
        <v>1827797.4</v>
      </c>
    </row>
    <row r="1418" spans="1:2" x14ac:dyDescent="0.25">
      <c r="A1418" s="1">
        <v>41145</v>
      </c>
      <c r="B1418">
        <v>1764984.15</v>
      </c>
    </row>
    <row r="1419" spans="1:2" x14ac:dyDescent="0.25">
      <c r="A1419" s="1">
        <v>41152</v>
      </c>
      <c r="B1419">
        <v>1650285.54</v>
      </c>
    </row>
    <row r="1420" spans="1:2" x14ac:dyDescent="0.25">
      <c r="A1420" s="1">
        <v>41159</v>
      </c>
      <c r="B1420">
        <v>1708283.28</v>
      </c>
    </row>
    <row r="1421" spans="1:2" x14ac:dyDescent="0.25">
      <c r="A1421" s="1">
        <v>41166</v>
      </c>
      <c r="B1421">
        <v>1640168.99</v>
      </c>
    </row>
    <row r="1422" spans="1:2" x14ac:dyDescent="0.25">
      <c r="A1422" s="1">
        <v>41173</v>
      </c>
      <c r="B1422">
        <v>1671857.57</v>
      </c>
    </row>
    <row r="1423" spans="1:2" x14ac:dyDescent="0.25">
      <c r="A1423" s="1">
        <v>41180</v>
      </c>
      <c r="B1423">
        <v>1694862.41</v>
      </c>
    </row>
    <row r="1424" spans="1:2" x14ac:dyDescent="0.25">
      <c r="A1424" s="1">
        <v>41187</v>
      </c>
      <c r="B1424">
        <v>1758971.38</v>
      </c>
    </row>
    <row r="1425" spans="1:2" x14ac:dyDescent="0.25">
      <c r="A1425" s="1">
        <v>41194</v>
      </c>
      <c r="B1425">
        <v>1713889.11</v>
      </c>
    </row>
    <row r="1426" spans="1:2" x14ac:dyDescent="0.25">
      <c r="A1426" s="1">
        <v>41201</v>
      </c>
      <c r="B1426">
        <v>1734834.82</v>
      </c>
    </row>
    <row r="1427" spans="1:2" x14ac:dyDescent="0.25">
      <c r="A1427" s="1">
        <v>41208</v>
      </c>
      <c r="B1427">
        <v>1744349.05</v>
      </c>
    </row>
    <row r="1428" spans="1:2" x14ac:dyDescent="0.25">
      <c r="A1428" s="1">
        <v>40214</v>
      </c>
      <c r="B1428">
        <v>1528008.64</v>
      </c>
    </row>
    <row r="1429" spans="1:2" x14ac:dyDescent="0.25">
      <c r="A1429" s="1">
        <v>40221</v>
      </c>
      <c r="B1429">
        <v>1574684.08</v>
      </c>
    </row>
    <row r="1430" spans="1:2" x14ac:dyDescent="0.25">
      <c r="A1430" s="1">
        <v>40228</v>
      </c>
      <c r="B1430">
        <v>1503298.7</v>
      </c>
    </row>
    <row r="1431" spans="1:2" x14ac:dyDescent="0.25">
      <c r="A1431" s="1">
        <v>40235</v>
      </c>
      <c r="B1431">
        <v>1336404.6499999999</v>
      </c>
    </row>
    <row r="1432" spans="1:2" x14ac:dyDescent="0.25">
      <c r="A1432" s="1">
        <v>40242</v>
      </c>
      <c r="B1432">
        <v>1426622.65</v>
      </c>
    </row>
    <row r="1433" spans="1:2" x14ac:dyDescent="0.25">
      <c r="A1433" s="1">
        <v>40249</v>
      </c>
      <c r="B1433">
        <v>1331883.1599999999</v>
      </c>
    </row>
    <row r="1434" spans="1:2" x14ac:dyDescent="0.25">
      <c r="A1434" s="1">
        <v>40256</v>
      </c>
      <c r="B1434">
        <v>1364207</v>
      </c>
    </row>
    <row r="1435" spans="1:2" x14ac:dyDescent="0.25">
      <c r="A1435" s="1">
        <v>40263</v>
      </c>
      <c r="B1435">
        <v>1245624.27</v>
      </c>
    </row>
    <row r="1436" spans="1:2" x14ac:dyDescent="0.25">
      <c r="A1436" s="1">
        <v>40270</v>
      </c>
      <c r="B1436">
        <v>1446210.26</v>
      </c>
    </row>
    <row r="1437" spans="1:2" x14ac:dyDescent="0.25">
      <c r="A1437" s="1">
        <v>40277</v>
      </c>
      <c r="B1437">
        <v>1470308.32</v>
      </c>
    </row>
    <row r="1438" spans="1:2" x14ac:dyDescent="0.25">
      <c r="A1438" s="1">
        <v>40284</v>
      </c>
      <c r="B1438">
        <v>1323243.3500000001</v>
      </c>
    </row>
    <row r="1439" spans="1:2" x14ac:dyDescent="0.25">
      <c r="A1439" s="1">
        <v>40291</v>
      </c>
      <c r="B1439">
        <v>1283766.55</v>
      </c>
    </row>
    <row r="1440" spans="1:2" x14ac:dyDescent="0.25">
      <c r="A1440" s="1">
        <v>40298</v>
      </c>
      <c r="B1440">
        <v>1239766.8899999999</v>
      </c>
    </row>
    <row r="1441" spans="1:2" x14ac:dyDescent="0.25">
      <c r="A1441" s="1">
        <v>40305</v>
      </c>
      <c r="B1441">
        <v>1312329.78</v>
      </c>
    </row>
    <row r="1442" spans="1:2" x14ac:dyDescent="0.25">
      <c r="A1442" s="1">
        <v>40312</v>
      </c>
      <c r="B1442">
        <v>1266796.1299999999</v>
      </c>
    </row>
    <row r="1443" spans="1:2" x14ac:dyDescent="0.25">
      <c r="A1443" s="1">
        <v>40319</v>
      </c>
      <c r="B1443">
        <v>1271646.6200000001</v>
      </c>
    </row>
    <row r="1444" spans="1:2" x14ac:dyDescent="0.25">
      <c r="A1444" s="1">
        <v>40326</v>
      </c>
      <c r="B1444">
        <v>1264272.52</v>
      </c>
    </row>
    <row r="1445" spans="1:2" x14ac:dyDescent="0.25">
      <c r="A1445" s="1">
        <v>40333</v>
      </c>
      <c r="B1445">
        <v>1396322.19</v>
      </c>
    </row>
    <row r="1446" spans="1:2" x14ac:dyDescent="0.25">
      <c r="A1446" s="1">
        <v>40340</v>
      </c>
      <c r="B1446">
        <v>1339570.8500000001</v>
      </c>
    </row>
    <row r="1447" spans="1:2" x14ac:dyDescent="0.25">
      <c r="A1447" s="1">
        <v>40347</v>
      </c>
      <c r="B1447">
        <v>1336522.92</v>
      </c>
    </row>
    <row r="1448" spans="1:2" x14ac:dyDescent="0.25">
      <c r="A1448" s="1">
        <v>40354</v>
      </c>
      <c r="B1448">
        <v>1262025.08</v>
      </c>
    </row>
    <row r="1449" spans="1:2" x14ac:dyDescent="0.25">
      <c r="A1449" s="1">
        <v>40361</v>
      </c>
      <c r="B1449">
        <v>1302600.1399999999</v>
      </c>
    </row>
    <row r="1450" spans="1:2" x14ac:dyDescent="0.25">
      <c r="A1450" s="1">
        <v>40368</v>
      </c>
      <c r="B1450">
        <v>1280156.47</v>
      </c>
    </row>
    <row r="1451" spans="1:2" x14ac:dyDescent="0.25">
      <c r="A1451" s="1">
        <v>40375</v>
      </c>
      <c r="B1451">
        <v>1290609.54</v>
      </c>
    </row>
    <row r="1452" spans="1:2" x14ac:dyDescent="0.25">
      <c r="A1452" s="1">
        <v>40382</v>
      </c>
      <c r="B1452">
        <v>1244390.03</v>
      </c>
    </row>
    <row r="1453" spans="1:2" x14ac:dyDescent="0.25">
      <c r="A1453" s="1">
        <v>40389</v>
      </c>
      <c r="B1453">
        <v>1250178.8899999999</v>
      </c>
    </row>
    <row r="1454" spans="1:2" x14ac:dyDescent="0.25">
      <c r="A1454" s="1">
        <v>40396</v>
      </c>
      <c r="B1454">
        <v>1369634.92</v>
      </c>
    </row>
    <row r="1455" spans="1:2" x14ac:dyDescent="0.25">
      <c r="A1455" s="1">
        <v>40403</v>
      </c>
      <c r="B1455">
        <v>1384339.1</v>
      </c>
    </row>
    <row r="1456" spans="1:2" x14ac:dyDescent="0.25">
      <c r="A1456" s="1">
        <v>40410</v>
      </c>
      <c r="B1456">
        <v>1430192.37</v>
      </c>
    </row>
    <row r="1457" spans="1:2" x14ac:dyDescent="0.25">
      <c r="A1457" s="1">
        <v>40417</v>
      </c>
      <c r="B1457">
        <v>1311263.07</v>
      </c>
    </row>
    <row r="1458" spans="1:2" x14ac:dyDescent="0.25">
      <c r="A1458" s="1">
        <v>40424</v>
      </c>
      <c r="B1458">
        <v>1303914.27</v>
      </c>
    </row>
    <row r="1459" spans="1:2" x14ac:dyDescent="0.25">
      <c r="A1459" s="1">
        <v>40431</v>
      </c>
      <c r="B1459">
        <v>1231428.46</v>
      </c>
    </row>
    <row r="1460" spans="1:2" x14ac:dyDescent="0.25">
      <c r="A1460" s="1">
        <v>40438</v>
      </c>
      <c r="B1460">
        <v>1215676.31</v>
      </c>
    </row>
    <row r="1461" spans="1:2" x14ac:dyDescent="0.25">
      <c r="A1461" s="1">
        <v>40445</v>
      </c>
      <c r="B1461">
        <v>1170103.25</v>
      </c>
    </row>
    <row r="1462" spans="1:2" x14ac:dyDescent="0.25">
      <c r="A1462" s="1">
        <v>40452</v>
      </c>
      <c r="B1462">
        <v>1182490.46</v>
      </c>
    </row>
    <row r="1463" spans="1:2" x14ac:dyDescent="0.25">
      <c r="A1463" s="1">
        <v>40459</v>
      </c>
      <c r="B1463">
        <v>1293472.8</v>
      </c>
    </row>
    <row r="1464" spans="1:2" x14ac:dyDescent="0.25">
      <c r="A1464" s="1">
        <v>40466</v>
      </c>
      <c r="B1464">
        <v>1175003.67</v>
      </c>
    </row>
    <row r="1465" spans="1:2" x14ac:dyDescent="0.25">
      <c r="A1465" s="1">
        <v>40473</v>
      </c>
      <c r="B1465">
        <v>1169831.3799999999</v>
      </c>
    </row>
    <row r="1466" spans="1:2" x14ac:dyDescent="0.25">
      <c r="A1466" s="1">
        <v>40480</v>
      </c>
      <c r="B1466">
        <v>1195036</v>
      </c>
    </row>
    <row r="1467" spans="1:2" x14ac:dyDescent="0.25">
      <c r="A1467" s="1">
        <v>40487</v>
      </c>
      <c r="B1467">
        <v>1332759.1299999999</v>
      </c>
    </row>
    <row r="1468" spans="1:2" x14ac:dyDescent="0.25">
      <c r="A1468" s="1">
        <v>40494</v>
      </c>
      <c r="B1468">
        <v>1281675.6000000001</v>
      </c>
    </row>
    <row r="1469" spans="1:2" x14ac:dyDescent="0.25">
      <c r="A1469" s="1">
        <v>40501</v>
      </c>
      <c r="B1469">
        <v>1292346.57</v>
      </c>
    </row>
    <row r="1470" spans="1:2" x14ac:dyDescent="0.25">
      <c r="A1470" s="1">
        <v>40508</v>
      </c>
      <c r="B1470">
        <v>1757242.51</v>
      </c>
    </row>
    <row r="1471" spans="1:2" x14ac:dyDescent="0.25">
      <c r="A1471" s="1">
        <v>40515</v>
      </c>
      <c r="B1471">
        <v>1380522.64</v>
      </c>
    </row>
    <row r="1472" spans="1:2" x14ac:dyDescent="0.25">
      <c r="A1472" s="1">
        <v>40522</v>
      </c>
      <c r="B1472">
        <v>1564516.43</v>
      </c>
    </row>
    <row r="1473" spans="1:2" x14ac:dyDescent="0.25">
      <c r="A1473" s="1">
        <v>40529</v>
      </c>
      <c r="B1473">
        <v>1843971.15</v>
      </c>
    </row>
    <row r="1474" spans="1:2" x14ac:dyDescent="0.25">
      <c r="A1474" s="1">
        <v>40536</v>
      </c>
      <c r="B1474">
        <v>2306265.36</v>
      </c>
    </row>
    <row r="1475" spans="1:2" x14ac:dyDescent="0.25">
      <c r="A1475" s="1">
        <v>40543</v>
      </c>
      <c r="B1475">
        <v>1172003.1000000001</v>
      </c>
    </row>
    <row r="1476" spans="1:2" x14ac:dyDescent="0.25">
      <c r="A1476" s="1">
        <v>40550</v>
      </c>
      <c r="B1476">
        <v>1178905.44</v>
      </c>
    </row>
    <row r="1477" spans="1:2" x14ac:dyDescent="0.25">
      <c r="A1477" s="1">
        <v>40557</v>
      </c>
      <c r="B1477">
        <v>1194449.78</v>
      </c>
    </row>
    <row r="1478" spans="1:2" x14ac:dyDescent="0.25">
      <c r="A1478" s="1">
        <v>40564</v>
      </c>
      <c r="B1478">
        <v>1187776.19</v>
      </c>
    </row>
    <row r="1479" spans="1:2" x14ac:dyDescent="0.25">
      <c r="A1479" s="1">
        <v>40571</v>
      </c>
      <c r="B1479">
        <v>1100418.69</v>
      </c>
    </row>
    <row r="1480" spans="1:2" x14ac:dyDescent="0.25">
      <c r="A1480" s="1">
        <v>40578</v>
      </c>
      <c r="B1480">
        <v>1422546.05</v>
      </c>
    </row>
    <row r="1481" spans="1:2" x14ac:dyDescent="0.25">
      <c r="A1481" s="1">
        <v>40585</v>
      </c>
      <c r="B1481">
        <v>1419236.9</v>
      </c>
    </row>
    <row r="1482" spans="1:2" x14ac:dyDescent="0.25">
      <c r="A1482" s="1">
        <v>40592</v>
      </c>
      <c r="B1482">
        <v>1554747.15</v>
      </c>
    </row>
    <row r="1483" spans="1:2" x14ac:dyDescent="0.25">
      <c r="A1483" s="1">
        <v>40599</v>
      </c>
      <c r="B1483">
        <v>1323999.3600000001</v>
      </c>
    </row>
    <row r="1484" spans="1:2" x14ac:dyDescent="0.25">
      <c r="A1484" s="1">
        <v>40606</v>
      </c>
      <c r="B1484">
        <v>1399456.99</v>
      </c>
    </row>
    <row r="1485" spans="1:2" x14ac:dyDescent="0.25">
      <c r="A1485" s="1">
        <v>40613</v>
      </c>
      <c r="B1485">
        <v>1314557.31</v>
      </c>
    </row>
    <row r="1486" spans="1:2" x14ac:dyDescent="0.25">
      <c r="A1486" s="1">
        <v>40620</v>
      </c>
      <c r="B1486">
        <v>1391813.69</v>
      </c>
    </row>
    <row r="1487" spans="1:2" x14ac:dyDescent="0.25">
      <c r="A1487" s="1">
        <v>40627</v>
      </c>
      <c r="B1487">
        <v>1229777.24</v>
      </c>
    </row>
    <row r="1488" spans="1:2" x14ac:dyDescent="0.25">
      <c r="A1488" s="1">
        <v>40634</v>
      </c>
      <c r="B1488">
        <v>1258674.1200000001</v>
      </c>
    </row>
    <row r="1489" spans="1:2" x14ac:dyDescent="0.25">
      <c r="A1489" s="1">
        <v>40641</v>
      </c>
      <c r="B1489">
        <v>1327401.06</v>
      </c>
    </row>
    <row r="1490" spans="1:2" x14ac:dyDescent="0.25">
      <c r="A1490" s="1">
        <v>40648</v>
      </c>
      <c r="B1490">
        <v>1312905.8</v>
      </c>
    </row>
    <row r="1491" spans="1:2" x14ac:dyDescent="0.25">
      <c r="A1491" s="1">
        <v>40655</v>
      </c>
      <c r="B1491">
        <v>1388118.53</v>
      </c>
    </row>
    <row r="1492" spans="1:2" x14ac:dyDescent="0.25">
      <c r="A1492" s="1">
        <v>40662</v>
      </c>
      <c r="B1492">
        <v>1357589.89</v>
      </c>
    </row>
    <row r="1493" spans="1:2" x14ac:dyDescent="0.25">
      <c r="A1493" s="1">
        <v>40669</v>
      </c>
      <c r="B1493">
        <v>1331453.4099999999</v>
      </c>
    </row>
    <row r="1494" spans="1:2" x14ac:dyDescent="0.25">
      <c r="A1494" s="1">
        <v>40676</v>
      </c>
      <c r="B1494">
        <v>1277959.42</v>
      </c>
    </row>
    <row r="1495" spans="1:2" x14ac:dyDescent="0.25">
      <c r="A1495" s="1">
        <v>40683</v>
      </c>
      <c r="B1495">
        <v>1239466.97</v>
      </c>
    </row>
    <row r="1496" spans="1:2" x14ac:dyDescent="0.25">
      <c r="A1496" s="1">
        <v>40690</v>
      </c>
      <c r="B1496">
        <v>1216876.52</v>
      </c>
    </row>
    <row r="1497" spans="1:2" x14ac:dyDescent="0.25">
      <c r="A1497" s="1">
        <v>40697</v>
      </c>
      <c r="B1497">
        <v>1343637</v>
      </c>
    </row>
    <row r="1498" spans="1:2" x14ac:dyDescent="0.25">
      <c r="A1498" s="1">
        <v>40704</v>
      </c>
      <c r="B1498">
        <v>1314626.75</v>
      </c>
    </row>
    <row r="1499" spans="1:2" x14ac:dyDescent="0.25">
      <c r="A1499" s="1">
        <v>40711</v>
      </c>
      <c r="B1499">
        <v>1337506.74</v>
      </c>
    </row>
    <row r="1500" spans="1:2" x14ac:dyDescent="0.25">
      <c r="A1500" s="1">
        <v>40718</v>
      </c>
      <c r="B1500">
        <v>1254587.8400000001</v>
      </c>
    </row>
    <row r="1501" spans="1:2" x14ac:dyDescent="0.25">
      <c r="A1501" s="1">
        <v>40725</v>
      </c>
      <c r="B1501">
        <v>1297472.06</v>
      </c>
    </row>
    <row r="1502" spans="1:2" x14ac:dyDescent="0.25">
      <c r="A1502" s="1">
        <v>40732</v>
      </c>
      <c r="B1502">
        <v>1334627.96</v>
      </c>
    </row>
    <row r="1503" spans="1:2" x14ac:dyDescent="0.25">
      <c r="A1503" s="1">
        <v>40739</v>
      </c>
      <c r="B1503">
        <v>1266546.73</v>
      </c>
    </row>
    <row r="1504" spans="1:2" x14ac:dyDescent="0.25">
      <c r="A1504" s="1">
        <v>40746</v>
      </c>
      <c r="B1504">
        <v>1290576.44</v>
      </c>
    </row>
    <row r="1505" spans="1:2" x14ac:dyDescent="0.25">
      <c r="A1505" s="1">
        <v>40753</v>
      </c>
      <c r="B1505">
        <v>1212938.67</v>
      </c>
    </row>
    <row r="1506" spans="1:2" x14ac:dyDescent="0.25">
      <c r="A1506" s="1">
        <v>40760</v>
      </c>
      <c r="B1506">
        <v>1403198.94</v>
      </c>
    </row>
    <row r="1507" spans="1:2" x14ac:dyDescent="0.25">
      <c r="A1507" s="1">
        <v>40767</v>
      </c>
      <c r="B1507">
        <v>1354188.43</v>
      </c>
    </row>
    <row r="1508" spans="1:2" x14ac:dyDescent="0.25">
      <c r="A1508" s="1">
        <v>40774</v>
      </c>
      <c r="B1508">
        <v>1484169.74</v>
      </c>
    </row>
    <row r="1509" spans="1:2" x14ac:dyDescent="0.25">
      <c r="A1509" s="1">
        <v>40781</v>
      </c>
      <c r="B1509">
        <v>1304706.75</v>
      </c>
    </row>
    <row r="1510" spans="1:2" x14ac:dyDescent="0.25">
      <c r="A1510" s="1">
        <v>40788</v>
      </c>
      <c r="B1510">
        <v>1297792.4099999999</v>
      </c>
    </row>
    <row r="1511" spans="1:2" x14ac:dyDescent="0.25">
      <c r="A1511" s="1">
        <v>40795</v>
      </c>
      <c r="B1511">
        <v>1249439.95</v>
      </c>
    </row>
    <row r="1512" spans="1:2" x14ac:dyDescent="0.25">
      <c r="A1512" s="1">
        <v>40802</v>
      </c>
      <c r="B1512">
        <v>1270816.01</v>
      </c>
    </row>
    <row r="1513" spans="1:2" x14ac:dyDescent="0.25">
      <c r="A1513" s="1">
        <v>40809</v>
      </c>
      <c r="B1513">
        <v>1235775.1499999999</v>
      </c>
    </row>
    <row r="1514" spans="1:2" x14ac:dyDescent="0.25">
      <c r="A1514" s="1">
        <v>40816</v>
      </c>
      <c r="B1514">
        <v>1190515.83</v>
      </c>
    </row>
    <row r="1515" spans="1:2" x14ac:dyDescent="0.25">
      <c r="A1515" s="1">
        <v>40823</v>
      </c>
      <c r="B1515">
        <v>1346271.06</v>
      </c>
    </row>
    <row r="1516" spans="1:2" x14ac:dyDescent="0.25">
      <c r="A1516" s="1">
        <v>40830</v>
      </c>
      <c r="B1516">
        <v>1286388.96</v>
      </c>
    </row>
    <row r="1517" spans="1:2" x14ac:dyDescent="0.25">
      <c r="A1517" s="1">
        <v>40837</v>
      </c>
      <c r="B1517">
        <v>1325107.53</v>
      </c>
    </row>
    <row r="1518" spans="1:2" x14ac:dyDescent="0.25">
      <c r="A1518" s="1">
        <v>40844</v>
      </c>
      <c r="B1518">
        <v>1310684.1000000001</v>
      </c>
    </row>
    <row r="1519" spans="1:2" x14ac:dyDescent="0.25">
      <c r="A1519" s="1">
        <v>40851</v>
      </c>
      <c r="B1519">
        <v>1458287.38</v>
      </c>
    </row>
    <row r="1520" spans="1:2" x14ac:dyDescent="0.25">
      <c r="A1520" s="1">
        <v>40858</v>
      </c>
      <c r="B1520">
        <v>1366053.69</v>
      </c>
    </row>
    <row r="1521" spans="1:2" x14ac:dyDescent="0.25">
      <c r="A1521" s="1">
        <v>40865</v>
      </c>
      <c r="B1521">
        <v>1315091.6299999999</v>
      </c>
    </row>
    <row r="1522" spans="1:2" x14ac:dyDescent="0.25">
      <c r="A1522" s="1">
        <v>40872</v>
      </c>
      <c r="B1522">
        <v>1848953.48</v>
      </c>
    </row>
    <row r="1523" spans="1:2" x14ac:dyDescent="0.25">
      <c r="A1523" s="1">
        <v>40879</v>
      </c>
      <c r="B1523">
        <v>1399322.44</v>
      </c>
    </row>
    <row r="1524" spans="1:2" x14ac:dyDescent="0.25">
      <c r="A1524" s="1">
        <v>40886</v>
      </c>
      <c r="B1524">
        <v>1646655.94</v>
      </c>
    </row>
    <row r="1525" spans="1:2" x14ac:dyDescent="0.25">
      <c r="A1525" s="1">
        <v>40893</v>
      </c>
      <c r="B1525">
        <v>1783910.06</v>
      </c>
    </row>
    <row r="1526" spans="1:2" x14ac:dyDescent="0.25">
      <c r="A1526" s="1">
        <v>40900</v>
      </c>
      <c r="B1526">
        <v>2213518.5</v>
      </c>
    </row>
    <row r="1527" spans="1:2" x14ac:dyDescent="0.25">
      <c r="A1527" s="1">
        <v>40907</v>
      </c>
      <c r="B1527">
        <v>1352084.21</v>
      </c>
    </row>
    <row r="1528" spans="1:2" x14ac:dyDescent="0.25">
      <c r="A1528" s="1">
        <v>40914</v>
      </c>
      <c r="B1528">
        <v>1283885.55</v>
      </c>
    </row>
    <row r="1529" spans="1:2" x14ac:dyDescent="0.25">
      <c r="A1529" s="1">
        <v>40921</v>
      </c>
      <c r="B1529">
        <v>1264736.5900000001</v>
      </c>
    </row>
    <row r="1530" spans="1:2" x14ac:dyDescent="0.25">
      <c r="A1530" s="1">
        <v>40928</v>
      </c>
      <c r="B1530">
        <v>1207303.29</v>
      </c>
    </row>
    <row r="1531" spans="1:2" x14ac:dyDescent="0.25">
      <c r="A1531" s="1">
        <v>40935</v>
      </c>
      <c r="B1531">
        <v>1162675.8500000001</v>
      </c>
    </row>
    <row r="1532" spans="1:2" x14ac:dyDescent="0.25">
      <c r="A1532" s="1">
        <v>40942</v>
      </c>
      <c r="B1532">
        <v>1376732.18</v>
      </c>
    </row>
    <row r="1533" spans="1:2" x14ac:dyDescent="0.25">
      <c r="A1533" s="1">
        <v>40949</v>
      </c>
      <c r="B1533">
        <v>1574287.76</v>
      </c>
    </row>
    <row r="1534" spans="1:2" x14ac:dyDescent="0.25">
      <c r="A1534" s="1">
        <v>40956</v>
      </c>
      <c r="B1534">
        <v>1569607.94</v>
      </c>
    </row>
    <row r="1535" spans="1:2" x14ac:dyDescent="0.25">
      <c r="A1535" s="1">
        <v>40963</v>
      </c>
      <c r="B1535">
        <v>1379473.03</v>
      </c>
    </row>
    <row r="1536" spans="1:2" x14ac:dyDescent="0.25">
      <c r="A1536" s="1">
        <v>40970</v>
      </c>
      <c r="B1536">
        <v>1438383.44</v>
      </c>
    </row>
    <row r="1537" spans="1:2" x14ac:dyDescent="0.25">
      <c r="A1537" s="1">
        <v>40977</v>
      </c>
      <c r="B1537">
        <v>1413382.76</v>
      </c>
    </row>
    <row r="1538" spans="1:2" x14ac:dyDescent="0.25">
      <c r="A1538" s="1">
        <v>40984</v>
      </c>
      <c r="B1538">
        <v>1441884.28</v>
      </c>
    </row>
    <row r="1539" spans="1:2" x14ac:dyDescent="0.25">
      <c r="A1539" s="1">
        <v>40991</v>
      </c>
      <c r="B1539">
        <v>1300593.6100000001</v>
      </c>
    </row>
    <row r="1540" spans="1:2" x14ac:dyDescent="0.25">
      <c r="A1540" s="1">
        <v>40998</v>
      </c>
      <c r="B1540">
        <v>1300104.03</v>
      </c>
    </row>
    <row r="1541" spans="1:2" x14ac:dyDescent="0.25">
      <c r="A1541" s="1">
        <v>41005</v>
      </c>
      <c r="B1541">
        <v>1596325.01</v>
      </c>
    </row>
    <row r="1542" spans="1:2" x14ac:dyDescent="0.25">
      <c r="A1542" s="1">
        <v>41012</v>
      </c>
      <c r="B1542">
        <v>1472752.01</v>
      </c>
    </row>
    <row r="1543" spans="1:2" x14ac:dyDescent="0.25">
      <c r="A1543" s="1">
        <v>41019</v>
      </c>
      <c r="B1543">
        <v>1315356.99</v>
      </c>
    </row>
    <row r="1544" spans="1:2" x14ac:dyDescent="0.25">
      <c r="A1544" s="1">
        <v>41026</v>
      </c>
      <c r="B1544">
        <v>1236238.29</v>
      </c>
    </row>
    <row r="1545" spans="1:2" x14ac:dyDescent="0.25">
      <c r="A1545" s="1">
        <v>41033</v>
      </c>
      <c r="B1545">
        <v>1370251.22</v>
      </c>
    </row>
    <row r="1546" spans="1:2" x14ac:dyDescent="0.25">
      <c r="A1546" s="1">
        <v>41040</v>
      </c>
      <c r="B1546">
        <v>1300147.07</v>
      </c>
    </row>
    <row r="1547" spans="1:2" x14ac:dyDescent="0.25">
      <c r="A1547" s="1">
        <v>41047</v>
      </c>
      <c r="B1547">
        <v>1352442.31</v>
      </c>
    </row>
    <row r="1548" spans="1:2" x14ac:dyDescent="0.25">
      <c r="A1548" s="1">
        <v>41054</v>
      </c>
      <c r="B1548">
        <v>1297335.8700000001</v>
      </c>
    </row>
    <row r="1549" spans="1:2" x14ac:dyDescent="0.25">
      <c r="A1549" s="1">
        <v>41061</v>
      </c>
      <c r="B1549">
        <v>1361595.33</v>
      </c>
    </row>
    <row r="1550" spans="1:2" x14ac:dyDescent="0.25">
      <c r="A1550" s="1">
        <v>41068</v>
      </c>
      <c r="B1550">
        <v>1414343.53</v>
      </c>
    </row>
    <row r="1551" spans="1:2" x14ac:dyDescent="0.25">
      <c r="A1551" s="1">
        <v>41075</v>
      </c>
      <c r="B1551">
        <v>1417875.42</v>
      </c>
    </row>
    <row r="1552" spans="1:2" x14ac:dyDescent="0.25">
      <c r="A1552" s="1">
        <v>41082</v>
      </c>
      <c r="B1552">
        <v>1355680.3</v>
      </c>
    </row>
    <row r="1553" spans="1:2" x14ac:dyDescent="0.25">
      <c r="A1553" s="1">
        <v>41089</v>
      </c>
      <c r="B1553">
        <v>1297028.6000000001</v>
      </c>
    </row>
    <row r="1554" spans="1:2" x14ac:dyDescent="0.25">
      <c r="A1554" s="1">
        <v>41096</v>
      </c>
      <c r="B1554">
        <v>1461129.94</v>
      </c>
    </row>
    <row r="1555" spans="1:2" x14ac:dyDescent="0.25">
      <c r="A1555" s="1">
        <v>41103</v>
      </c>
      <c r="B1555">
        <v>1320239.51</v>
      </c>
    </row>
    <row r="1556" spans="1:2" x14ac:dyDescent="0.25">
      <c r="A1556" s="1">
        <v>41110</v>
      </c>
      <c r="B1556">
        <v>1344483.81</v>
      </c>
    </row>
    <row r="1557" spans="1:2" x14ac:dyDescent="0.25">
      <c r="A1557" s="1">
        <v>41117</v>
      </c>
      <c r="B1557">
        <v>1272395.02</v>
      </c>
    </row>
    <row r="1558" spans="1:2" x14ac:dyDescent="0.25">
      <c r="A1558" s="1">
        <v>41124</v>
      </c>
      <c r="B1558">
        <v>1399341.07</v>
      </c>
    </row>
    <row r="1559" spans="1:2" x14ac:dyDescent="0.25">
      <c r="A1559" s="1">
        <v>41131</v>
      </c>
      <c r="B1559">
        <v>1388973.65</v>
      </c>
    </row>
    <row r="1560" spans="1:2" x14ac:dyDescent="0.25">
      <c r="A1560" s="1">
        <v>41138</v>
      </c>
      <c r="B1560">
        <v>1421307.2</v>
      </c>
    </row>
    <row r="1561" spans="1:2" x14ac:dyDescent="0.25">
      <c r="A1561" s="1">
        <v>41145</v>
      </c>
      <c r="B1561">
        <v>1409515.73</v>
      </c>
    </row>
    <row r="1562" spans="1:2" x14ac:dyDescent="0.25">
      <c r="A1562" s="1">
        <v>41152</v>
      </c>
      <c r="B1562">
        <v>1372872.35</v>
      </c>
    </row>
    <row r="1563" spans="1:2" x14ac:dyDescent="0.25">
      <c r="A1563" s="1">
        <v>41159</v>
      </c>
      <c r="B1563">
        <v>1304584.3999999999</v>
      </c>
    </row>
    <row r="1564" spans="1:2" x14ac:dyDescent="0.25">
      <c r="A1564" s="1">
        <v>41166</v>
      </c>
      <c r="B1564">
        <v>1267675.05</v>
      </c>
    </row>
    <row r="1565" spans="1:2" x14ac:dyDescent="0.25">
      <c r="A1565" s="1">
        <v>41173</v>
      </c>
      <c r="B1565">
        <v>1326132.98</v>
      </c>
    </row>
    <row r="1566" spans="1:2" x14ac:dyDescent="0.25">
      <c r="A1566" s="1">
        <v>41180</v>
      </c>
      <c r="B1566">
        <v>1227430.73</v>
      </c>
    </row>
    <row r="1567" spans="1:2" x14ac:dyDescent="0.25">
      <c r="A1567" s="1">
        <v>41187</v>
      </c>
      <c r="B1567">
        <v>1422794.26</v>
      </c>
    </row>
    <row r="1568" spans="1:2" x14ac:dyDescent="0.25">
      <c r="A1568" s="1">
        <v>41194</v>
      </c>
      <c r="B1568">
        <v>1311965.0900000001</v>
      </c>
    </row>
    <row r="1569" spans="1:2" x14ac:dyDescent="0.25">
      <c r="A1569" s="1">
        <v>41201</v>
      </c>
      <c r="B1569">
        <v>1232073.18</v>
      </c>
    </row>
    <row r="1570" spans="1:2" x14ac:dyDescent="0.25">
      <c r="A1570" s="1">
        <v>41208</v>
      </c>
      <c r="B1570">
        <v>1200729.45</v>
      </c>
    </row>
    <row r="1571" spans="1:2" x14ac:dyDescent="0.25">
      <c r="A1571" s="1">
        <v>40214</v>
      </c>
      <c r="B1571">
        <v>1100046.3700000001</v>
      </c>
    </row>
    <row r="1572" spans="1:2" x14ac:dyDescent="0.25">
      <c r="A1572" s="1">
        <v>40221</v>
      </c>
      <c r="B1572">
        <v>1117863.33</v>
      </c>
    </row>
    <row r="1573" spans="1:2" x14ac:dyDescent="0.25">
      <c r="A1573" s="1">
        <v>40228</v>
      </c>
      <c r="B1573">
        <v>1095421.6499999999</v>
      </c>
    </row>
    <row r="1574" spans="1:2" x14ac:dyDescent="0.25">
      <c r="A1574" s="1">
        <v>40235</v>
      </c>
      <c r="B1574">
        <v>1048617.17</v>
      </c>
    </row>
    <row r="1575" spans="1:2" x14ac:dyDescent="0.25">
      <c r="A1575" s="1">
        <v>40242</v>
      </c>
      <c r="B1575">
        <v>1077018.27</v>
      </c>
    </row>
    <row r="1576" spans="1:2" x14ac:dyDescent="0.25">
      <c r="A1576" s="1">
        <v>40249</v>
      </c>
      <c r="B1576">
        <v>985594.23</v>
      </c>
    </row>
    <row r="1577" spans="1:2" x14ac:dyDescent="0.25">
      <c r="A1577" s="1">
        <v>40256</v>
      </c>
      <c r="B1577">
        <v>972088.34</v>
      </c>
    </row>
    <row r="1578" spans="1:2" x14ac:dyDescent="0.25">
      <c r="A1578" s="1">
        <v>40263</v>
      </c>
      <c r="B1578">
        <v>981615.81</v>
      </c>
    </row>
    <row r="1579" spans="1:2" x14ac:dyDescent="0.25">
      <c r="A1579" s="1">
        <v>40270</v>
      </c>
      <c r="B1579">
        <v>1011822.3</v>
      </c>
    </row>
    <row r="1580" spans="1:2" x14ac:dyDescent="0.25">
      <c r="A1580" s="1">
        <v>40277</v>
      </c>
      <c r="B1580">
        <v>1041238.87</v>
      </c>
    </row>
    <row r="1581" spans="1:2" x14ac:dyDescent="0.25">
      <c r="A1581" s="1">
        <v>40284</v>
      </c>
      <c r="B1581">
        <v>957997.52</v>
      </c>
    </row>
    <row r="1582" spans="1:2" x14ac:dyDescent="0.25">
      <c r="A1582" s="1">
        <v>40291</v>
      </c>
      <c r="B1582">
        <v>993833.44</v>
      </c>
    </row>
    <row r="1583" spans="1:2" x14ac:dyDescent="0.25">
      <c r="A1583" s="1">
        <v>40298</v>
      </c>
      <c r="B1583">
        <v>954220.22</v>
      </c>
    </row>
    <row r="1584" spans="1:2" x14ac:dyDescent="0.25">
      <c r="A1584" s="1">
        <v>40305</v>
      </c>
      <c r="B1584">
        <v>1043240.27</v>
      </c>
    </row>
    <row r="1585" spans="1:2" x14ac:dyDescent="0.25">
      <c r="A1585" s="1">
        <v>40312</v>
      </c>
      <c r="B1585">
        <v>966054.97</v>
      </c>
    </row>
    <row r="1586" spans="1:2" x14ac:dyDescent="0.25">
      <c r="A1586" s="1">
        <v>40319</v>
      </c>
      <c r="B1586">
        <v>958374.56</v>
      </c>
    </row>
    <row r="1587" spans="1:2" x14ac:dyDescent="0.25">
      <c r="A1587" s="1">
        <v>40326</v>
      </c>
      <c r="B1587">
        <v>955451.16</v>
      </c>
    </row>
    <row r="1588" spans="1:2" x14ac:dyDescent="0.25">
      <c r="A1588" s="1">
        <v>40333</v>
      </c>
      <c r="B1588">
        <v>1049357.3600000001</v>
      </c>
    </row>
    <row r="1589" spans="1:2" x14ac:dyDescent="0.25">
      <c r="A1589" s="1">
        <v>40340</v>
      </c>
      <c r="B1589">
        <v>1016039.71</v>
      </c>
    </row>
    <row r="1590" spans="1:2" x14ac:dyDescent="0.25">
      <c r="A1590" s="1">
        <v>40347</v>
      </c>
      <c r="B1590">
        <v>956211.19999999995</v>
      </c>
    </row>
    <row r="1591" spans="1:2" x14ac:dyDescent="0.25">
      <c r="A1591" s="1">
        <v>40354</v>
      </c>
      <c r="B1591">
        <v>958007.69</v>
      </c>
    </row>
    <row r="1592" spans="1:2" x14ac:dyDescent="0.25">
      <c r="A1592" s="1">
        <v>40361</v>
      </c>
      <c r="B1592">
        <v>951957.31</v>
      </c>
    </row>
    <row r="1593" spans="1:2" x14ac:dyDescent="0.25">
      <c r="A1593" s="1">
        <v>40368</v>
      </c>
      <c r="B1593">
        <v>943506.28</v>
      </c>
    </row>
    <row r="1594" spans="1:2" x14ac:dyDescent="0.25">
      <c r="A1594" s="1">
        <v>40375</v>
      </c>
      <c r="B1594">
        <v>916402.76</v>
      </c>
    </row>
    <row r="1595" spans="1:2" x14ac:dyDescent="0.25">
      <c r="A1595" s="1">
        <v>40382</v>
      </c>
      <c r="B1595">
        <v>912403.67</v>
      </c>
    </row>
    <row r="1596" spans="1:2" x14ac:dyDescent="0.25">
      <c r="A1596" s="1">
        <v>40389</v>
      </c>
      <c r="B1596">
        <v>913548.25</v>
      </c>
    </row>
    <row r="1597" spans="1:2" x14ac:dyDescent="0.25">
      <c r="A1597" s="1">
        <v>40396</v>
      </c>
      <c r="B1597">
        <v>967576.95</v>
      </c>
    </row>
    <row r="1598" spans="1:2" x14ac:dyDescent="0.25">
      <c r="A1598" s="1">
        <v>40403</v>
      </c>
      <c r="B1598">
        <v>928264.4</v>
      </c>
    </row>
    <row r="1599" spans="1:2" x14ac:dyDescent="0.25">
      <c r="A1599" s="1">
        <v>40410</v>
      </c>
      <c r="B1599">
        <v>948447.34</v>
      </c>
    </row>
    <row r="1600" spans="1:2" x14ac:dyDescent="0.25">
      <c r="A1600" s="1">
        <v>40417</v>
      </c>
      <c r="B1600">
        <v>1004516.46</v>
      </c>
    </row>
    <row r="1601" spans="1:2" x14ac:dyDescent="0.25">
      <c r="A1601" s="1">
        <v>40424</v>
      </c>
      <c r="B1601">
        <v>1075758.55</v>
      </c>
    </row>
    <row r="1602" spans="1:2" x14ac:dyDescent="0.25">
      <c r="A1602" s="1">
        <v>40431</v>
      </c>
      <c r="B1602">
        <v>903119.03</v>
      </c>
    </row>
    <row r="1603" spans="1:2" x14ac:dyDescent="0.25">
      <c r="A1603" s="1">
        <v>40438</v>
      </c>
      <c r="B1603">
        <v>852882.61</v>
      </c>
    </row>
    <row r="1604" spans="1:2" x14ac:dyDescent="0.25">
      <c r="A1604" s="1">
        <v>40445</v>
      </c>
      <c r="B1604">
        <v>851919.34</v>
      </c>
    </row>
    <row r="1605" spans="1:2" x14ac:dyDescent="0.25">
      <c r="A1605" s="1">
        <v>40452</v>
      </c>
      <c r="B1605">
        <v>850936.26</v>
      </c>
    </row>
    <row r="1606" spans="1:2" x14ac:dyDescent="0.25">
      <c r="A1606" s="1">
        <v>40459</v>
      </c>
      <c r="B1606">
        <v>918335.68</v>
      </c>
    </row>
    <row r="1607" spans="1:2" x14ac:dyDescent="0.25">
      <c r="A1607" s="1">
        <v>40466</v>
      </c>
      <c r="B1607">
        <v>862419.84</v>
      </c>
    </row>
    <row r="1608" spans="1:2" x14ac:dyDescent="0.25">
      <c r="A1608" s="1">
        <v>40473</v>
      </c>
      <c r="B1608">
        <v>857883.46</v>
      </c>
    </row>
    <row r="1609" spans="1:2" x14ac:dyDescent="0.25">
      <c r="A1609" s="1">
        <v>40480</v>
      </c>
      <c r="B1609">
        <v>955294.7</v>
      </c>
    </row>
    <row r="1610" spans="1:2" x14ac:dyDescent="0.25">
      <c r="A1610" s="1">
        <v>40487</v>
      </c>
      <c r="B1610">
        <v>929690.71</v>
      </c>
    </row>
    <row r="1611" spans="1:2" x14ac:dyDescent="0.25">
      <c r="A1611" s="1">
        <v>40494</v>
      </c>
      <c r="B1611">
        <v>942475.24</v>
      </c>
    </row>
    <row r="1612" spans="1:2" x14ac:dyDescent="0.25">
      <c r="A1612" s="1">
        <v>40501</v>
      </c>
      <c r="B1612">
        <v>894493.7</v>
      </c>
    </row>
    <row r="1613" spans="1:2" x14ac:dyDescent="0.25">
      <c r="A1613" s="1">
        <v>40508</v>
      </c>
      <c r="B1613">
        <v>1601377.41</v>
      </c>
    </row>
    <row r="1614" spans="1:2" x14ac:dyDescent="0.25">
      <c r="A1614" s="1">
        <v>40515</v>
      </c>
      <c r="B1614">
        <v>1069533.17</v>
      </c>
    </row>
    <row r="1615" spans="1:2" x14ac:dyDescent="0.25">
      <c r="A1615" s="1">
        <v>40522</v>
      </c>
      <c r="B1615">
        <v>1121934.1499999999</v>
      </c>
    </row>
    <row r="1616" spans="1:2" x14ac:dyDescent="0.25">
      <c r="A1616" s="1">
        <v>40529</v>
      </c>
      <c r="B1616">
        <v>1295605.3500000001</v>
      </c>
    </row>
    <row r="1617" spans="1:2" x14ac:dyDescent="0.25">
      <c r="A1617" s="1">
        <v>40536</v>
      </c>
      <c r="B1617">
        <v>1768249.89</v>
      </c>
    </row>
    <row r="1618" spans="1:2" x14ac:dyDescent="0.25">
      <c r="A1618" s="1">
        <v>40543</v>
      </c>
      <c r="B1618">
        <v>891736.91</v>
      </c>
    </row>
    <row r="1619" spans="1:2" x14ac:dyDescent="0.25">
      <c r="A1619" s="1">
        <v>40550</v>
      </c>
      <c r="B1619">
        <v>910110.24</v>
      </c>
    </row>
    <row r="1620" spans="1:2" x14ac:dyDescent="0.25">
      <c r="A1620" s="1">
        <v>40557</v>
      </c>
      <c r="B1620">
        <v>812011.8</v>
      </c>
    </row>
    <row r="1621" spans="1:2" x14ac:dyDescent="0.25">
      <c r="A1621" s="1">
        <v>40564</v>
      </c>
      <c r="B1621">
        <v>802105.5</v>
      </c>
    </row>
    <row r="1622" spans="1:2" x14ac:dyDescent="0.25">
      <c r="A1622" s="1">
        <v>40571</v>
      </c>
      <c r="B1622">
        <v>873119.06</v>
      </c>
    </row>
    <row r="1623" spans="1:2" x14ac:dyDescent="0.25">
      <c r="A1623" s="1">
        <v>40578</v>
      </c>
      <c r="B1623">
        <v>1046068.17</v>
      </c>
    </row>
    <row r="1624" spans="1:2" x14ac:dyDescent="0.25">
      <c r="A1624" s="1">
        <v>40585</v>
      </c>
      <c r="B1624">
        <v>1086421.57</v>
      </c>
    </row>
    <row r="1625" spans="1:2" x14ac:dyDescent="0.25">
      <c r="A1625" s="1">
        <v>40592</v>
      </c>
      <c r="B1625">
        <v>1128485.1000000001</v>
      </c>
    </row>
    <row r="1626" spans="1:2" x14ac:dyDescent="0.25">
      <c r="A1626" s="1">
        <v>40599</v>
      </c>
      <c r="B1626">
        <v>1046203.72</v>
      </c>
    </row>
    <row r="1627" spans="1:2" x14ac:dyDescent="0.25">
      <c r="A1627" s="1">
        <v>40606</v>
      </c>
      <c r="B1627">
        <v>1085248.21</v>
      </c>
    </row>
    <row r="1628" spans="1:2" x14ac:dyDescent="0.25">
      <c r="A1628" s="1">
        <v>40613</v>
      </c>
      <c r="B1628">
        <v>997672.62</v>
      </c>
    </row>
    <row r="1629" spans="1:2" x14ac:dyDescent="0.25">
      <c r="A1629" s="1">
        <v>40620</v>
      </c>
      <c r="B1629">
        <v>1009502.01</v>
      </c>
    </row>
    <row r="1630" spans="1:2" x14ac:dyDescent="0.25">
      <c r="A1630" s="1">
        <v>40627</v>
      </c>
      <c r="B1630">
        <v>954107.32</v>
      </c>
    </row>
    <row r="1631" spans="1:2" x14ac:dyDescent="0.25">
      <c r="A1631" s="1">
        <v>40634</v>
      </c>
      <c r="B1631">
        <v>1005463.49</v>
      </c>
    </row>
    <row r="1632" spans="1:2" x14ac:dyDescent="0.25">
      <c r="A1632" s="1">
        <v>40641</v>
      </c>
      <c r="B1632">
        <v>998362.05</v>
      </c>
    </row>
    <row r="1633" spans="1:2" x14ac:dyDescent="0.25">
      <c r="A1633" s="1">
        <v>40648</v>
      </c>
      <c r="B1633">
        <v>990951.77</v>
      </c>
    </row>
    <row r="1634" spans="1:2" x14ac:dyDescent="0.25">
      <c r="A1634" s="1">
        <v>40655</v>
      </c>
      <c r="B1634">
        <v>1016019.47</v>
      </c>
    </row>
    <row r="1635" spans="1:2" x14ac:dyDescent="0.25">
      <c r="A1635" s="1">
        <v>40662</v>
      </c>
      <c r="B1635">
        <v>994966.1</v>
      </c>
    </row>
    <row r="1636" spans="1:2" x14ac:dyDescent="0.25">
      <c r="A1636" s="1">
        <v>40669</v>
      </c>
      <c r="B1636">
        <v>1021154.48</v>
      </c>
    </row>
    <row r="1637" spans="1:2" x14ac:dyDescent="0.25">
      <c r="A1637" s="1">
        <v>40676</v>
      </c>
      <c r="B1637">
        <v>977033.5</v>
      </c>
    </row>
    <row r="1638" spans="1:2" x14ac:dyDescent="0.25">
      <c r="A1638" s="1">
        <v>40683</v>
      </c>
      <c r="B1638">
        <v>924134.99</v>
      </c>
    </row>
    <row r="1639" spans="1:2" x14ac:dyDescent="0.25">
      <c r="A1639" s="1">
        <v>40690</v>
      </c>
      <c r="B1639">
        <v>964332.51</v>
      </c>
    </row>
    <row r="1640" spans="1:2" x14ac:dyDescent="0.25">
      <c r="A1640" s="1">
        <v>40697</v>
      </c>
      <c r="B1640">
        <v>970328.68</v>
      </c>
    </row>
    <row r="1641" spans="1:2" x14ac:dyDescent="0.25">
      <c r="A1641" s="1">
        <v>40704</v>
      </c>
      <c r="B1641">
        <v>996937.95</v>
      </c>
    </row>
    <row r="1642" spans="1:2" x14ac:dyDescent="0.25">
      <c r="A1642" s="1">
        <v>40711</v>
      </c>
      <c r="B1642">
        <v>986504.93</v>
      </c>
    </row>
    <row r="1643" spans="1:2" x14ac:dyDescent="0.25">
      <c r="A1643" s="1">
        <v>40718</v>
      </c>
      <c r="B1643">
        <v>997282.75</v>
      </c>
    </row>
    <row r="1644" spans="1:2" x14ac:dyDescent="0.25">
      <c r="A1644" s="1">
        <v>40725</v>
      </c>
      <c r="B1644">
        <v>961993.34</v>
      </c>
    </row>
    <row r="1645" spans="1:2" x14ac:dyDescent="0.25">
      <c r="A1645" s="1">
        <v>40732</v>
      </c>
      <c r="B1645">
        <v>943717.38</v>
      </c>
    </row>
    <row r="1646" spans="1:2" x14ac:dyDescent="0.25">
      <c r="A1646" s="1">
        <v>40739</v>
      </c>
      <c r="B1646">
        <v>936001.98</v>
      </c>
    </row>
    <row r="1647" spans="1:2" x14ac:dyDescent="0.25">
      <c r="A1647" s="1">
        <v>40746</v>
      </c>
      <c r="B1647">
        <v>922231.92</v>
      </c>
    </row>
    <row r="1648" spans="1:2" x14ac:dyDescent="0.25">
      <c r="A1648" s="1">
        <v>40753</v>
      </c>
      <c r="B1648">
        <v>890547.07</v>
      </c>
    </row>
    <row r="1649" spans="1:2" x14ac:dyDescent="0.25">
      <c r="A1649" s="1">
        <v>40760</v>
      </c>
      <c r="B1649">
        <v>988712.52</v>
      </c>
    </row>
    <row r="1650" spans="1:2" x14ac:dyDescent="0.25">
      <c r="A1650" s="1">
        <v>40767</v>
      </c>
      <c r="B1650">
        <v>955913.68</v>
      </c>
    </row>
    <row r="1651" spans="1:2" x14ac:dyDescent="0.25">
      <c r="A1651" s="1">
        <v>40774</v>
      </c>
      <c r="B1651">
        <v>966817.24</v>
      </c>
    </row>
    <row r="1652" spans="1:2" x14ac:dyDescent="0.25">
      <c r="A1652" s="1">
        <v>40781</v>
      </c>
      <c r="B1652">
        <v>1017593.47</v>
      </c>
    </row>
    <row r="1653" spans="1:2" x14ac:dyDescent="0.25">
      <c r="A1653" s="1">
        <v>40788</v>
      </c>
      <c r="B1653">
        <v>1052051.45</v>
      </c>
    </row>
    <row r="1654" spans="1:2" x14ac:dyDescent="0.25">
      <c r="A1654" s="1">
        <v>40795</v>
      </c>
      <c r="B1654">
        <v>922850.57</v>
      </c>
    </row>
    <row r="1655" spans="1:2" x14ac:dyDescent="0.25">
      <c r="A1655" s="1">
        <v>40802</v>
      </c>
      <c r="B1655">
        <v>889290.23</v>
      </c>
    </row>
    <row r="1656" spans="1:2" x14ac:dyDescent="0.25">
      <c r="A1656" s="1">
        <v>40809</v>
      </c>
      <c r="B1656">
        <v>871692.74</v>
      </c>
    </row>
    <row r="1657" spans="1:2" x14ac:dyDescent="0.25">
      <c r="A1657" s="1">
        <v>40816</v>
      </c>
      <c r="B1657">
        <v>866401.45</v>
      </c>
    </row>
    <row r="1658" spans="1:2" x14ac:dyDescent="0.25">
      <c r="A1658" s="1">
        <v>40823</v>
      </c>
      <c r="B1658">
        <v>951244.66</v>
      </c>
    </row>
    <row r="1659" spans="1:2" x14ac:dyDescent="0.25">
      <c r="A1659" s="1">
        <v>40830</v>
      </c>
      <c r="B1659">
        <v>927600.01</v>
      </c>
    </row>
    <row r="1660" spans="1:2" x14ac:dyDescent="0.25">
      <c r="A1660" s="1">
        <v>40837</v>
      </c>
      <c r="B1660">
        <v>938604.58</v>
      </c>
    </row>
    <row r="1661" spans="1:2" x14ac:dyDescent="0.25">
      <c r="A1661" s="1">
        <v>40844</v>
      </c>
      <c r="B1661">
        <v>990926.38</v>
      </c>
    </row>
    <row r="1662" spans="1:2" x14ac:dyDescent="0.25">
      <c r="A1662" s="1">
        <v>40851</v>
      </c>
      <c r="B1662">
        <v>1051944.79</v>
      </c>
    </row>
    <row r="1663" spans="1:2" x14ac:dyDescent="0.25">
      <c r="A1663" s="1">
        <v>40858</v>
      </c>
      <c r="B1663">
        <v>1095091.53</v>
      </c>
    </row>
    <row r="1664" spans="1:2" x14ac:dyDescent="0.25">
      <c r="A1664" s="1">
        <v>40865</v>
      </c>
      <c r="B1664">
        <v>970641.34</v>
      </c>
    </row>
    <row r="1665" spans="1:2" x14ac:dyDescent="0.25">
      <c r="A1665" s="1">
        <v>40872</v>
      </c>
      <c r="B1665">
        <v>1591920.42</v>
      </c>
    </row>
    <row r="1666" spans="1:2" x14ac:dyDescent="0.25">
      <c r="A1666" s="1">
        <v>40879</v>
      </c>
      <c r="B1666">
        <v>1071383.1000000001</v>
      </c>
    </row>
    <row r="1667" spans="1:2" x14ac:dyDescent="0.25">
      <c r="A1667" s="1">
        <v>40886</v>
      </c>
      <c r="B1667">
        <v>1189646.45</v>
      </c>
    </row>
    <row r="1668" spans="1:2" x14ac:dyDescent="0.25">
      <c r="A1668" s="1">
        <v>40893</v>
      </c>
      <c r="B1668">
        <v>1293404.18</v>
      </c>
    </row>
    <row r="1669" spans="1:2" x14ac:dyDescent="0.25">
      <c r="A1669" s="1">
        <v>40900</v>
      </c>
      <c r="B1669">
        <v>1617612.03</v>
      </c>
    </row>
    <row r="1670" spans="1:2" x14ac:dyDescent="0.25">
      <c r="A1670" s="1">
        <v>40907</v>
      </c>
      <c r="B1670">
        <v>1111638.07</v>
      </c>
    </row>
    <row r="1671" spans="1:2" x14ac:dyDescent="0.25">
      <c r="A1671" s="1">
        <v>40914</v>
      </c>
      <c r="B1671">
        <v>945823.65</v>
      </c>
    </row>
    <row r="1672" spans="1:2" x14ac:dyDescent="0.25">
      <c r="A1672" s="1">
        <v>40921</v>
      </c>
      <c r="B1672">
        <v>865467.86</v>
      </c>
    </row>
    <row r="1673" spans="1:2" x14ac:dyDescent="0.25">
      <c r="A1673" s="1">
        <v>40928</v>
      </c>
      <c r="B1673">
        <v>855922.64</v>
      </c>
    </row>
    <row r="1674" spans="1:2" x14ac:dyDescent="0.25">
      <c r="A1674" s="1">
        <v>40935</v>
      </c>
      <c r="B1674">
        <v>888203.69</v>
      </c>
    </row>
    <row r="1675" spans="1:2" x14ac:dyDescent="0.25">
      <c r="A1675" s="1">
        <v>40942</v>
      </c>
      <c r="B1675">
        <v>1058767.95</v>
      </c>
    </row>
    <row r="1676" spans="1:2" x14ac:dyDescent="0.25">
      <c r="A1676" s="1">
        <v>40949</v>
      </c>
      <c r="B1676">
        <v>1199330.8500000001</v>
      </c>
    </row>
    <row r="1677" spans="1:2" x14ac:dyDescent="0.25">
      <c r="A1677" s="1">
        <v>40956</v>
      </c>
      <c r="B1677">
        <v>1240048.8500000001</v>
      </c>
    </row>
    <row r="1678" spans="1:2" x14ac:dyDescent="0.25">
      <c r="A1678" s="1">
        <v>40963</v>
      </c>
      <c r="B1678">
        <v>1112034.72</v>
      </c>
    </row>
    <row r="1679" spans="1:2" x14ac:dyDescent="0.25">
      <c r="A1679" s="1">
        <v>40970</v>
      </c>
      <c r="B1679">
        <v>1147636.96</v>
      </c>
    </row>
    <row r="1680" spans="1:2" x14ac:dyDescent="0.25">
      <c r="A1680" s="1">
        <v>40977</v>
      </c>
      <c r="B1680">
        <v>1113208.57</v>
      </c>
    </row>
    <row r="1681" spans="1:2" x14ac:dyDescent="0.25">
      <c r="A1681" s="1">
        <v>40984</v>
      </c>
      <c r="B1681">
        <v>1088498.52</v>
      </c>
    </row>
    <row r="1682" spans="1:2" x14ac:dyDescent="0.25">
      <c r="A1682" s="1">
        <v>40991</v>
      </c>
      <c r="B1682">
        <v>1045419.87</v>
      </c>
    </row>
    <row r="1683" spans="1:2" x14ac:dyDescent="0.25">
      <c r="A1683" s="1">
        <v>40998</v>
      </c>
      <c r="B1683">
        <v>1025382.22</v>
      </c>
    </row>
    <row r="1684" spans="1:2" x14ac:dyDescent="0.25">
      <c r="A1684" s="1">
        <v>41005</v>
      </c>
      <c r="B1684">
        <v>1128765.71</v>
      </c>
    </row>
    <row r="1685" spans="1:2" x14ac:dyDescent="0.25">
      <c r="A1685" s="1">
        <v>41012</v>
      </c>
      <c r="B1685">
        <v>1083811.19</v>
      </c>
    </row>
    <row r="1686" spans="1:2" x14ac:dyDescent="0.25">
      <c r="A1686" s="1">
        <v>41019</v>
      </c>
      <c r="B1686">
        <v>1006486.96</v>
      </c>
    </row>
    <row r="1687" spans="1:2" x14ac:dyDescent="0.25">
      <c r="A1687" s="1">
        <v>41026</v>
      </c>
      <c r="B1687">
        <v>1004252.38</v>
      </c>
    </row>
    <row r="1688" spans="1:2" x14ac:dyDescent="0.25">
      <c r="A1688" s="1">
        <v>41033</v>
      </c>
      <c r="B1688">
        <v>1073433.69</v>
      </c>
    </row>
    <row r="1689" spans="1:2" x14ac:dyDescent="0.25">
      <c r="A1689" s="1">
        <v>41040</v>
      </c>
      <c r="B1689">
        <v>1041995.22</v>
      </c>
    </row>
    <row r="1690" spans="1:2" x14ac:dyDescent="0.25">
      <c r="A1690" s="1">
        <v>41047</v>
      </c>
      <c r="B1690">
        <v>1020486.05</v>
      </c>
    </row>
    <row r="1691" spans="1:2" x14ac:dyDescent="0.25">
      <c r="A1691" s="1">
        <v>41054</v>
      </c>
      <c r="B1691">
        <v>991514.21</v>
      </c>
    </row>
    <row r="1692" spans="1:2" x14ac:dyDescent="0.25">
      <c r="A1692" s="1">
        <v>41061</v>
      </c>
      <c r="B1692">
        <v>981345.2</v>
      </c>
    </row>
    <row r="1693" spans="1:2" x14ac:dyDescent="0.25">
      <c r="A1693" s="1">
        <v>41068</v>
      </c>
      <c r="B1693">
        <v>1086231.47</v>
      </c>
    </row>
    <row r="1694" spans="1:2" x14ac:dyDescent="0.25">
      <c r="A1694" s="1">
        <v>41075</v>
      </c>
      <c r="B1694">
        <v>1019555.51</v>
      </c>
    </row>
    <row r="1695" spans="1:2" x14ac:dyDescent="0.25">
      <c r="A1695" s="1">
        <v>41082</v>
      </c>
      <c r="B1695">
        <v>981386.25</v>
      </c>
    </row>
    <row r="1696" spans="1:2" x14ac:dyDescent="0.25">
      <c r="A1696" s="1">
        <v>41089</v>
      </c>
      <c r="B1696">
        <v>943124.74</v>
      </c>
    </row>
    <row r="1697" spans="1:2" x14ac:dyDescent="0.25">
      <c r="A1697" s="1">
        <v>41096</v>
      </c>
      <c r="B1697">
        <v>1014898.78</v>
      </c>
    </row>
    <row r="1698" spans="1:2" x14ac:dyDescent="0.25">
      <c r="A1698" s="1">
        <v>41103</v>
      </c>
      <c r="B1698">
        <v>960312.75</v>
      </c>
    </row>
    <row r="1699" spans="1:2" x14ac:dyDescent="0.25">
      <c r="A1699" s="1">
        <v>41110</v>
      </c>
      <c r="B1699">
        <v>941550.34</v>
      </c>
    </row>
    <row r="1700" spans="1:2" x14ac:dyDescent="0.25">
      <c r="A1700" s="1">
        <v>41117</v>
      </c>
      <c r="B1700">
        <v>916967.92</v>
      </c>
    </row>
    <row r="1701" spans="1:2" x14ac:dyDescent="0.25">
      <c r="A1701" s="1">
        <v>41124</v>
      </c>
      <c r="B1701">
        <v>958667.23</v>
      </c>
    </row>
    <row r="1702" spans="1:2" x14ac:dyDescent="0.25">
      <c r="A1702" s="1">
        <v>41131</v>
      </c>
      <c r="B1702">
        <v>984689.9</v>
      </c>
    </row>
    <row r="1703" spans="1:2" x14ac:dyDescent="0.25">
      <c r="A1703" s="1">
        <v>41138</v>
      </c>
      <c r="B1703">
        <v>1005003.12</v>
      </c>
    </row>
    <row r="1704" spans="1:2" x14ac:dyDescent="0.25">
      <c r="A1704" s="1">
        <v>41145</v>
      </c>
      <c r="B1704">
        <v>1048101.39</v>
      </c>
    </row>
    <row r="1705" spans="1:2" x14ac:dyDescent="0.25">
      <c r="A1705" s="1">
        <v>41152</v>
      </c>
      <c r="B1705">
        <v>1061943.49</v>
      </c>
    </row>
    <row r="1706" spans="1:2" x14ac:dyDescent="0.25">
      <c r="A1706" s="1">
        <v>41159</v>
      </c>
      <c r="B1706">
        <v>955146.04</v>
      </c>
    </row>
    <row r="1707" spans="1:2" x14ac:dyDescent="0.25">
      <c r="A1707" s="1">
        <v>41166</v>
      </c>
      <c r="B1707">
        <v>885892.37</v>
      </c>
    </row>
    <row r="1708" spans="1:2" x14ac:dyDescent="0.25">
      <c r="A1708" s="1">
        <v>41173</v>
      </c>
      <c r="B1708">
        <v>922735.37</v>
      </c>
    </row>
    <row r="1709" spans="1:2" x14ac:dyDescent="0.25">
      <c r="A1709" s="1">
        <v>41180</v>
      </c>
      <c r="B1709">
        <v>880415.67</v>
      </c>
    </row>
    <row r="1710" spans="1:2" x14ac:dyDescent="0.25">
      <c r="A1710" s="1">
        <v>41187</v>
      </c>
      <c r="B1710">
        <v>979825.92</v>
      </c>
    </row>
    <row r="1711" spans="1:2" x14ac:dyDescent="0.25">
      <c r="A1711" s="1">
        <v>41194</v>
      </c>
      <c r="B1711">
        <v>934917.47</v>
      </c>
    </row>
    <row r="1712" spans="1:2" x14ac:dyDescent="0.25">
      <c r="A1712" s="1">
        <v>41201</v>
      </c>
      <c r="B1712">
        <v>960945.43</v>
      </c>
    </row>
    <row r="1713" spans="1:2" x14ac:dyDescent="0.25">
      <c r="A1713" s="1">
        <v>41208</v>
      </c>
      <c r="B1713">
        <v>974697.6</v>
      </c>
    </row>
    <row r="1714" spans="1:2" x14ac:dyDescent="0.25">
      <c r="A1714" s="1">
        <v>40214</v>
      </c>
      <c r="B1714">
        <v>1967220.53</v>
      </c>
    </row>
    <row r="1715" spans="1:2" x14ac:dyDescent="0.25">
      <c r="A1715" s="1">
        <v>40221</v>
      </c>
      <c r="B1715">
        <v>2030933.46</v>
      </c>
    </row>
    <row r="1716" spans="1:2" x14ac:dyDescent="0.25">
      <c r="A1716" s="1">
        <v>40228</v>
      </c>
      <c r="B1716">
        <v>1970274.64</v>
      </c>
    </row>
    <row r="1717" spans="1:2" x14ac:dyDescent="0.25">
      <c r="A1717" s="1">
        <v>40235</v>
      </c>
      <c r="B1717">
        <v>1817850.32</v>
      </c>
    </row>
    <row r="1718" spans="1:2" x14ac:dyDescent="0.25">
      <c r="A1718" s="1">
        <v>40242</v>
      </c>
      <c r="B1718">
        <v>1939980.43</v>
      </c>
    </row>
    <row r="1719" spans="1:2" x14ac:dyDescent="0.25">
      <c r="A1719" s="1">
        <v>40249</v>
      </c>
      <c r="B1719">
        <v>1840686.94</v>
      </c>
    </row>
    <row r="1720" spans="1:2" x14ac:dyDescent="0.25">
      <c r="A1720" s="1">
        <v>40256</v>
      </c>
      <c r="B1720">
        <v>1879794.89</v>
      </c>
    </row>
    <row r="1721" spans="1:2" x14ac:dyDescent="0.25">
      <c r="A1721" s="1">
        <v>40263</v>
      </c>
      <c r="B1721">
        <v>1882095.98</v>
      </c>
    </row>
    <row r="1722" spans="1:2" x14ac:dyDescent="0.25">
      <c r="A1722" s="1">
        <v>40270</v>
      </c>
      <c r="B1722">
        <v>2142482.14</v>
      </c>
    </row>
    <row r="1723" spans="1:2" x14ac:dyDescent="0.25">
      <c r="A1723" s="1">
        <v>40277</v>
      </c>
      <c r="B1723">
        <v>1898321.33</v>
      </c>
    </row>
    <row r="1724" spans="1:2" x14ac:dyDescent="0.25">
      <c r="A1724" s="1">
        <v>40284</v>
      </c>
      <c r="B1724">
        <v>1819660.44</v>
      </c>
    </row>
    <row r="1725" spans="1:2" x14ac:dyDescent="0.25">
      <c r="A1725" s="1">
        <v>40291</v>
      </c>
      <c r="B1725">
        <v>1909330.77</v>
      </c>
    </row>
    <row r="1726" spans="1:2" x14ac:dyDescent="0.25">
      <c r="A1726" s="1">
        <v>40298</v>
      </c>
      <c r="B1726">
        <v>1785823.37</v>
      </c>
    </row>
    <row r="1727" spans="1:2" x14ac:dyDescent="0.25">
      <c r="A1727" s="1">
        <v>40305</v>
      </c>
      <c r="B1727">
        <v>2005478.46</v>
      </c>
    </row>
    <row r="1728" spans="1:2" x14ac:dyDescent="0.25">
      <c r="A1728" s="1">
        <v>40312</v>
      </c>
      <c r="B1728">
        <v>1890273.44</v>
      </c>
    </row>
    <row r="1729" spans="1:2" x14ac:dyDescent="0.25">
      <c r="A1729" s="1">
        <v>40319</v>
      </c>
      <c r="B1729">
        <v>1853657.6</v>
      </c>
    </row>
    <row r="1730" spans="1:2" x14ac:dyDescent="0.25">
      <c r="A1730" s="1">
        <v>40326</v>
      </c>
      <c r="B1730">
        <v>1877358.86</v>
      </c>
    </row>
    <row r="1731" spans="1:2" x14ac:dyDescent="0.25">
      <c r="A1731" s="1">
        <v>40333</v>
      </c>
      <c r="B1731">
        <v>2022705.22</v>
      </c>
    </row>
    <row r="1732" spans="1:2" x14ac:dyDescent="0.25">
      <c r="A1732" s="1">
        <v>40340</v>
      </c>
      <c r="B1732">
        <v>2037880.96</v>
      </c>
    </row>
    <row r="1733" spans="1:2" x14ac:dyDescent="0.25">
      <c r="A1733" s="1">
        <v>40347</v>
      </c>
      <c r="B1733">
        <v>2003435.31</v>
      </c>
    </row>
    <row r="1734" spans="1:2" x14ac:dyDescent="0.25">
      <c r="A1734" s="1">
        <v>40354</v>
      </c>
      <c r="B1734">
        <v>1970340.25</v>
      </c>
    </row>
    <row r="1735" spans="1:2" x14ac:dyDescent="0.25">
      <c r="A1735" s="1">
        <v>40361</v>
      </c>
      <c r="B1735">
        <v>2018314.71</v>
      </c>
    </row>
    <row r="1736" spans="1:2" x14ac:dyDescent="0.25">
      <c r="A1736" s="1">
        <v>40368</v>
      </c>
      <c r="B1736">
        <v>1870843.9</v>
      </c>
    </row>
    <row r="1737" spans="1:2" x14ac:dyDescent="0.25">
      <c r="A1737" s="1">
        <v>40375</v>
      </c>
      <c r="B1737">
        <v>1932231.05</v>
      </c>
    </row>
    <row r="1738" spans="1:2" x14ac:dyDescent="0.25">
      <c r="A1738" s="1">
        <v>40382</v>
      </c>
      <c r="B1738">
        <v>1907351.2</v>
      </c>
    </row>
    <row r="1739" spans="1:2" x14ac:dyDescent="0.25">
      <c r="A1739" s="1">
        <v>40389</v>
      </c>
      <c r="B1739">
        <v>1817887.23</v>
      </c>
    </row>
    <row r="1740" spans="1:2" x14ac:dyDescent="0.25">
      <c r="A1740" s="1">
        <v>40396</v>
      </c>
      <c r="B1740">
        <v>1969121.45</v>
      </c>
    </row>
    <row r="1741" spans="1:2" x14ac:dyDescent="0.25">
      <c r="A1741" s="1">
        <v>40403</v>
      </c>
      <c r="B1741">
        <v>1877592.55</v>
      </c>
    </row>
    <row r="1742" spans="1:2" x14ac:dyDescent="0.25">
      <c r="A1742" s="1">
        <v>40410</v>
      </c>
      <c r="B1742">
        <v>1997397.63</v>
      </c>
    </row>
    <row r="1743" spans="1:2" x14ac:dyDescent="0.25">
      <c r="A1743" s="1">
        <v>40417</v>
      </c>
      <c r="B1743">
        <v>1908278.27</v>
      </c>
    </row>
    <row r="1744" spans="1:2" x14ac:dyDescent="0.25">
      <c r="A1744" s="1">
        <v>40424</v>
      </c>
      <c r="B1744">
        <v>1911852.58</v>
      </c>
    </row>
    <row r="1745" spans="1:2" x14ac:dyDescent="0.25">
      <c r="A1745" s="1">
        <v>40431</v>
      </c>
      <c r="B1745">
        <v>1772143.94</v>
      </c>
    </row>
    <row r="1746" spans="1:2" x14ac:dyDescent="0.25">
      <c r="A1746" s="1">
        <v>40438</v>
      </c>
      <c r="B1746">
        <v>1790279.74</v>
      </c>
    </row>
    <row r="1747" spans="1:2" x14ac:dyDescent="0.25">
      <c r="A1747" s="1">
        <v>40445</v>
      </c>
      <c r="B1747">
        <v>1705655.09</v>
      </c>
    </row>
    <row r="1748" spans="1:2" x14ac:dyDescent="0.25">
      <c r="A1748" s="1">
        <v>40452</v>
      </c>
      <c r="B1748">
        <v>1765584.48</v>
      </c>
    </row>
    <row r="1749" spans="1:2" x14ac:dyDescent="0.25">
      <c r="A1749" s="1">
        <v>40459</v>
      </c>
      <c r="B1749">
        <v>1871924.07</v>
      </c>
    </row>
    <row r="1750" spans="1:2" x14ac:dyDescent="0.25">
      <c r="A1750" s="1">
        <v>40466</v>
      </c>
      <c r="B1750">
        <v>1851431.06</v>
      </c>
    </row>
    <row r="1751" spans="1:2" x14ac:dyDescent="0.25">
      <c r="A1751" s="1">
        <v>40473</v>
      </c>
      <c r="B1751">
        <v>1796949.59</v>
      </c>
    </row>
    <row r="1752" spans="1:2" x14ac:dyDescent="0.25">
      <c r="A1752" s="1">
        <v>40480</v>
      </c>
      <c r="B1752">
        <v>1887895.07</v>
      </c>
    </row>
    <row r="1753" spans="1:2" x14ac:dyDescent="0.25">
      <c r="A1753" s="1">
        <v>40487</v>
      </c>
      <c r="B1753">
        <v>1854967.66</v>
      </c>
    </row>
    <row r="1754" spans="1:2" x14ac:dyDescent="0.25">
      <c r="A1754" s="1">
        <v>40494</v>
      </c>
      <c r="B1754">
        <v>1939964.63</v>
      </c>
    </row>
    <row r="1755" spans="1:2" x14ac:dyDescent="0.25">
      <c r="A1755" s="1">
        <v>40501</v>
      </c>
      <c r="B1755">
        <v>1925393.91</v>
      </c>
    </row>
    <row r="1756" spans="1:2" x14ac:dyDescent="0.25">
      <c r="A1756" s="1">
        <v>40508</v>
      </c>
      <c r="B1756">
        <v>2766400.05</v>
      </c>
    </row>
    <row r="1757" spans="1:2" x14ac:dyDescent="0.25">
      <c r="A1757" s="1">
        <v>40515</v>
      </c>
      <c r="B1757">
        <v>2083379.89</v>
      </c>
    </row>
    <row r="1758" spans="1:2" x14ac:dyDescent="0.25">
      <c r="A1758" s="1">
        <v>40522</v>
      </c>
      <c r="B1758">
        <v>2461468.35</v>
      </c>
    </row>
    <row r="1759" spans="1:2" x14ac:dyDescent="0.25">
      <c r="A1759" s="1">
        <v>40529</v>
      </c>
      <c r="B1759">
        <v>2771646.81</v>
      </c>
    </row>
    <row r="1760" spans="1:2" x14ac:dyDescent="0.25">
      <c r="A1760" s="1">
        <v>40536</v>
      </c>
      <c r="B1760">
        <v>3595903.2</v>
      </c>
    </row>
    <row r="1761" spans="1:2" x14ac:dyDescent="0.25">
      <c r="A1761" s="1">
        <v>40543</v>
      </c>
      <c r="B1761">
        <v>1675292</v>
      </c>
    </row>
    <row r="1762" spans="1:2" x14ac:dyDescent="0.25">
      <c r="A1762" s="1">
        <v>40550</v>
      </c>
      <c r="B1762">
        <v>1744544.39</v>
      </c>
    </row>
    <row r="1763" spans="1:2" x14ac:dyDescent="0.25">
      <c r="A1763" s="1">
        <v>40557</v>
      </c>
      <c r="B1763">
        <v>1682316.31</v>
      </c>
    </row>
    <row r="1764" spans="1:2" x14ac:dyDescent="0.25">
      <c r="A1764" s="1">
        <v>40564</v>
      </c>
      <c r="B1764">
        <v>1770177.37</v>
      </c>
    </row>
    <row r="1765" spans="1:2" x14ac:dyDescent="0.25">
      <c r="A1765" s="1">
        <v>40571</v>
      </c>
      <c r="B1765">
        <v>1633663.12</v>
      </c>
    </row>
    <row r="1766" spans="1:2" x14ac:dyDescent="0.25">
      <c r="A1766" s="1">
        <v>40578</v>
      </c>
      <c r="B1766">
        <v>1848186.58</v>
      </c>
    </row>
    <row r="1767" spans="1:2" x14ac:dyDescent="0.25">
      <c r="A1767" s="1">
        <v>40585</v>
      </c>
      <c r="B1767">
        <v>1944438.9</v>
      </c>
    </row>
    <row r="1768" spans="1:2" x14ac:dyDescent="0.25">
      <c r="A1768" s="1">
        <v>40592</v>
      </c>
      <c r="B1768">
        <v>2003480.59</v>
      </c>
    </row>
    <row r="1769" spans="1:2" x14ac:dyDescent="0.25">
      <c r="A1769" s="1">
        <v>40599</v>
      </c>
      <c r="B1769">
        <v>1831933.95</v>
      </c>
    </row>
    <row r="1770" spans="1:2" x14ac:dyDescent="0.25">
      <c r="A1770" s="1">
        <v>40606</v>
      </c>
      <c r="B1770">
        <v>1894960.68</v>
      </c>
    </row>
    <row r="1771" spans="1:2" x14ac:dyDescent="0.25">
      <c r="A1771" s="1">
        <v>40613</v>
      </c>
      <c r="B1771">
        <v>1852432.58</v>
      </c>
    </row>
    <row r="1772" spans="1:2" x14ac:dyDescent="0.25">
      <c r="A1772" s="1">
        <v>40620</v>
      </c>
      <c r="B1772">
        <v>1852443.78</v>
      </c>
    </row>
    <row r="1773" spans="1:2" x14ac:dyDescent="0.25">
      <c r="A1773" s="1">
        <v>40627</v>
      </c>
      <c r="B1773">
        <v>1807545.43</v>
      </c>
    </row>
    <row r="1774" spans="1:2" x14ac:dyDescent="0.25">
      <c r="A1774" s="1">
        <v>40634</v>
      </c>
      <c r="B1774">
        <v>1864238.64</v>
      </c>
    </row>
    <row r="1775" spans="1:2" x14ac:dyDescent="0.25">
      <c r="A1775" s="1">
        <v>40641</v>
      </c>
      <c r="B1775">
        <v>1887465.04</v>
      </c>
    </row>
    <row r="1776" spans="1:2" x14ac:dyDescent="0.25">
      <c r="A1776" s="1">
        <v>40648</v>
      </c>
      <c r="B1776">
        <v>1950994.04</v>
      </c>
    </row>
    <row r="1777" spans="1:2" x14ac:dyDescent="0.25">
      <c r="A1777" s="1">
        <v>40655</v>
      </c>
      <c r="B1777">
        <v>2124316.34</v>
      </c>
    </row>
    <row r="1778" spans="1:2" x14ac:dyDescent="0.25">
      <c r="A1778" s="1">
        <v>40662</v>
      </c>
      <c r="B1778">
        <v>1895583.12</v>
      </c>
    </row>
    <row r="1779" spans="1:2" x14ac:dyDescent="0.25">
      <c r="A1779" s="1">
        <v>40669</v>
      </c>
      <c r="B1779">
        <v>1986380.4</v>
      </c>
    </row>
    <row r="1780" spans="1:2" x14ac:dyDescent="0.25">
      <c r="A1780" s="1">
        <v>40676</v>
      </c>
      <c r="B1780">
        <v>1958823.56</v>
      </c>
    </row>
    <row r="1781" spans="1:2" x14ac:dyDescent="0.25">
      <c r="A1781" s="1">
        <v>40683</v>
      </c>
      <c r="B1781">
        <v>1860923.55</v>
      </c>
    </row>
    <row r="1782" spans="1:2" x14ac:dyDescent="0.25">
      <c r="A1782" s="1">
        <v>40690</v>
      </c>
      <c r="B1782">
        <v>1866369.93</v>
      </c>
    </row>
    <row r="1783" spans="1:2" x14ac:dyDescent="0.25">
      <c r="A1783" s="1">
        <v>40697</v>
      </c>
      <c r="B1783">
        <v>1935593.87</v>
      </c>
    </row>
    <row r="1784" spans="1:2" x14ac:dyDescent="0.25">
      <c r="A1784" s="1">
        <v>40704</v>
      </c>
      <c r="B1784">
        <v>1997816.98</v>
      </c>
    </row>
    <row r="1785" spans="1:2" x14ac:dyDescent="0.25">
      <c r="A1785" s="1">
        <v>40711</v>
      </c>
      <c r="B1785">
        <v>2086433.49</v>
      </c>
    </row>
    <row r="1786" spans="1:2" x14ac:dyDescent="0.25">
      <c r="A1786" s="1">
        <v>40718</v>
      </c>
      <c r="B1786">
        <v>2009163.08</v>
      </c>
    </row>
    <row r="1787" spans="1:2" x14ac:dyDescent="0.25">
      <c r="A1787" s="1">
        <v>40725</v>
      </c>
      <c r="B1787">
        <v>2048035.74</v>
      </c>
    </row>
    <row r="1788" spans="1:2" x14ac:dyDescent="0.25">
      <c r="A1788" s="1">
        <v>40732</v>
      </c>
      <c r="B1788">
        <v>2021699.38</v>
      </c>
    </row>
    <row r="1789" spans="1:2" x14ac:dyDescent="0.25">
      <c r="A1789" s="1">
        <v>40739</v>
      </c>
      <c r="B1789">
        <v>1956813.31</v>
      </c>
    </row>
    <row r="1790" spans="1:2" x14ac:dyDescent="0.25">
      <c r="A1790" s="1">
        <v>40746</v>
      </c>
      <c r="B1790">
        <v>1987089.36</v>
      </c>
    </row>
    <row r="1791" spans="1:2" x14ac:dyDescent="0.25">
      <c r="A1791" s="1">
        <v>40753</v>
      </c>
      <c r="B1791">
        <v>1880785.69</v>
      </c>
    </row>
    <row r="1792" spans="1:2" x14ac:dyDescent="0.25">
      <c r="A1792" s="1">
        <v>40760</v>
      </c>
      <c r="B1792">
        <v>2076231.8</v>
      </c>
    </row>
    <row r="1793" spans="1:2" x14ac:dyDescent="0.25">
      <c r="A1793" s="1">
        <v>40767</v>
      </c>
      <c r="B1793">
        <v>1970341.38</v>
      </c>
    </row>
    <row r="1794" spans="1:2" x14ac:dyDescent="0.25">
      <c r="A1794" s="1">
        <v>40774</v>
      </c>
      <c r="B1794">
        <v>2090340.98</v>
      </c>
    </row>
    <row r="1795" spans="1:2" x14ac:dyDescent="0.25">
      <c r="A1795" s="1">
        <v>40781</v>
      </c>
      <c r="B1795">
        <v>2035244.54</v>
      </c>
    </row>
    <row r="1796" spans="1:2" x14ac:dyDescent="0.25">
      <c r="A1796" s="1">
        <v>40788</v>
      </c>
      <c r="B1796">
        <v>1953628.82</v>
      </c>
    </row>
    <row r="1797" spans="1:2" x14ac:dyDescent="0.25">
      <c r="A1797" s="1">
        <v>40795</v>
      </c>
      <c r="B1797">
        <v>1872921.31</v>
      </c>
    </row>
    <row r="1798" spans="1:2" x14ac:dyDescent="0.25">
      <c r="A1798" s="1">
        <v>40802</v>
      </c>
      <c r="B1798">
        <v>1923223.82</v>
      </c>
    </row>
    <row r="1799" spans="1:2" x14ac:dyDescent="0.25">
      <c r="A1799" s="1">
        <v>40809</v>
      </c>
      <c r="B1799">
        <v>1847430.96</v>
      </c>
    </row>
    <row r="1800" spans="1:2" x14ac:dyDescent="0.25">
      <c r="A1800" s="1">
        <v>40816</v>
      </c>
      <c r="B1800">
        <v>1835662.69</v>
      </c>
    </row>
    <row r="1801" spans="1:2" x14ac:dyDescent="0.25">
      <c r="A1801" s="1">
        <v>40823</v>
      </c>
      <c r="B1801">
        <v>2067232.56</v>
      </c>
    </row>
    <row r="1802" spans="1:2" x14ac:dyDescent="0.25">
      <c r="A1802" s="1">
        <v>40830</v>
      </c>
      <c r="B1802">
        <v>1929659.07</v>
      </c>
    </row>
    <row r="1803" spans="1:2" x14ac:dyDescent="0.25">
      <c r="A1803" s="1">
        <v>40837</v>
      </c>
      <c r="B1803">
        <v>1973544.27</v>
      </c>
    </row>
    <row r="1804" spans="1:2" x14ac:dyDescent="0.25">
      <c r="A1804" s="1">
        <v>40844</v>
      </c>
      <c r="B1804">
        <v>1948733.81</v>
      </c>
    </row>
    <row r="1805" spans="1:2" x14ac:dyDescent="0.25">
      <c r="A1805" s="1">
        <v>40851</v>
      </c>
      <c r="B1805">
        <v>2036317.54</v>
      </c>
    </row>
    <row r="1806" spans="1:2" x14ac:dyDescent="0.25">
      <c r="A1806" s="1">
        <v>40858</v>
      </c>
      <c r="B1806">
        <v>2111592.09</v>
      </c>
    </row>
    <row r="1807" spans="1:2" x14ac:dyDescent="0.25">
      <c r="A1807" s="1">
        <v>40865</v>
      </c>
      <c r="B1807">
        <v>2016323.51</v>
      </c>
    </row>
    <row r="1808" spans="1:2" x14ac:dyDescent="0.25">
      <c r="A1808" s="1">
        <v>40872</v>
      </c>
      <c r="B1808">
        <v>2864170.61</v>
      </c>
    </row>
    <row r="1809" spans="1:2" x14ac:dyDescent="0.25">
      <c r="A1809" s="1">
        <v>40879</v>
      </c>
      <c r="B1809">
        <v>2051315.66</v>
      </c>
    </row>
    <row r="1810" spans="1:2" x14ac:dyDescent="0.25">
      <c r="A1810" s="1">
        <v>40886</v>
      </c>
      <c r="B1810">
        <v>2462779.06</v>
      </c>
    </row>
    <row r="1811" spans="1:2" x14ac:dyDescent="0.25">
      <c r="A1811" s="1">
        <v>40893</v>
      </c>
      <c r="B1811">
        <v>2760346.71</v>
      </c>
    </row>
    <row r="1812" spans="1:2" x14ac:dyDescent="0.25">
      <c r="A1812" s="1">
        <v>40900</v>
      </c>
      <c r="B1812">
        <v>3556766.03</v>
      </c>
    </row>
    <row r="1813" spans="1:2" x14ac:dyDescent="0.25">
      <c r="A1813" s="1">
        <v>40907</v>
      </c>
      <c r="B1813">
        <v>1969056.91</v>
      </c>
    </row>
    <row r="1814" spans="1:2" x14ac:dyDescent="0.25">
      <c r="A1814" s="1">
        <v>40914</v>
      </c>
      <c r="B1814">
        <v>1865752.78</v>
      </c>
    </row>
    <row r="1815" spans="1:2" x14ac:dyDescent="0.25">
      <c r="A1815" s="1">
        <v>40921</v>
      </c>
      <c r="B1815">
        <v>1794962.64</v>
      </c>
    </row>
    <row r="1816" spans="1:2" x14ac:dyDescent="0.25">
      <c r="A1816" s="1">
        <v>40928</v>
      </c>
      <c r="B1816">
        <v>1811606.21</v>
      </c>
    </row>
    <row r="1817" spans="1:2" x14ac:dyDescent="0.25">
      <c r="A1817" s="1">
        <v>40935</v>
      </c>
      <c r="B1817">
        <v>1733983.09</v>
      </c>
    </row>
    <row r="1818" spans="1:2" x14ac:dyDescent="0.25">
      <c r="A1818" s="1">
        <v>40942</v>
      </c>
      <c r="B1818">
        <v>1927780.74</v>
      </c>
    </row>
    <row r="1819" spans="1:2" x14ac:dyDescent="0.25">
      <c r="A1819" s="1">
        <v>40949</v>
      </c>
      <c r="B1819">
        <v>2069284.57</v>
      </c>
    </row>
    <row r="1820" spans="1:2" x14ac:dyDescent="0.25">
      <c r="A1820" s="1">
        <v>40956</v>
      </c>
      <c r="B1820">
        <v>2214477.06</v>
      </c>
    </row>
    <row r="1821" spans="1:2" x14ac:dyDescent="0.25">
      <c r="A1821" s="1">
        <v>40963</v>
      </c>
      <c r="B1821">
        <v>1929768.03</v>
      </c>
    </row>
    <row r="1822" spans="1:2" x14ac:dyDescent="0.25">
      <c r="A1822" s="1">
        <v>40970</v>
      </c>
      <c r="B1822">
        <v>1969742.76</v>
      </c>
    </row>
    <row r="1823" spans="1:2" x14ac:dyDescent="0.25">
      <c r="A1823" s="1">
        <v>40977</v>
      </c>
      <c r="B1823">
        <v>1986445.65</v>
      </c>
    </row>
    <row r="1824" spans="1:2" x14ac:dyDescent="0.25">
      <c r="A1824" s="1">
        <v>40984</v>
      </c>
      <c r="B1824">
        <v>2025582.62</v>
      </c>
    </row>
    <row r="1825" spans="1:2" x14ac:dyDescent="0.25">
      <c r="A1825" s="1">
        <v>40991</v>
      </c>
      <c r="B1825">
        <v>1904421.74</v>
      </c>
    </row>
    <row r="1826" spans="1:2" x14ac:dyDescent="0.25">
      <c r="A1826" s="1">
        <v>40998</v>
      </c>
      <c r="B1826">
        <v>1948982.7</v>
      </c>
    </row>
    <row r="1827" spans="1:2" x14ac:dyDescent="0.25">
      <c r="A1827" s="1">
        <v>41005</v>
      </c>
      <c r="B1827">
        <v>2271614.7599999998</v>
      </c>
    </row>
    <row r="1828" spans="1:2" x14ac:dyDescent="0.25">
      <c r="A1828" s="1">
        <v>41012</v>
      </c>
      <c r="B1828">
        <v>2057637.86</v>
      </c>
    </row>
    <row r="1829" spans="1:2" x14ac:dyDescent="0.25">
      <c r="A1829" s="1">
        <v>41019</v>
      </c>
      <c r="B1829">
        <v>1955689.12</v>
      </c>
    </row>
    <row r="1830" spans="1:2" x14ac:dyDescent="0.25">
      <c r="A1830" s="1">
        <v>41026</v>
      </c>
      <c r="B1830">
        <v>1970121.65</v>
      </c>
    </row>
    <row r="1831" spans="1:2" x14ac:dyDescent="0.25">
      <c r="A1831" s="1">
        <v>41033</v>
      </c>
      <c r="B1831">
        <v>1995994.51</v>
      </c>
    </row>
    <row r="1832" spans="1:2" x14ac:dyDescent="0.25">
      <c r="A1832" s="1">
        <v>41040</v>
      </c>
      <c r="B1832">
        <v>2080764.17</v>
      </c>
    </row>
    <row r="1833" spans="1:2" x14ac:dyDescent="0.25">
      <c r="A1833" s="1">
        <v>41047</v>
      </c>
      <c r="B1833">
        <v>2131900.5499999998</v>
      </c>
    </row>
    <row r="1834" spans="1:2" x14ac:dyDescent="0.25">
      <c r="A1834" s="1">
        <v>41054</v>
      </c>
      <c r="B1834">
        <v>2043349.41</v>
      </c>
    </row>
    <row r="1835" spans="1:2" x14ac:dyDescent="0.25">
      <c r="A1835" s="1">
        <v>41061</v>
      </c>
      <c r="B1835">
        <v>2035431.39</v>
      </c>
    </row>
    <row r="1836" spans="1:2" x14ac:dyDescent="0.25">
      <c r="A1836" s="1">
        <v>41068</v>
      </c>
      <c r="B1836">
        <v>2182437.9</v>
      </c>
    </row>
    <row r="1837" spans="1:2" x14ac:dyDescent="0.25">
      <c r="A1837" s="1">
        <v>41075</v>
      </c>
      <c r="B1837">
        <v>2152229.11</v>
      </c>
    </row>
    <row r="1838" spans="1:2" x14ac:dyDescent="0.25">
      <c r="A1838" s="1">
        <v>41082</v>
      </c>
      <c r="B1838">
        <v>2094373</v>
      </c>
    </row>
    <row r="1839" spans="1:2" x14ac:dyDescent="0.25">
      <c r="A1839" s="1">
        <v>41089</v>
      </c>
      <c r="B1839">
        <v>2037663.71</v>
      </c>
    </row>
    <row r="1840" spans="1:2" x14ac:dyDescent="0.25">
      <c r="A1840" s="1">
        <v>41096</v>
      </c>
      <c r="B1840">
        <v>2184980.35</v>
      </c>
    </row>
    <row r="1841" spans="1:2" x14ac:dyDescent="0.25">
      <c r="A1841" s="1">
        <v>41103</v>
      </c>
      <c r="B1841">
        <v>2002750.99</v>
      </c>
    </row>
    <row r="1842" spans="1:2" x14ac:dyDescent="0.25">
      <c r="A1842" s="1">
        <v>41110</v>
      </c>
      <c r="B1842">
        <v>2053089.32</v>
      </c>
    </row>
    <row r="1843" spans="1:2" x14ac:dyDescent="0.25">
      <c r="A1843" s="1">
        <v>41117</v>
      </c>
      <c r="B1843">
        <v>1914430.53</v>
      </c>
    </row>
    <row r="1844" spans="1:2" x14ac:dyDescent="0.25">
      <c r="A1844" s="1">
        <v>41124</v>
      </c>
      <c r="B1844">
        <v>2044148.23</v>
      </c>
    </row>
    <row r="1845" spans="1:2" x14ac:dyDescent="0.25">
      <c r="A1845" s="1">
        <v>41131</v>
      </c>
      <c r="B1845">
        <v>2041019.92</v>
      </c>
    </row>
    <row r="1846" spans="1:2" x14ac:dyDescent="0.25">
      <c r="A1846" s="1">
        <v>41138</v>
      </c>
      <c r="B1846">
        <v>2095769.18</v>
      </c>
    </row>
    <row r="1847" spans="1:2" x14ac:dyDescent="0.25">
      <c r="A1847" s="1">
        <v>41145</v>
      </c>
      <c r="B1847">
        <v>2059458.25</v>
      </c>
    </row>
    <row r="1848" spans="1:2" x14ac:dyDescent="0.25">
      <c r="A1848" s="1">
        <v>41152</v>
      </c>
      <c r="B1848">
        <v>2073855.42</v>
      </c>
    </row>
    <row r="1849" spans="1:2" x14ac:dyDescent="0.25">
      <c r="A1849" s="1">
        <v>41159</v>
      </c>
      <c r="B1849">
        <v>2165796.31</v>
      </c>
    </row>
    <row r="1850" spans="1:2" x14ac:dyDescent="0.25">
      <c r="A1850" s="1">
        <v>41166</v>
      </c>
      <c r="B1850">
        <v>1919917.03</v>
      </c>
    </row>
    <row r="1851" spans="1:2" x14ac:dyDescent="0.25">
      <c r="A1851" s="1">
        <v>41173</v>
      </c>
      <c r="B1851">
        <v>1938379.66</v>
      </c>
    </row>
    <row r="1852" spans="1:2" x14ac:dyDescent="0.25">
      <c r="A1852" s="1">
        <v>41180</v>
      </c>
      <c r="B1852">
        <v>1927664.11</v>
      </c>
    </row>
    <row r="1853" spans="1:2" x14ac:dyDescent="0.25">
      <c r="A1853" s="1">
        <v>41187</v>
      </c>
      <c r="B1853">
        <v>2041918.74</v>
      </c>
    </row>
    <row r="1854" spans="1:2" x14ac:dyDescent="0.25">
      <c r="A1854" s="1">
        <v>41194</v>
      </c>
      <c r="B1854">
        <v>1999079.44</v>
      </c>
    </row>
    <row r="1855" spans="1:2" x14ac:dyDescent="0.25">
      <c r="A1855" s="1">
        <v>41201</v>
      </c>
      <c r="B1855">
        <v>2018010.15</v>
      </c>
    </row>
    <row r="1856" spans="1:2" x14ac:dyDescent="0.25">
      <c r="A1856" s="1">
        <v>41208</v>
      </c>
      <c r="B1856">
        <v>2035189.66</v>
      </c>
    </row>
    <row r="1857" spans="1:2" x14ac:dyDescent="0.25">
      <c r="A1857" s="1">
        <v>40214</v>
      </c>
      <c r="B1857">
        <v>2623469.9500000002</v>
      </c>
    </row>
    <row r="1858" spans="1:2" x14ac:dyDescent="0.25">
      <c r="A1858" s="1">
        <v>40221</v>
      </c>
      <c r="B1858">
        <v>1704218.84</v>
      </c>
    </row>
    <row r="1859" spans="1:2" x14ac:dyDescent="0.25">
      <c r="A1859" s="1">
        <v>40228</v>
      </c>
      <c r="B1859">
        <v>2204556.7000000002</v>
      </c>
    </row>
    <row r="1860" spans="1:2" x14ac:dyDescent="0.25">
      <c r="A1860" s="1">
        <v>40235</v>
      </c>
      <c r="B1860">
        <v>2095591.63</v>
      </c>
    </row>
    <row r="1861" spans="1:2" x14ac:dyDescent="0.25">
      <c r="A1861" s="1">
        <v>40242</v>
      </c>
      <c r="B1861">
        <v>2237544.75</v>
      </c>
    </row>
    <row r="1862" spans="1:2" x14ac:dyDescent="0.25">
      <c r="A1862" s="1">
        <v>40249</v>
      </c>
      <c r="B1862">
        <v>2156035.06</v>
      </c>
    </row>
    <row r="1863" spans="1:2" x14ac:dyDescent="0.25">
      <c r="A1863" s="1">
        <v>40256</v>
      </c>
      <c r="B1863">
        <v>2066219.3</v>
      </c>
    </row>
    <row r="1864" spans="1:2" x14ac:dyDescent="0.25">
      <c r="A1864" s="1">
        <v>40263</v>
      </c>
      <c r="B1864">
        <v>2050396.27</v>
      </c>
    </row>
    <row r="1865" spans="1:2" x14ac:dyDescent="0.25">
      <c r="A1865" s="1">
        <v>40270</v>
      </c>
      <c r="B1865">
        <v>2495630.5099999998</v>
      </c>
    </row>
    <row r="1866" spans="1:2" x14ac:dyDescent="0.25">
      <c r="A1866" s="1">
        <v>40277</v>
      </c>
      <c r="B1866">
        <v>2258781.2799999998</v>
      </c>
    </row>
    <row r="1867" spans="1:2" x14ac:dyDescent="0.25">
      <c r="A1867" s="1">
        <v>40284</v>
      </c>
      <c r="B1867">
        <v>2121788.61</v>
      </c>
    </row>
    <row r="1868" spans="1:2" x14ac:dyDescent="0.25">
      <c r="A1868" s="1">
        <v>40291</v>
      </c>
      <c r="B1868">
        <v>2138144.91</v>
      </c>
    </row>
    <row r="1869" spans="1:2" x14ac:dyDescent="0.25">
      <c r="A1869" s="1">
        <v>40298</v>
      </c>
      <c r="B1869">
        <v>2082355.12</v>
      </c>
    </row>
    <row r="1870" spans="1:2" x14ac:dyDescent="0.25">
      <c r="A1870" s="1">
        <v>40305</v>
      </c>
      <c r="B1870">
        <v>2370116.52</v>
      </c>
    </row>
    <row r="1871" spans="1:2" x14ac:dyDescent="0.25">
      <c r="A1871" s="1">
        <v>40312</v>
      </c>
      <c r="B1871">
        <v>2129771.13</v>
      </c>
    </row>
    <row r="1872" spans="1:2" x14ac:dyDescent="0.25">
      <c r="A1872" s="1">
        <v>40319</v>
      </c>
      <c r="B1872">
        <v>2108187.1</v>
      </c>
    </row>
    <row r="1873" spans="1:2" x14ac:dyDescent="0.25">
      <c r="A1873" s="1">
        <v>40326</v>
      </c>
      <c r="B1873">
        <v>2227152.16</v>
      </c>
    </row>
    <row r="1874" spans="1:2" x14ac:dyDescent="0.25">
      <c r="A1874" s="1">
        <v>40333</v>
      </c>
      <c r="B1874">
        <v>2363601.4700000002</v>
      </c>
    </row>
    <row r="1875" spans="1:2" x14ac:dyDescent="0.25">
      <c r="A1875" s="1">
        <v>40340</v>
      </c>
      <c r="B1875">
        <v>2249570.04</v>
      </c>
    </row>
    <row r="1876" spans="1:2" x14ac:dyDescent="0.25">
      <c r="A1876" s="1">
        <v>40347</v>
      </c>
      <c r="B1876">
        <v>2248645.59</v>
      </c>
    </row>
    <row r="1877" spans="1:2" x14ac:dyDescent="0.25">
      <c r="A1877" s="1">
        <v>40354</v>
      </c>
      <c r="B1877">
        <v>2246179.91</v>
      </c>
    </row>
    <row r="1878" spans="1:2" x14ac:dyDescent="0.25">
      <c r="A1878" s="1">
        <v>40361</v>
      </c>
      <c r="B1878">
        <v>2334788.42</v>
      </c>
    </row>
    <row r="1879" spans="1:2" x14ac:dyDescent="0.25">
      <c r="A1879" s="1">
        <v>40368</v>
      </c>
      <c r="B1879">
        <v>2236209.13</v>
      </c>
    </row>
    <row r="1880" spans="1:2" x14ac:dyDescent="0.25">
      <c r="A1880" s="1">
        <v>40375</v>
      </c>
      <c r="B1880">
        <v>2130287.27</v>
      </c>
    </row>
    <row r="1881" spans="1:2" x14ac:dyDescent="0.25">
      <c r="A1881" s="1">
        <v>40382</v>
      </c>
      <c r="B1881">
        <v>2044155.39</v>
      </c>
    </row>
    <row r="1882" spans="1:2" x14ac:dyDescent="0.25">
      <c r="A1882" s="1">
        <v>40389</v>
      </c>
      <c r="B1882">
        <v>2054843.28</v>
      </c>
    </row>
    <row r="1883" spans="1:2" x14ac:dyDescent="0.25">
      <c r="A1883" s="1">
        <v>40396</v>
      </c>
      <c r="B1883">
        <v>2219813.5</v>
      </c>
    </row>
    <row r="1884" spans="1:2" x14ac:dyDescent="0.25">
      <c r="A1884" s="1">
        <v>40403</v>
      </c>
      <c r="B1884">
        <v>2052984.81</v>
      </c>
    </row>
    <row r="1885" spans="1:2" x14ac:dyDescent="0.25">
      <c r="A1885" s="1">
        <v>40410</v>
      </c>
      <c r="B1885">
        <v>2057138.31</v>
      </c>
    </row>
    <row r="1886" spans="1:2" x14ac:dyDescent="0.25">
      <c r="A1886" s="1">
        <v>40417</v>
      </c>
      <c r="B1886">
        <v>2020332.07</v>
      </c>
    </row>
    <row r="1887" spans="1:2" x14ac:dyDescent="0.25">
      <c r="A1887" s="1">
        <v>40424</v>
      </c>
      <c r="B1887">
        <v>2182563.66</v>
      </c>
    </row>
    <row r="1888" spans="1:2" x14ac:dyDescent="0.25">
      <c r="A1888" s="1">
        <v>40431</v>
      </c>
      <c r="B1888">
        <v>2191767.7599999998</v>
      </c>
    </row>
    <row r="1889" spans="1:2" x14ac:dyDescent="0.25">
      <c r="A1889" s="1">
        <v>40438</v>
      </c>
      <c r="B1889">
        <v>1953539.85</v>
      </c>
    </row>
    <row r="1890" spans="1:2" x14ac:dyDescent="0.25">
      <c r="A1890" s="1">
        <v>40445</v>
      </c>
      <c r="B1890">
        <v>1879891.13</v>
      </c>
    </row>
    <row r="1891" spans="1:2" x14ac:dyDescent="0.25">
      <c r="A1891" s="1">
        <v>40452</v>
      </c>
      <c r="B1891">
        <v>1855703.66</v>
      </c>
    </row>
    <row r="1892" spans="1:2" x14ac:dyDescent="0.25">
      <c r="A1892" s="1">
        <v>40459</v>
      </c>
      <c r="B1892">
        <v>2091663.2</v>
      </c>
    </row>
    <row r="1893" spans="1:2" x14ac:dyDescent="0.25">
      <c r="A1893" s="1">
        <v>40466</v>
      </c>
      <c r="B1893">
        <v>1932162.63</v>
      </c>
    </row>
    <row r="1894" spans="1:2" x14ac:dyDescent="0.25">
      <c r="A1894" s="1">
        <v>40473</v>
      </c>
      <c r="B1894">
        <v>1936621.09</v>
      </c>
    </row>
    <row r="1895" spans="1:2" x14ac:dyDescent="0.25">
      <c r="A1895" s="1">
        <v>40480</v>
      </c>
      <c r="B1895">
        <v>1984768.34</v>
      </c>
    </row>
    <row r="1896" spans="1:2" x14ac:dyDescent="0.25">
      <c r="A1896" s="1">
        <v>40487</v>
      </c>
      <c r="B1896">
        <v>2078417.47</v>
      </c>
    </row>
    <row r="1897" spans="1:2" x14ac:dyDescent="0.25">
      <c r="A1897" s="1">
        <v>40494</v>
      </c>
      <c r="B1897">
        <v>2092189.06</v>
      </c>
    </row>
    <row r="1898" spans="1:2" x14ac:dyDescent="0.25">
      <c r="A1898" s="1">
        <v>40501</v>
      </c>
      <c r="B1898">
        <v>1968462.58</v>
      </c>
    </row>
    <row r="1899" spans="1:2" x14ac:dyDescent="0.25">
      <c r="A1899" s="1">
        <v>40508</v>
      </c>
      <c r="B1899">
        <v>2921709.71</v>
      </c>
    </row>
    <row r="1900" spans="1:2" x14ac:dyDescent="0.25">
      <c r="A1900" s="1">
        <v>40515</v>
      </c>
      <c r="B1900">
        <v>2258489.63</v>
      </c>
    </row>
    <row r="1901" spans="1:2" x14ac:dyDescent="0.25">
      <c r="A1901" s="1">
        <v>40522</v>
      </c>
      <c r="B1901">
        <v>2600519.2599999998</v>
      </c>
    </row>
    <row r="1902" spans="1:2" x14ac:dyDescent="0.25">
      <c r="A1902" s="1">
        <v>40529</v>
      </c>
      <c r="B1902">
        <v>2762861.41</v>
      </c>
    </row>
    <row r="1903" spans="1:2" x14ac:dyDescent="0.25">
      <c r="A1903" s="1">
        <v>40536</v>
      </c>
      <c r="B1903">
        <v>3818686.45</v>
      </c>
    </row>
    <row r="1904" spans="1:2" x14ac:dyDescent="0.25">
      <c r="A1904" s="1">
        <v>40543</v>
      </c>
      <c r="B1904">
        <v>1623716.46</v>
      </c>
    </row>
    <row r="1905" spans="1:2" x14ac:dyDescent="0.25">
      <c r="A1905" s="1">
        <v>40550</v>
      </c>
      <c r="B1905">
        <v>1864746.1</v>
      </c>
    </row>
    <row r="1906" spans="1:2" x14ac:dyDescent="0.25">
      <c r="A1906" s="1">
        <v>40557</v>
      </c>
      <c r="B1906">
        <v>1699095.9</v>
      </c>
    </row>
    <row r="1907" spans="1:2" x14ac:dyDescent="0.25">
      <c r="A1907" s="1">
        <v>40564</v>
      </c>
      <c r="B1907">
        <v>1743188.87</v>
      </c>
    </row>
    <row r="1908" spans="1:2" x14ac:dyDescent="0.25">
      <c r="A1908" s="1">
        <v>40571</v>
      </c>
      <c r="B1908">
        <v>1613718.38</v>
      </c>
    </row>
    <row r="1909" spans="1:2" x14ac:dyDescent="0.25">
      <c r="A1909" s="1">
        <v>40578</v>
      </c>
      <c r="B1909">
        <v>1995891.87</v>
      </c>
    </row>
    <row r="1910" spans="1:2" x14ac:dyDescent="0.25">
      <c r="A1910" s="1">
        <v>40585</v>
      </c>
      <c r="B1910">
        <v>1980405.03</v>
      </c>
    </row>
    <row r="1911" spans="1:2" x14ac:dyDescent="0.25">
      <c r="A1911" s="1">
        <v>40592</v>
      </c>
      <c r="B1911">
        <v>2019031.67</v>
      </c>
    </row>
    <row r="1912" spans="1:2" x14ac:dyDescent="0.25">
      <c r="A1912" s="1">
        <v>40599</v>
      </c>
      <c r="B1912">
        <v>1875708.88</v>
      </c>
    </row>
    <row r="1913" spans="1:2" x14ac:dyDescent="0.25">
      <c r="A1913" s="1">
        <v>40606</v>
      </c>
      <c r="B1913">
        <v>2041215.61</v>
      </c>
    </row>
    <row r="1914" spans="1:2" x14ac:dyDescent="0.25">
      <c r="A1914" s="1">
        <v>40613</v>
      </c>
      <c r="B1914">
        <v>1931104.67</v>
      </c>
    </row>
    <row r="1915" spans="1:2" x14ac:dyDescent="0.25">
      <c r="A1915" s="1">
        <v>40620</v>
      </c>
      <c r="B1915">
        <v>1932491.42</v>
      </c>
    </row>
    <row r="1916" spans="1:2" x14ac:dyDescent="0.25">
      <c r="A1916" s="1">
        <v>40627</v>
      </c>
      <c r="B1916">
        <v>1879451.23</v>
      </c>
    </row>
    <row r="1917" spans="1:2" x14ac:dyDescent="0.25">
      <c r="A1917" s="1">
        <v>40634</v>
      </c>
      <c r="B1917">
        <v>1869110.55</v>
      </c>
    </row>
    <row r="1918" spans="1:2" x14ac:dyDescent="0.25">
      <c r="A1918" s="1">
        <v>40641</v>
      </c>
      <c r="B1918">
        <v>2037798.88</v>
      </c>
    </row>
    <row r="1919" spans="1:2" x14ac:dyDescent="0.25">
      <c r="A1919" s="1">
        <v>40648</v>
      </c>
      <c r="B1919">
        <v>1974960.86</v>
      </c>
    </row>
    <row r="1920" spans="1:2" x14ac:dyDescent="0.25">
      <c r="A1920" s="1">
        <v>40655</v>
      </c>
      <c r="B1920">
        <v>2256461.39</v>
      </c>
    </row>
    <row r="1921" spans="1:2" x14ac:dyDescent="0.25">
      <c r="A1921" s="1">
        <v>40662</v>
      </c>
      <c r="B1921">
        <v>1930617.64</v>
      </c>
    </row>
    <row r="1922" spans="1:2" x14ac:dyDescent="0.25">
      <c r="A1922" s="1">
        <v>40669</v>
      </c>
      <c r="B1922">
        <v>2095599.93</v>
      </c>
    </row>
    <row r="1923" spans="1:2" x14ac:dyDescent="0.25">
      <c r="A1923" s="1">
        <v>40676</v>
      </c>
      <c r="B1923">
        <v>2004330.3</v>
      </c>
    </row>
    <row r="1924" spans="1:2" x14ac:dyDescent="0.25">
      <c r="A1924" s="1">
        <v>40683</v>
      </c>
      <c r="B1924">
        <v>1959967.8</v>
      </c>
    </row>
    <row r="1925" spans="1:2" x14ac:dyDescent="0.25">
      <c r="A1925" s="1">
        <v>40690</v>
      </c>
      <c r="B1925">
        <v>2080694.24</v>
      </c>
    </row>
    <row r="1926" spans="1:2" x14ac:dyDescent="0.25">
      <c r="A1926" s="1">
        <v>40697</v>
      </c>
      <c r="B1926">
        <v>2079899.47</v>
      </c>
    </row>
    <row r="1927" spans="1:2" x14ac:dyDescent="0.25">
      <c r="A1927" s="1">
        <v>40704</v>
      </c>
      <c r="B1927">
        <v>2132446</v>
      </c>
    </row>
    <row r="1928" spans="1:2" x14ac:dyDescent="0.25">
      <c r="A1928" s="1">
        <v>40711</v>
      </c>
      <c r="B1928">
        <v>2082083.34</v>
      </c>
    </row>
    <row r="1929" spans="1:2" x14ac:dyDescent="0.25">
      <c r="A1929" s="1">
        <v>40718</v>
      </c>
      <c r="B1929">
        <v>2069523.52</v>
      </c>
    </row>
    <row r="1930" spans="1:2" x14ac:dyDescent="0.25">
      <c r="A1930" s="1">
        <v>40725</v>
      </c>
      <c r="B1930">
        <v>2074668.19</v>
      </c>
    </row>
    <row r="1931" spans="1:2" x14ac:dyDescent="0.25">
      <c r="A1931" s="1">
        <v>40732</v>
      </c>
      <c r="B1931">
        <v>2063401.06</v>
      </c>
    </row>
    <row r="1932" spans="1:2" x14ac:dyDescent="0.25">
      <c r="A1932" s="1">
        <v>40739</v>
      </c>
      <c r="B1932">
        <v>1953544.76</v>
      </c>
    </row>
    <row r="1933" spans="1:2" x14ac:dyDescent="0.25">
      <c r="A1933" s="1">
        <v>40746</v>
      </c>
      <c r="B1933">
        <v>1882070.88</v>
      </c>
    </row>
    <row r="1934" spans="1:2" x14ac:dyDescent="0.25">
      <c r="A1934" s="1">
        <v>40753</v>
      </c>
      <c r="B1934">
        <v>1871021.01</v>
      </c>
    </row>
    <row r="1935" spans="1:2" x14ac:dyDescent="0.25">
      <c r="A1935" s="1">
        <v>40760</v>
      </c>
      <c r="B1935">
        <v>2066020.69</v>
      </c>
    </row>
    <row r="1936" spans="1:2" x14ac:dyDescent="0.25">
      <c r="A1936" s="1">
        <v>40767</v>
      </c>
      <c r="B1936">
        <v>1928773.82</v>
      </c>
    </row>
    <row r="1937" spans="1:2" x14ac:dyDescent="0.25">
      <c r="A1937" s="1">
        <v>40774</v>
      </c>
      <c r="B1937">
        <v>1896873.99</v>
      </c>
    </row>
    <row r="1938" spans="1:2" x14ac:dyDescent="0.25">
      <c r="A1938" s="1">
        <v>40781</v>
      </c>
      <c r="B1938">
        <v>2273470.62</v>
      </c>
    </row>
    <row r="1939" spans="1:2" x14ac:dyDescent="0.25">
      <c r="A1939" s="1">
        <v>40788</v>
      </c>
      <c r="B1939">
        <v>1750891.47</v>
      </c>
    </row>
    <row r="1940" spans="1:2" x14ac:dyDescent="0.25">
      <c r="A1940" s="1">
        <v>40795</v>
      </c>
      <c r="B1940">
        <v>2202742.9</v>
      </c>
    </row>
    <row r="1941" spans="1:2" x14ac:dyDescent="0.25">
      <c r="A1941" s="1">
        <v>40802</v>
      </c>
      <c r="B1941">
        <v>1864637.89</v>
      </c>
    </row>
    <row r="1942" spans="1:2" x14ac:dyDescent="0.25">
      <c r="A1942" s="1">
        <v>40809</v>
      </c>
      <c r="B1942">
        <v>1871555.64</v>
      </c>
    </row>
    <row r="1943" spans="1:2" x14ac:dyDescent="0.25">
      <c r="A1943" s="1">
        <v>40816</v>
      </c>
      <c r="B1943">
        <v>1809989.29</v>
      </c>
    </row>
    <row r="1944" spans="1:2" x14ac:dyDescent="0.25">
      <c r="A1944" s="1">
        <v>40823</v>
      </c>
      <c r="B1944">
        <v>2078796.76</v>
      </c>
    </row>
    <row r="1945" spans="1:2" x14ac:dyDescent="0.25">
      <c r="A1945" s="1">
        <v>40830</v>
      </c>
      <c r="B1945">
        <v>1890870.75</v>
      </c>
    </row>
    <row r="1946" spans="1:2" x14ac:dyDescent="0.25">
      <c r="A1946" s="1">
        <v>40837</v>
      </c>
      <c r="B1946">
        <v>2009004.59</v>
      </c>
    </row>
    <row r="1947" spans="1:2" x14ac:dyDescent="0.25">
      <c r="A1947" s="1">
        <v>40844</v>
      </c>
      <c r="B1947">
        <v>2056846.12</v>
      </c>
    </row>
    <row r="1948" spans="1:2" x14ac:dyDescent="0.25">
      <c r="A1948" s="1">
        <v>40851</v>
      </c>
      <c r="B1948">
        <v>2174056.71</v>
      </c>
    </row>
    <row r="1949" spans="1:2" x14ac:dyDescent="0.25">
      <c r="A1949" s="1">
        <v>40858</v>
      </c>
      <c r="B1949">
        <v>2081534.65</v>
      </c>
    </row>
    <row r="1950" spans="1:2" x14ac:dyDescent="0.25">
      <c r="A1950" s="1">
        <v>40865</v>
      </c>
      <c r="B1950">
        <v>1969360.72</v>
      </c>
    </row>
    <row r="1951" spans="1:2" x14ac:dyDescent="0.25">
      <c r="A1951" s="1">
        <v>40872</v>
      </c>
      <c r="B1951">
        <v>2685351.81</v>
      </c>
    </row>
    <row r="1952" spans="1:2" x14ac:dyDescent="0.25">
      <c r="A1952" s="1">
        <v>40879</v>
      </c>
      <c r="B1952">
        <v>2143080.5699999998</v>
      </c>
    </row>
    <row r="1953" spans="1:2" x14ac:dyDescent="0.25">
      <c r="A1953" s="1">
        <v>40886</v>
      </c>
      <c r="B1953">
        <v>2470581.29</v>
      </c>
    </row>
    <row r="1954" spans="1:2" x14ac:dyDescent="0.25">
      <c r="A1954" s="1">
        <v>40893</v>
      </c>
      <c r="B1954">
        <v>2594363.09</v>
      </c>
    </row>
    <row r="1955" spans="1:2" x14ac:dyDescent="0.25">
      <c r="A1955" s="1">
        <v>40900</v>
      </c>
      <c r="B1955">
        <v>3369068.99</v>
      </c>
    </row>
    <row r="1956" spans="1:2" x14ac:dyDescent="0.25">
      <c r="A1956" s="1">
        <v>40907</v>
      </c>
      <c r="B1956">
        <v>1914148.89</v>
      </c>
    </row>
    <row r="1957" spans="1:2" x14ac:dyDescent="0.25">
      <c r="A1957" s="1">
        <v>40914</v>
      </c>
      <c r="B1957">
        <v>1859144.96</v>
      </c>
    </row>
    <row r="1958" spans="1:2" x14ac:dyDescent="0.25">
      <c r="A1958" s="1">
        <v>40921</v>
      </c>
      <c r="B1958">
        <v>1696248.27</v>
      </c>
    </row>
    <row r="1959" spans="1:2" x14ac:dyDescent="0.25">
      <c r="A1959" s="1">
        <v>40928</v>
      </c>
      <c r="B1959">
        <v>1789113.32</v>
      </c>
    </row>
    <row r="1960" spans="1:2" x14ac:dyDescent="0.25">
      <c r="A1960" s="1">
        <v>40935</v>
      </c>
      <c r="B1960">
        <v>1595362.27</v>
      </c>
    </row>
    <row r="1961" spans="1:2" x14ac:dyDescent="0.25">
      <c r="A1961" s="1">
        <v>40942</v>
      </c>
      <c r="B1961">
        <v>1877410.36</v>
      </c>
    </row>
    <row r="1962" spans="1:2" x14ac:dyDescent="0.25">
      <c r="A1962" s="1">
        <v>40949</v>
      </c>
      <c r="B1962">
        <v>2077256.24</v>
      </c>
    </row>
    <row r="1963" spans="1:2" x14ac:dyDescent="0.25">
      <c r="A1963" s="1">
        <v>40956</v>
      </c>
      <c r="B1963">
        <v>2020550.99</v>
      </c>
    </row>
    <row r="1964" spans="1:2" x14ac:dyDescent="0.25">
      <c r="A1964" s="1">
        <v>40963</v>
      </c>
      <c r="B1964">
        <v>1875040.16</v>
      </c>
    </row>
    <row r="1965" spans="1:2" x14ac:dyDescent="0.25">
      <c r="A1965" s="1">
        <v>40970</v>
      </c>
      <c r="B1965">
        <v>1926004.99</v>
      </c>
    </row>
    <row r="1966" spans="1:2" x14ac:dyDescent="0.25">
      <c r="A1966" s="1">
        <v>40977</v>
      </c>
      <c r="B1966">
        <v>2020839.31</v>
      </c>
    </row>
    <row r="1967" spans="1:2" x14ac:dyDescent="0.25">
      <c r="A1967" s="1">
        <v>40984</v>
      </c>
      <c r="B1967">
        <v>1941040.5</v>
      </c>
    </row>
    <row r="1968" spans="1:2" x14ac:dyDescent="0.25">
      <c r="A1968" s="1">
        <v>40991</v>
      </c>
      <c r="B1968">
        <v>1893447.71</v>
      </c>
    </row>
    <row r="1969" spans="1:2" x14ac:dyDescent="0.25">
      <c r="A1969" s="1">
        <v>40998</v>
      </c>
      <c r="B1969">
        <v>1905033.01</v>
      </c>
    </row>
    <row r="1970" spans="1:2" x14ac:dyDescent="0.25">
      <c r="A1970" s="1">
        <v>41005</v>
      </c>
      <c r="B1970">
        <v>2376022.2599999998</v>
      </c>
    </row>
    <row r="1971" spans="1:2" x14ac:dyDescent="0.25">
      <c r="A1971" s="1">
        <v>41012</v>
      </c>
      <c r="B1971">
        <v>1912909.69</v>
      </c>
    </row>
    <row r="1972" spans="1:2" x14ac:dyDescent="0.25">
      <c r="A1972" s="1">
        <v>41019</v>
      </c>
      <c r="B1972">
        <v>1875686.44</v>
      </c>
    </row>
    <row r="1973" spans="1:2" x14ac:dyDescent="0.25">
      <c r="A1973" s="1">
        <v>41026</v>
      </c>
      <c r="B1973">
        <v>1784029.95</v>
      </c>
    </row>
    <row r="1974" spans="1:2" x14ac:dyDescent="0.25">
      <c r="A1974" s="1">
        <v>41033</v>
      </c>
      <c r="B1974">
        <v>1949354.29</v>
      </c>
    </row>
    <row r="1975" spans="1:2" x14ac:dyDescent="0.25">
      <c r="A1975" s="1">
        <v>41040</v>
      </c>
      <c r="B1975">
        <v>1987531.05</v>
      </c>
    </row>
    <row r="1976" spans="1:2" x14ac:dyDescent="0.25">
      <c r="A1976" s="1">
        <v>41047</v>
      </c>
      <c r="B1976">
        <v>1932233.17</v>
      </c>
    </row>
    <row r="1977" spans="1:2" x14ac:dyDescent="0.25">
      <c r="A1977" s="1">
        <v>41054</v>
      </c>
      <c r="B1977">
        <v>2030869.61</v>
      </c>
    </row>
    <row r="1978" spans="1:2" x14ac:dyDescent="0.25">
      <c r="A1978" s="1">
        <v>41061</v>
      </c>
      <c r="B1978">
        <v>2049485.49</v>
      </c>
    </row>
    <row r="1979" spans="1:2" x14ac:dyDescent="0.25">
      <c r="A1979" s="1">
        <v>41068</v>
      </c>
      <c r="B1979">
        <v>2099615.88</v>
      </c>
    </row>
    <row r="1980" spans="1:2" x14ac:dyDescent="0.25">
      <c r="A1980" s="1">
        <v>41075</v>
      </c>
      <c r="B1980">
        <v>1905733.68</v>
      </c>
    </row>
    <row r="1981" spans="1:2" x14ac:dyDescent="0.25">
      <c r="A1981" s="1">
        <v>41082</v>
      </c>
      <c r="B1981">
        <v>1660228.88</v>
      </c>
    </row>
    <row r="1982" spans="1:2" x14ac:dyDescent="0.25">
      <c r="A1982" s="1">
        <v>41089</v>
      </c>
      <c r="B1982">
        <v>1591835.02</v>
      </c>
    </row>
    <row r="1983" spans="1:2" x14ac:dyDescent="0.25">
      <c r="A1983" s="1">
        <v>41096</v>
      </c>
      <c r="B1983">
        <v>1862128.95</v>
      </c>
    </row>
    <row r="1984" spans="1:2" x14ac:dyDescent="0.25">
      <c r="A1984" s="1">
        <v>41103</v>
      </c>
      <c r="B1984">
        <v>1544422.35</v>
      </c>
    </row>
    <row r="1985" spans="1:2" x14ac:dyDescent="0.25">
      <c r="A1985" s="1">
        <v>41110</v>
      </c>
      <c r="B1985">
        <v>1553250.16</v>
      </c>
    </row>
    <row r="1986" spans="1:2" x14ac:dyDescent="0.25">
      <c r="A1986" s="1">
        <v>41117</v>
      </c>
      <c r="B1986">
        <v>1479514.66</v>
      </c>
    </row>
    <row r="1987" spans="1:2" x14ac:dyDescent="0.25">
      <c r="A1987" s="1">
        <v>41124</v>
      </c>
      <c r="B1987">
        <v>1656886.46</v>
      </c>
    </row>
    <row r="1988" spans="1:2" x14ac:dyDescent="0.25">
      <c r="A1988" s="1">
        <v>41131</v>
      </c>
      <c r="B1988">
        <v>1648570.03</v>
      </c>
    </row>
    <row r="1989" spans="1:2" x14ac:dyDescent="0.25">
      <c r="A1989" s="1">
        <v>41138</v>
      </c>
      <c r="B1989">
        <v>1660433.3</v>
      </c>
    </row>
    <row r="1990" spans="1:2" x14ac:dyDescent="0.25">
      <c r="A1990" s="1">
        <v>41145</v>
      </c>
      <c r="B1990">
        <v>1621841.33</v>
      </c>
    </row>
    <row r="1991" spans="1:2" x14ac:dyDescent="0.25">
      <c r="A1991" s="1">
        <v>41152</v>
      </c>
      <c r="B1991">
        <v>1613342.19</v>
      </c>
    </row>
    <row r="1992" spans="1:2" x14ac:dyDescent="0.25">
      <c r="A1992" s="1">
        <v>41159</v>
      </c>
      <c r="B1992">
        <v>1904512.34</v>
      </c>
    </row>
    <row r="1993" spans="1:2" x14ac:dyDescent="0.25">
      <c r="A1993" s="1">
        <v>41166</v>
      </c>
      <c r="B1993">
        <v>1554794.22</v>
      </c>
    </row>
    <row r="1994" spans="1:2" x14ac:dyDescent="0.25">
      <c r="A1994" s="1">
        <v>41173</v>
      </c>
      <c r="B1994">
        <v>1565352.46</v>
      </c>
    </row>
    <row r="1995" spans="1:2" x14ac:dyDescent="0.25">
      <c r="A1995" s="1">
        <v>41180</v>
      </c>
      <c r="B1995">
        <v>1522512.2</v>
      </c>
    </row>
    <row r="1996" spans="1:2" x14ac:dyDescent="0.25">
      <c r="A1996" s="1">
        <v>41187</v>
      </c>
      <c r="B1996">
        <v>1687592.16</v>
      </c>
    </row>
    <row r="1997" spans="1:2" x14ac:dyDescent="0.25">
      <c r="A1997" s="1">
        <v>41194</v>
      </c>
      <c r="B1997">
        <v>1639585.61</v>
      </c>
    </row>
    <row r="1998" spans="1:2" x14ac:dyDescent="0.25">
      <c r="A1998" s="1">
        <v>41201</v>
      </c>
      <c r="B1998">
        <v>1590274.72</v>
      </c>
    </row>
    <row r="1999" spans="1:2" x14ac:dyDescent="0.25">
      <c r="A1999" s="1">
        <v>41208</v>
      </c>
      <c r="B1999">
        <v>1704357.62</v>
      </c>
    </row>
    <row r="2000" spans="1:2" x14ac:dyDescent="0.25">
      <c r="A2000" s="1">
        <v>40214</v>
      </c>
      <c r="B2000">
        <v>652122.43999999994</v>
      </c>
    </row>
    <row r="2001" spans="1:2" x14ac:dyDescent="0.25">
      <c r="A2001" s="1">
        <v>40221</v>
      </c>
      <c r="B2001">
        <v>682447.1</v>
      </c>
    </row>
    <row r="2002" spans="1:2" x14ac:dyDescent="0.25">
      <c r="A2002" s="1">
        <v>40228</v>
      </c>
      <c r="B2002">
        <v>660838.75</v>
      </c>
    </row>
    <row r="2003" spans="1:2" x14ac:dyDescent="0.25">
      <c r="A2003" s="1">
        <v>40235</v>
      </c>
      <c r="B2003">
        <v>564883.19999999995</v>
      </c>
    </row>
    <row r="2004" spans="1:2" x14ac:dyDescent="0.25">
      <c r="A2004" s="1">
        <v>40242</v>
      </c>
      <c r="B2004">
        <v>605325.43000000005</v>
      </c>
    </row>
    <row r="2005" spans="1:2" x14ac:dyDescent="0.25">
      <c r="A2005" s="1">
        <v>40249</v>
      </c>
      <c r="B2005">
        <v>604173.59</v>
      </c>
    </row>
    <row r="2006" spans="1:2" x14ac:dyDescent="0.25">
      <c r="A2006" s="1">
        <v>40256</v>
      </c>
      <c r="B2006">
        <v>593710.67000000004</v>
      </c>
    </row>
    <row r="2007" spans="1:2" x14ac:dyDescent="0.25">
      <c r="A2007" s="1">
        <v>40263</v>
      </c>
      <c r="B2007">
        <v>592111.49</v>
      </c>
    </row>
    <row r="2008" spans="1:2" x14ac:dyDescent="0.25">
      <c r="A2008" s="1">
        <v>40270</v>
      </c>
      <c r="B2008">
        <v>718470.71</v>
      </c>
    </row>
    <row r="2009" spans="1:2" x14ac:dyDescent="0.25">
      <c r="A2009" s="1">
        <v>40277</v>
      </c>
      <c r="B2009">
        <v>634605.77</v>
      </c>
    </row>
    <row r="2010" spans="1:2" x14ac:dyDescent="0.25">
      <c r="A2010" s="1">
        <v>40284</v>
      </c>
      <c r="B2010">
        <v>641208.65</v>
      </c>
    </row>
    <row r="2011" spans="1:2" x14ac:dyDescent="0.25">
      <c r="A2011" s="1">
        <v>40291</v>
      </c>
      <c r="B2011">
        <v>643097.59999999998</v>
      </c>
    </row>
    <row r="2012" spans="1:2" x14ac:dyDescent="0.25">
      <c r="A2012" s="1">
        <v>40298</v>
      </c>
      <c r="B2012">
        <v>570791.11</v>
      </c>
    </row>
    <row r="2013" spans="1:2" x14ac:dyDescent="0.25">
      <c r="A2013" s="1">
        <v>40305</v>
      </c>
      <c r="B2013">
        <v>661348.88</v>
      </c>
    </row>
    <row r="2014" spans="1:2" x14ac:dyDescent="0.25">
      <c r="A2014" s="1">
        <v>40312</v>
      </c>
      <c r="B2014">
        <v>594385.19999999995</v>
      </c>
    </row>
    <row r="2015" spans="1:2" x14ac:dyDescent="0.25">
      <c r="A2015" s="1">
        <v>40319</v>
      </c>
      <c r="B2015">
        <v>616598.1</v>
      </c>
    </row>
    <row r="2016" spans="1:2" x14ac:dyDescent="0.25">
      <c r="A2016" s="1">
        <v>40326</v>
      </c>
      <c r="B2016">
        <v>744772.88</v>
      </c>
    </row>
    <row r="2017" spans="1:2" x14ac:dyDescent="0.25">
      <c r="A2017" s="1">
        <v>40333</v>
      </c>
      <c r="B2017">
        <v>693192.5</v>
      </c>
    </row>
    <row r="2018" spans="1:2" x14ac:dyDescent="0.25">
      <c r="A2018" s="1">
        <v>40340</v>
      </c>
      <c r="B2018">
        <v>619337.29</v>
      </c>
    </row>
    <row r="2019" spans="1:2" x14ac:dyDescent="0.25">
      <c r="A2019" s="1">
        <v>40347</v>
      </c>
      <c r="B2019">
        <v>652329.53</v>
      </c>
    </row>
    <row r="2020" spans="1:2" x14ac:dyDescent="0.25">
      <c r="A2020" s="1">
        <v>40354</v>
      </c>
      <c r="B2020">
        <v>672194.03</v>
      </c>
    </row>
    <row r="2021" spans="1:2" x14ac:dyDescent="0.25">
      <c r="A2021" s="1">
        <v>40361</v>
      </c>
      <c r="B2021">
        <v>709337.11</v>
      </c>
    </row>
    <row r="2022" spans="1:2" x14ac:dyDescent="0.25">
      <c r="A2022" s="1">
        <v>40368</v>
      </c>
      <c r="B2022">
        <v>691497.62</v>
      </c>
    </row>
    <row r="2023" spans="1:2" x14ac:dyDescent="0.25">
      <c r="A2023" s="1">
        <v>40375</v>
      </c>
      <c r="B2023">
        <v>633203.68999999994</v>
      </c>
    </row>
    <row r="2024" spans="1:2" x14ac:dyDescent="0.25">
      <c r="A2024" s="1">
        <v>40382</v>
      </c>
      <c r="B2024">
        <v>598553.43000000005</v>
      </c>
    </row>
    <row r="2025" spans="1:2" x14ac:dyDescent="0.25">
      <c r="A2025" s="1">
        <v>40389</v>
      </c>
      <c r="B2025">
        <v>619224.06000000006</v>
      </c>
    </row>
    <row r="2026" spans="1:2" x14ac:dyDescent="0.25">
      <c r="A2026" s="1">
        <v>40396</v>
      </c>
      <c r="B2026">
        <v>639651.24</v>
      </c>
    </row>
    <row r="2027" spans="1:2" x14ac:dyDescent="0.25">
      <c r="A2027" s="1">
        <v>40403</v>
      </c>
      <c r="B2027">
        <v>622437.07999999996</v>
      </c>
    </row>
    <row r="2028" spans="1:2" x14ac:dyDescent="0.25">
      <c r="A2028" s="1">
        <v>40410</v>
      </c>
      <c r="B2028">
        <v>637090.43999999994</v>
      </c>
    </row>
    <row r="2029" spans="1:2" x14ac:dyDescent="0.25">
      <c r="A2029" s="1">
        <v>40417</v>
      </c>
      <c r="B2029">
        <v>649791.15</v>
      </c>
    </row>
    <row r="2030" spans="1:2" x14ac:dyDescent="0.25">
      <c r="A2030" s="1">
        <v>40424</v>
      </c>
      <c r="B2030">
        <v>638647.21</v>
      </c>
    </row>
    <row r="2031" spans="1:2" x14ac:dyDescent="0.25">
      <c r="A2031" s="1">
        <v>40431</v>
      </c>
      <c r="B2031">
        <v>641965.19999999995</v>
      </c>
    </row>
    <row r="2032" spans="1:2" x14ac:dyDescent="0.25">
      <c r="A2032" s="1">
        <v>40438</v>
      </c>
      <c r="B2032">
        <v>583210.87</v>
      </c>
    </row>
    <row r="2033" spans="1:2" x14ac:dyDescent="0.25">
      <c r="A2033" s="1">
        <v>40445</v>
      </c>
      <c r="B2033">
        <v>548542.47</v>
      </c>
    </row>
    <row r="2034" spans="1:2" x14ac:dyDescent="0.25">
      <c r="A2034" s="1">
        <v>40452</v>
      </c>
      <c r="B2034">
        <v>566945.94999999995</v>
      </c>
    </row>
    <row r="2035" spans="1:2" x14ac:dyDescent="0.25">
      <c r="A2035" s="1">
        <v>40459</v>
      </c>
      <c r="B2035">
        <v>591603.79</v>
      </c>
    </row>
    <row r="2036" spans="1:2" x14ac:dyDescent="0.25">
      <c r="A2036" s="1">
        <v>40466</v>
      </c>
      <c r="B2036">
        <v>577011.26</v>
      </c>
    </row>
    <row r="2037" spans="1:2" x14ac:dyDescent="0.25">
      <c r="A2037" s="1">
        <v>40473</v>
      </c>
      <c r="B2037">
        <v>600395.73</v>
      </c>
    </row>
    <row r="2038" spans="1:2" x14ac:dyDescent="0.25">
      <c r="A2038" s="1">
        <v>40480</v>
      </c>
      <c r="B2038">
        <v>598301.5</v>
      </c>
    </row>
    <row r="2039" spans="1:2" x14ac:dyDescent="0.25">
      <c r="A2039" s="1">
        <v>40487</v>
      </c>
      <c r="B2039">
        <v>612987.64</v>
      </c>
    </row>
    <row r="2040" spans="1:2" x14ac:dyDescent="0.25">
      <c r="A2040" s="1">
        <v>40494</v>
      </c>
      <c r="B2040">
        <v>619639.74</v>
      </c>
    </row>
    <row r="2041" spans="1:2" x14ac:dyDescent="0.25">
      <c r="A2041" s="1">
        <v>40501</v>
      </c>
      <c r="B2041">
        <v>608200.81000000006</v>
      </c>
    </row>
    <row r="2042" spans="1:2" x14ac:dyDescent="0.25">
      <c r="A2042" s="1">
        <v>40508</v>
      </c>
      <c r="B2042">
        <v>1120018.92</v>
      </c>
    </row>
    <row r="2043" spans="1:2" x14ac:dyDescent="0.25">
      <c r="A2043" s="1">
        <v>40515</v>
      </c>
      <c r="B2043">
        <v>754134.95</v>
      </c>
    </row>
    <row r="2044" spans="1:2" x14ac:dyDescent="0.25">
      <c r="A2044" s="1">
        <v>40522</v>
      </c>
      <c r="B2044">
        <v>847294.04</v>
      </c>
    </row>
    <row r="2045" spans="1:2" x14ac:dyDescent="0.25">
      <c r="A2045" s="1">
        <v>40529</v>
      </c>
      <c r="B2045">
        <v>983825.15</v>
      </c>
    </row>
    <row r="2046" spans="1:2" x14ac:dyDescent="0.25">
      <c r="A2046" s="1">
        <v>40536</v>
      </c>
      <c r="B2046">
        <v>1368318.17</v>
      </c>
    </row>
    <row r="2047" spans="1:2" x14ac:dyDescent="0.25">
      <c r="A2047" s="1">
        <v>40543</v>
      </c>
      <c r="B2047">
        <v>543754.17000000004</v>
      </c>
    </row>
    <row r="2048" spans="1:2" x14ac:dyDescent="0.25">
      <c r="A2048" s="1">
        <v>40550</v>
      </c>
      <c r="B2048">
        <v>509640.77</v>
      </c>
    </row>
    <row r="2049" spans="1:2" x14ac:dyDescent="0.25">
      <c r="A2049" s="1">
        <v>40557</v>
      </c>
      <c r="B2049">
        <v>479424.2</v>
      </c>
    </row>
    <row r="2050" spans="1:2" x14ac:dyDescent="0.25">
      <c r="A2050" s="1">
        <v>40564</v>
      </c>
      <c r="B2050">
        <v>487311.03</v>
      </c>
    </row>
    <row r="2051" spans="1:2" x14ac:dyDescent="0.25">
      <c r="A2051" s="1">
        <v>40571</v>
      </c>
      <c r="B2051">
        <v>481119.6</v>
      </c>
    </row>
    <row r="2052" spans="1:2" x14ac:dyDescent="0.25">
      <c r="A2052" s="1">
        <v>40578</v>
      </c>
      <c r="B2052">
        <v>556550.85</v>
      </c>
    </row>
    <row r="2053" spans="1:2" x14ac:dyDescent="0.25">
      <c r="A2053" s="1">
        <v>40585</v>
      </c>
      <c r="B2053">
        <v>582864.35</v>
      </c>
    </row>
    <row r="2054" spans="1:2" x14ac:dyDescent="0.25">
      <c r="A2054" s="1">
        <v>40592</v>
      </c>
      <c r="B2054">
        <v>649993.5</v>
      </c>
    </row>
    <row r="2055" spans="1:2" x14ac:dyDescent="0.25">
      <c r="A2055" s="1">
        <v>40599</v>
      </c>
      <c r="B2055">
        <v>547564.09</v>
      </c>
    </row>
    <row r="2056" spans="1:2" x14ac:dyDescent="0.25">
      <c r="A2056" s="1">
        <v>40606</v>
      </c>
      <c r="B2056">
        <v>573374.49</v>
      </c>
    </row>
    <row r="2057" spans="1:2" x14ac:dyDescent="0.25">
      <c r="A2057" s="1">
        <v>40613</v>
      </c>
      <c r="B2057">
        <v>537035.28</v>
      </c>
    </row>
    <row r="2058" spans="1:2" x14ac:dyDescent="0.25">
      <c r="A2058" s="1">
        <v>40620</v>
      </c>
      <c r="B2058">
        <v>551553.99</v>
      </c>
    </row>
    <row r="2059" spans="1:2" x14ac:dyDescent="0.25">
      <c r="A2059" s="1">
        <v>40627</v>
      </c>
      <c r="B2059">
        <v>527389.28</v>
      </c>
    </row>
    <row r="2060" spans="1:2" x14ac:dyDescent="0.25">
      <c r="A2060" s="1">
        <v>40634</v>
      </c>
      <c r="B2060">
        <v>542556.05000000005</v>
      </c>
    </row>
    <row r="2061" spans="1:2" x14ac:dyDescent="0.25">
      <c r="A2061" s="1">
        <v>40641</v>
      </c>
      <c r="B2061">
        <v>587370.81000000006</v>
      </c>
    </row>
    <row r="2062" spans="1:2" x14ac:dyDescent="0.25">
      <c r="A2062" s="1">
        <v>40648</v>
      </c>
      <c r="B2062">
        <v>607691.36</v>
      </c>
    </row>
    <row r="2063" spans="1:2" x14ac:dyDescent="0.25">
      <c r="A2063" s="1">
        <v>40655</v>
      </c>
      <c r="B2063">
        <v>655318.26</v>
      </c>
    </row>
    <row r="2064" spans="1:2" x14ac:dyDescent="0.25">
      <c r="A2064" s="1">
        <v>40662</v>
      </c>
      <c r="B2064">
        <v>560764.41</v>
      </c>
    </row>
    <row r="2065" spans="1:2" x14ac:dyDescent="0.25">
      <c r="A2065" s="1">
        <v>40669</v>
      </c>
      <c r="B2065">
        <v>630522.67000000004</v>
      </c>
    </row>
    <row r="2066" spans="1:2" x14ac:dyDescent="0.25">
      <c r="A2066" s="1">
        <v>40676</v>
      </c>
      <c r="B2066">
        <v>630482.91</v>
      </c>
    </row>
    <row r="2067" spans="1:2" x14ac:dyDescent="0.25">
      <c r="A2067" s="1">
        <v>40683</v>
      </c>
      <c r="B2067">
        <v>593941.9</v>
      </c>
    </row>
    <row r="2068" spans="1:2" x14ac:dyDescent="0.25">
      <c r="A2068" s="1">
        <v>40690</v>
      </c>
      <c r="B2068">
        <v>636193.24</v>
      </c>
    </row>
    <row r="2069" spans="1:2" x14ac:dyDescent="0.25">
      <c r="A2069" s="1">
        <v>40697</v>
      </c>
      <c r="B2069">
        <v>695396.19</v>
      </c>
    </row>
    <row r="2070" spans="1:2" x14ac:dyDescent="0.25">
      <c r="A2070" s="1">
        <v>40704</v>
      </c>
      <c r="B2070">
        <v>642679.81000000006</v>
      </c>
    </row>
    <row r="2071" spans="1:2" x14ac:dyDescent="0.25">
      <c r="A2071" s="1">
        <v>40711</v>
      </c>
      <c r="B2071">
        <v>639928.85</v>
      </c>
    </row>
    <row r="2072" spans="1:2" x14ac:dyDescent="0.25">
      <c r="A2072" s="1">
        <v>40718</v>
      </c>
      <c r="B2072">
        <v>656594.94999999995</v>
      </c>
    </row>
    <row r="2073" spans="1:2" x14ac:dyDescent="0.25">
      <c r="A2073" s="1">
        <v>40725</v>
      </c>
      <c r="B2073">
        <v>674669.16</v>
      </c>
    </row>
    <row r="2074" spans="1:2" x14ac:dyDescent="0.25">
      <c r="A2074" s="1">
        <v>40732</v>
      </c>
      <c r="B2074">
        <v>635118.48</v>
      </c>
    </row>
    <row r="2075" spans="1:2" x14ac:dyDescent="0.25">
      <c r="A2075" s="1">
        <v>40739</v>
      </c>
      <c r="B2075">
        <v>624114.56000000006</v>
      </c>
    </row>
    <row r="2076" spans="1:2" x14ac:dyDescent="0.25">
      <c r="A2076" s="1">
        <v>40746</v>
      </c>
      <c r="B2076">
        <v>607475.43999999994</v>
      </c>
    </row>
    <row r="2077" spans="1:2" x14ac:dyDescent="0.25">
      <c r="A2077" s="1">
        <v>40753</v>
      </c>
      <c r="B2077">
        <v>577511.02</v>
      </c>
    </row>
    <row r="2078" spans="1:2" x14ac:dyDescent="0.25">
      <c r="A2078" s="1">
        <v>40760</v>
      </c>
      <c r="B2078">
        <v>607961.21</v>
      </c>
    </row>
    <row r="2079" spans="1:2" x14ac:dyDescent="0.25">
      <c r="A2079" s="1">
        <v>40767</v>
      </c>
      <c r="B2079">
        <v>590836.37</v>
      </c>
    </row>
    <row r="2080" spans="1:2" x14ac:dyDescent="0.25">
      <c r="A2080" s="1">
        <v>40774</v>
      </c>
      <c r="B2080">
        <v>599488.98</v>
      </c>
    </row>
    <row r="2081" spans="1:2" x14ac:dyDescent="0.25">
      <c r="A2081" s="1">
        <v>40781</v>
      </c>
      <c r="B2081">
        <v>605413.17000000004</v>
      </c>
    </row>
    <row r="2082" spans="1:2" x14ac:dyDescent="0.25">
      <c r="A2082" s="1">
        <v>40788</v>
      </c>
      <c r="B2082">
        <v>649159.68000000005</v>
      </c>
    </row>
    <row r="2083" spans="1:2" x14ac:dyDescent="0.25">
      <c r="A2083" s="1">
        <v>40795</v>
      </c>
      <c r="B2083">
        <v>607593.51</v>
      </c>
    </row>
    <row r="2084" spans="1:2" x14ac:dyDescent="0.25">
      <c r="A2084" s="1">
        <v>40802</v>
      </c>
      <c r="B2084">
        <v>545052.34</v>
      </c>
    </row>
    <row r="2085" spans="1:2" x14ac:dyDescent="0.25">
      <c r="A2085" s="1">
        <v>40809</v>
      </c>
      <c r="B2085">
        <v>545570.86</v>
      </c>
    </row>
    <row r="2086" spans="1:2" x14ac:dyDescent="0.25">
      <c r="A2086" s="1">
        <v>40816</v>
      </c>
      <c r="B2086">
        <v>521297.31</v>
      </c>
    </row>
    <row r="2087" spans="1:2" x14ac:dyDescent="0.25">
      <c r="A2087" s="1">
        <v>40823</v>
      </c>
      <c r="B2087">
        <v>579068.88</v>
      </c>
    </row>
    <row r="2088" spans="1:2" x14ac:dyDescent="0.25">
      <c r="A2088" s="1">
        <v>40830</v>
      </c>
      <c r="B2088">
        <v>537300.93999999994</v>
      </c>
    </row>
    <row r="2089" spans="1:2" x14ac:dyDescent="0.25">
      <c r="A2089" s="1">
        <v>40837</v>
      </c>
      <c r="B2089">
        <v>603318.89</v>
      </c>
    </row>
    <row r="2090" spans="1:2" x14ac:dyDescent="0.25">
      <c r="A2090" s="1">
        <v>40844</v>
      </c>
      <c r="B2090">
        <v>589842.68999999994</v>
      </c>
    </row>
    <row r="2091" spans="1:2" x14ac:dyDescent="0.25">
      <c r="A2091" s="1">
        <v>40851</v>
      </c>
      <c r="B2091">
        <v>615121.78</v>
      </c>
    </row>
    <row r="2092" spans="1:2" x14ac:dyDescent="0.25">
      <c r="A2092" s="1">
        <v>40858</v>
      </c>
      <c r="B2092">
        <v>618949.81999999995</v>
      </c>
    </row>
    <row r="2093" spans="1:2" x14ac:dyDescent="0.25">
      <c r="A2093" s="1">
        <v>40865</v>
      </c>
      <c r="B2093">
        <v>597856.51</v>
      </c>
    </row>
    <row r="2094" spans="1:2" x14ac:dyDescent="0.25">
      <c r="A2094" s="1">
        <v>40872</v>
      </c>
      <c r="B2094">
        <v>1066478.1000000001</v>
      </c>
    </row>
    <row r="2095" spans="1:2" x14ac:dyDescent="0.25">
      <c r="A2095" s="1">
        <v>40879</v>
      </c>
      <c r="B2095">
        <v>699028.66</v>
      </c>
    </row>
    <row r="2096" spans="1:2" x14ac:dyDescent="0.25">
      <c r="A2096" s="1">
        <v>40886</v>
      </c>
      <c r="B2096">
        <v>764565.55</v>
      </c>
    </row>
    <row r="2097" spans="1:2" x14ac:dyDescent="0.25">
      <c r="A2097" s="1">
        <v>40893</v>
      </c>
      <c r="B2097">
        <v>870415.49</v>
      </c>
    </row>
    <row r="2098" spans="1:2" x14ac:dyDescent="0.25">
      <c r="A2098" s="1">
        <v>40900</v>
      </c>
      <c r="B2098">
        <v>1182691.8700000001</v>
      </c>
    </row>
    <row r="2099" spans="1:2" x14ac:dyDescent="0.25">
      <c r="A2099" s="1">
        <v>40907</v>
      </c>
      <c r="B2099">
        <v>603460.79</v>
      </c>
    </row>
    <row r="2100" spans="1:2" x14ac:dyDescent="0.25">
      <c r="A2100" s="1">
        <v>40914</v>
      </c>
      <c r="B2100">
        <v>516087.65</v>
      </c>
    </row>
    <row r="2101" spans="1:2" x14ac:dyDescent="0.25">
      <c r="A2101" s="1">
        <v>40921</v>
      </c>
      <c r="B2101">
        <v>454183.42</v>
      </c>
    </row>
    <row r="2102" spans="1:2" x14ac:dyDescent="0.25">
      <c r="A2102" s="1">
        <v>40928</v>
      </c>
      <c r="B2102">
        <v>492721.85</v>
      </c>
    </row>
    <row r="2103" spans="1:2" x14ac:dyDescent="0.25">
      <c r="A2103" s="1">
        <v>40935</v>
      </c>
      <c r="B2103">
        <v>466045.63</v>
      </c>
    </row>
    <row r="2104" spans="1:2" x14ac:dyDescent="0.25">
      <c r="A2104" s="1">
        <v>40942</v>
      </c>
      <c r="B2104">
        <v>523831.64</v>
      </c>
    </row>
    <row r="2105" spans="1:2" x14ac:dyDescent="0.25">
      <c r="A2105" s="1">
        <v>40949</v>
      </c>
      <c r="B2105">
        <v>628218.22</v>
      </c>
    </row>
    <row r="2106" spans="1:2" x14ac:dyDescent="0.25">
      <c r="A2106" s="1">
        <v>40956</v>
      </c>
      <c r="B2106">
        <v>598502.82999999996</v>
      </c>
    </row>
    <row r="2107" spans="1:2" x14ac:dyDescent="0.25">
      <c r="A2107" s="1">
        <v>40963</v>
      </c>
      <c r="B2107">
        <v>561137.06000000006</v>
      </c>
    </row>
    <row r="2108" spans="1:2" x14ac:dyDescent="0.25">
      <c r="A2108" s="1">
        <v>40970</v>
      </c>
      <c r="B2108">
        <v>541292.64</v>
      </c>
    </row>
    <row r="2109" spans="1:2" x14ac:dyDescent="0.25">
      <c r="A2109" s="1">
        <v>40977</v>
      </c>
      <c r="B2109">
        <v>545120.67000000004</v>
      </c>
    </row>
    <row r="2110" spans="1:2" x14ac:dyDescent="0.25">
      <c r="A2110" s="1">
        <v>40984</v>
      </c>
      <c r="B2110">
        <v>570611.23</v>
      </c>
    </row>
    <row r="2111" spans="1:2" x14ac:dyDescent="0.25">
      <c r="A2111" s="1">
        <v>40991</v>
      </c>
      <c r="B2111">
        <v>565481.88</v>
      </c>
    </row>
    <row r="2112" spans="1:2" x14ac:dyDescent="0.25">
      <c r="A2112" s="1">
        <v>40998</v>
      </c>
      <c r="B2112">
        <v>557547.25</v>
      </c>
    </row>
    <row r="2113" spans="1:2" x14ac:dyDescent="0.25">
      <c r="A2113" s="1">
        <v>41005</v>
      </c>
      <c r="B2113">
        <v>659950.36</v>
      </c>
    </row>
    <row r="2114" spans="1:2" x14ac:dyDescent="0.25">
      <c r="A2114" s="1">
        <v>41012</v>
      </c>
      <c r="B2114">
        <v>558585.13</v>
      </c>
    </row>
    <row r="2115" spans="1:2" x14ac:dyDescent="0.25">
      <c r="A2115" s="1">
        <v>41019</v>
      </c>
      <c r="B2115">
        <v>534780.56999999995</v>
      </c>
    </row>
    <row r="2116" spans="1:2" x14ac:dyDescent="0.25">
      <c r="A2116" s="1">
        <v>41026</v>
      </c>
      <c r="B2116">
        <v>527402.62</v>
      </c>
    </row>
    <row r="2117" spans="1:2" x14ac:dyDescent="0.25">
      <c r="A2117" s="1">
        <v>41033</v>
      </c>
      <c r="B2117">
        <v>577868.38</v>
      </c>
    </row>
    <row r="2118" spans="1:2" x14ac:dyDescent="0.25">
      <c r="A2118" s="1">
        <v>41040</v>
      </c>
      <c r="B2118">
        <v>579539.94999999995</v>
      </c>
    </row>
    <row r="2119" spans="1:2" x14ac:dyDescent="0.25">
      <c r="A2119" s="1">
        <v>41047</v>
      </c>
      <c r="B2119">
        <v>600050.98</v>
      </c>
    </row>
    <row r="2120" spans="1:2" x14ac:dyDescent="0.25">
      <c r="A2120" s="1">
        <v>41054</v>
      </c>
      <c r="B2120">
        <v>693780.42</v>
      </c>
    </row>
    <row r="2121" spans="1:2" x14ac:dyDescent="0.25">
      <c r="A2121" s="1">
        <v>41061</v>
      </c>
      <c r="B2121">
        <v>663971.26</v>
      </c>
    </row>
    <row r="2122" spans="1:2" x14ac:dyDescent="0.25">
      <c r="A2122" s="1">
        <v>41068</v>
      </c>
      <c r="B2122">
        <v>611390.67000000004</v>
      </c>
    </row>
    <row r="2123" spans="1:2" x14ac:dyDescent="0.25">
      <c r="A2123" s="1">
        <v>41075</v>
      </c>
      <c r="B2123">
        <v>636737.65</v>
      </c>
    </row>
    <row r="2124" spans="1:2" x14ac:dyDescent="0.25">
      <c r="A2124" s="1">
        <v>41082</v>
      </c>
      <c r="B2124">
        <v>687085.6</v>
      </c>
    </row>
    <row r="2125" spans="1:2" x14ac:dyDescent="0.25">
      <c r="A2125" s="1">
        <v>41089</v>
      </c>
      <c r="B2125">
        <v>624099.48</v>
      </c>
    </row>
    <row r="2126" spans="1:2" x14ac:dyDescent="0.25">
      <c r="A2126" s="1">
        <v>41096</v>
      </c>
      <c r="B2126">
        <v>678024.75</v>
      </c>
    </row>
    <row r="2127" spans="1:2" x14ac:dyDescent="0.25">
      <c r="A2127" s="1">
        <v>41103</v>
      </c>
      <c r="B2127">
        <v>591335.5</v>
      </c>
    </row>
    <row r="2128" spans="1:2" x14ac:dyDescent="0.25">
      <c r="A2128" s="1">
        <v>41110</v>
      </c>
      <c r="B2128">
        <v>592369.22</v>
      </c>
    </row>
    <row r="2129" spans="1:2" x14ac:dyDescent="0.25">
      <c r="A2129" s="1">
        <v>41117</v>
      </c>
      <c r="B2129">
        <v>571190.82999999996</v>
      </c>
    </row>
    <row r="2130" spans="1:2" x14ac:dyDescent="0.25">
      <c r="A2130" s="1">
        <v>41124</v>
      </c>
      <c r="B2130">
        <v>590739.62</v>
      </c>
    </row>
    <row r="2131" spans="1:2" x14ac:dyDescent="0.25">
      <c r="A2131" s="1">
        <v>41131</v>
      </c>
      <c r="B2131">
        <v>590453.63</v>
      </c>
    </row>
    <row r="2132" spans="1:2" x14ac:dyDescent="0.25">
      <c r="A2132" s="1">
        <v>41138</v>
      </c>
      <c r="B2132">
        <v>579738.19999999995</v>
      </c>
    </row>
    <row r="2133" spans="1:2" x14ac:dyDescent="0.25">
      <c r="A2133" s="1">
        <v>41145</v>
      </c>
      <c r="B2133">
        <v>606210.77</v>
      </c>
    </row>
    <row r="2134" spans="1:2" x14ac:dyDescent="0.25">
      <c r="A2134" s="1">
        <v>41152</v>
      </c>
      <c r="B2134">
        <v>610185.31999999995</v>
      </c>
    </row>
    <row r="2135" spans="1:2" x14ac:dyDescent="0.25">
      <c r="A2135" s="1">
        <v>41159</v>
      </c>
      <c r="B2135">
        <v>587259.81999999995</v>
      </c>
    </row>
    <row r="2136" spans="1:2" x14ac:dyDescent="0.25">
      <c r="A2136" s="1">
        <v>41166</v>
      </c>
      <c r="B2136">
        <v>527509.76000000001</v>
      </c>
    </row>
    <row r="2137" spans="1:2" x14ac:dyDescent="0.25">
      <c r="A2137" s="1">
        <v>41173</v>
      </c>
      <c r="B2137">
        <v>533161.64</v>
      </c>
    </row>
    <row r="2138" spans="1:2" x14ac:dyDescent="0.25">
      <c r="A2138" s="1">
        <v>41180</v>
      </c>
      <c r="B2138">
        <v>553901.97</v>
      </c>
    </row>
    <row r="2139" spans="1:2" x14ac:dyDescent="0.25">
      <c r="A2139" s="1">
        <v>41187</v>
      </c>
      <c r="B2139">
        <v>573498.64</v>
      </c>
    </row>
    <row r="2140" spans="1:2" x14ac:dyDescent="0.25">
      <c r="A2140" s="1">
        <v>41194</v>
      </c>
      <c r="B2140">
        <v>551799.63</v>
      </c>
    </row>
    <row r="2141" spans="1:2" x14ac:dyDescent="0.25">
      <c r="A2141" s="1">
        <v>41201</v>
      </c>
      <c r="B2141">
        <v>555652.77</v>
      </c>
    </row>
    <row r="2142" spans="1:2" x14ac:dyDescent="0.25">
      <c r="A2142" s="1">
        <v>41208</v>
      </c>
      <c r="B2142">
        <v>558473.6</v>
      </c>
    </row>
    <row r="2143" spans="1:2" x14ac:dyDescent="0.25">
      <c r="A2143" s="1">
        <v>40214</v>
      </c>
      <c r="B2143">
        <v>477409.3</v>
      </c>
    </row>
    <row r="2144" spans="1:2" x14ac:dyDescent="0.25">
      <c r="A2144" s="1">
        <v>40221</v>
      </c>
      <c r="B2144">
        <v>472044.28</v>
      </c>
    </row>
    <row r="2145" spans="1:2" x14ac:dyDescent="0.25">
      <c r="A2145" s="1">
        <v>40228</v>
      </c>
      <c r="B2145">
        <v>469868.7</v>
      </c>
    </row>
    <row r="2146" spans="1:2" x14ac:dyDescent="0.25">
      <c r="A2146" s="1">
        <v>40235</v>
      </c>
      <c r="B2146">
        <v>443242.17</v>
      </c>
    </row>
    <row r="2147" spans="1:2" x14ac:dyDescent="0.25">
      <c r="A2147" s="1">
        <v>40242</v>
      </c>
      <c r="B2147">
        <v>444181.85</v>
      </c>
    </row>
    <row r="2148" spans="1:2" x14ac:dyDescent="0.25">
      <c r="A2148" s="1">
        <v>40249</v>
      </c>
      <c r="B2148">
        <v>445393.74</v>
      </c>
    </row>
    <row r="2149" spans="1:2" x14ac:dyDescent="0.25">
      <c r="A2149" s="1">
        <v>40256</v>
      </c>
      <c r="B2149">
        <v>504307.35</v>
      </c>
    </row>
    <row r="2150" spans="1:2" x14ac:dyDescent="0.25">
      <c r="A2150" s="1">
        <v>40263</v>
      </c>
      <c r="B2150">
        <v>483177.2</v>
      </c>
    </row>
    <row r="2151" spans="1:2" x14ac:dyDescent="0.25">
      <c r="A2151" s="1">
        <v>40270</v>
      </c>
      <c r="B2151">
        <v>490503.69</v>
      </c>
    </row>
    <row r="2152" spans="1:2" x14ac:dyDescent="0.25">
      <c r="A2152" s="1">
        <v>40277</v>
      </c>
      <c r="B2152">
        <v>424083.99</v>
      </c>
    </row>
    <row r="2153" spans="1:2" x14ac:dyDescent="0.25">
      <c r="A2153" s="1">
        <v>40284</v>
      </c>
      <c r="B2153">
        <v>436312.41</v>
      </c>
    </row>
    <row r="2154" spans="1:2" x14ac:dyDescent="0.25">
      <c r="A2154" s="1">
        <v>40291</v>
      </c>
      <c r="B2154">
        <v>370230.94</v>
      </c>
    </row>
    <row r="2155" spans="1:2" x14ac:dyDescent="0.25">
      <c r="A2155" s="1">
        <v>40298</v>
      </c>
      <c r="B2155">
        <v>383550.93</v>
      </c>
    </row>
    <row r="2156" spans="1:2" x14ac:dyDescent="0.25">
      <c r="A2156" s="1">
        <v>40305</v>
      </c>
      <c r="B2156">
        <v>403217.22</v>
      </c>
    </row>
    <row r="2157" spans="1:2" x14ac:dyDescent="0.25">
      <c r="A2157" s="1">
        <v>40312</v>
      </c>
      <c r="B2157">
        <v>401770.9</v>
      </c>
    </row>
    <row r="2158" spans="1:2" x14ac:dyDescent="0.25">
      <c r="A2158" s="1">
        <v>40319</v>
      </c>
      <c r="B2158">
        <v>435300.51</v>
      </c>
    </row>
    <row r="2159" spans="1:2" x14ac:dyDescent="0.25">
      <c r="A2159" s="1">
        <v>40326</v>
      </c>
      <c r="B2159">
        <v>479430</v>
      </c>
    </row>
    <row r="2160" spans="1:2" x14ac:dyDescent="0.25">
      <c r="A2160" s="1">
        <v>40333</v>
      </c>
      <c r="B2160">
        <v>516295.81</v>
      </c>
    </row>
    <row r="2161" spans="1:2" x14ac:dyDescent="0.25">
      <c r="A2161" s="1">
        <v>40340</v>
      </c>
      <c r="B2161">
        <v>535587.31000000006</v>
      </c>
    </row>
    <row r="2162" spans="1:2" x14ac:dyDescent="0.25">
      <c r="A2162" s="1">
        <v>40347</v>
      </c>
      <c r="B2162">
        <v>540149.85</v>
      </c>
    </row>
    <row r="2163" spans="1:2" x14ac:dyDescent="0.25">
      <c r="A2163" s="1">
        <v>40354</v>
      </c>
      <c r="B2163">
        <v>546554.96</v>
      </c>
    </row>
    <row r="2164" spans="1:2" x14ac:dyDescent="0.25">
      <c r="A2164" s="1">
        <v>40361</v>
      </c>
      <c r="B2164">
        <v>610641.42000000004</v>
      </c>
    </row>
    <row r="2165" spans="1:2" x14ac:dyDescent="0.25">
      <c r="A2165" s="1">
        <v>40368</v>
      </c>
      <c r="B2165">
        <v>614253.32999999996</v>
      </c>
    </row>
    <row r="2166" spans="1:2" x14ac:dyDescent="0.25">
      <c r="A2166" s="1">
        <v>40375</v>
      </c>
      <c r="B2166">
        <v>586583.68999999994</v>
      </c>
    </row>
    <row r="2167" spans="1:2" x14ac:dyDescent="0.25">
      <c r="A2167" s="1">
        <v>40382</v>
      </c>
      <c r="B2167">
        <v>588344.18000000005</v>
      </c>
    </row>
    <row r="2168" spans="1:2" x14ac:dyDescent="0.25">
      <c r="A2168" s="1">
        <v>40389</v>
      </c>
      <c r="B2168">
        <v>562633.67000000004</v>
      </c>
    </row>
    <row r="2169" spans="1:2" x14ac:dyDescent="0.25">
      <c r="A2169" s="1">
        <v>40396</v>
      </c>
      <c r="B2169">
        <v>586936.44999999995</v>
      </c>
    </row>
    <row r="2170" spans="1:2" x14ac:dyDescent="0.25">
      <c r="A2170" s="1">
        <v>40403</v>
      </c>
      <c r="B2170">
        <v>543757.97</v>
      </c>
    </row>
    <row r="2171" spans="1:2" x14ac:dyDescent="0.25">
      <c r="A2171" s="1">
        <v>40410</v>
      </c>
      <c r="B2171">
        <v>521516.96</v>
      </c>
    </row>
    <row r="2172" spans="1:2" x14ac:dyDescent="0.25">
      <c r="A2172" s="1">
        <v>40417</v>
      </c>
      <c r="B2172">
        <v>581010.52</v>
      </c>
    </row>
    <row r="2173" spans="1:2" x14ac:dyDescent="0.25">
      <c r="A2173" s="1">
        <v>40424</v>
      </c>
      <c r="B2173">
        <v>542087.89</v>
      </c>
    </row>
    <row r="2174" spans="1:2" x14ac:dyDescent="0.25">
      <c r="A2174" s="1">
        <v>40431</v>
      </c>
      <c r="B2174">
        <v>537518.56999999995</v>
      </c>
    </row>
    <row r="2175" spans="1:2" x14ac:dyDescent="0.25">
      <c r="A2175" s="1">
        <v>40438</v>
      </c>
      <c r="B2175">
        <v>522049.52</v>
      </c>
    </row>
    <row r="2176" spans="1:2" x14ac:dyDescent="0.25">
      <c r="A2176" s="1">
        <v>40445</v>
      </c>
      <c r="B2176">
        <v>511330.32</v>
      </c>
    </row>
    <row r="2177" spans="1:2" x14ac:dyDescent="0.25">
      <c r="A2177" s="1">
        <v>40452</v>
      </c>
      <c r="B2177">
        <v>463977.54</v>
      </c>
    </row>
    <row r="2178" spans="1:2" x14ac:dyDescent="0.25">
      <c r="A2178" s="1">
        <v>40459</v>
      </c>
      <c r="B2178">
        <v>442894.2</v>
      </c>
    </row>
    <row r="2179" spans="1:2" x14ac:dyDescent="0.25">
      <c r="A2179" s="1">
        <v>40466</v>
      </c>
      <c r="B2179">
        <v>452169.28</v>
      </c>
    </row>
    <row r="2180" spans="1:2" x14ac:dyDescent="0.25">
      <c r="A2180" s="1">
        <v>40473</v>
      </c>
      <c r="B2180">
        <v>541216.92000000004</v>
      </c>
    </row>
    <row r="2181" spans="1:2" x14ac:dyDescent="0.25">
      <c r="A2181" s="1">
        <v>40480</v>
      </c>
      <c r="B2181">
        <v>495022.51</v>
      </c>
    </row>
    <row r="2182" spans="1:2" x14ac:dyDescent="0.25">
      <c r="A2182" s="1">
        <v>40487</v>
      </c>
      <c r="B2182">
        <v>446905.02</v>
      </c>
    </row>
    <row r="2183" spans="1:2" x14ac:dyDescent="0.25">
      <c r="A2183" s="1">
        <v>40494</v>
      </c>
      <c r="B2183">
        <v>453632.76</v>
      </c>
    </row>
    <row r="2184" spans="1:2" x14ac:dyDescent="0.25">
      <c r="A2184" s="1">
        <v>40501</v>
      </c>
      <c r="B2184">
        <v>458634.68</v>
      </c>
    </row>
    <row r="2185" spans="1:2" x14ac:dyDescent="0.25">
      <c r="A2185" s="1">
        <v>40508</v>
      </c>
      <c r="B2185">
        <v>651837.77</v>
      </c>
    </row>
    <row r="2186" spans="1:2" x14ac:dyDescent="0.25">
      <c r="A2186" s="1">
        <v>40515</v>
      </c>
      <c r="B2186">
        <v>512260.59</v>
      </c>
    </row>
    <row r="2187" spans="1:2" x14ac:dyDescent="0.25">
      <c r="A2187" s="1">
        <v>40522</v>
      </c>
      <c r="B2187">
        <v>570103.64</v>
      </c>
    </row>
    <row r="2188" spans="1:2" x14ac:dyDescent="0.25">
      <c r="A2188" s="1">
        <v>40529</v>
      </c>
      <c r="B2188">
        <v>648652.01</v>
      </c>
    </row>
    <row r="2189" spans="1:2" x14ac:dyDescent="0.25">
      <c r="A2189" s="1">
        <v>40536</v>
      </c>
      <c r="B2189">
        <v>1004730.69</v>
      </c>
    </row>
    <row r="2190" spans="1:2" x14ac:dyDescent="0.25">
      <c r="A2190" s="1">
        <v>40543</v>
      </c>
      <c r="B2190">
        <v>575317.38</v>
      </c>
    </row>
    <row r="2191" spans="1:2" x14ac:dyDescent="0.25">
      <c r="A2191" s="1">
        <v>40550</v>
      </c>
      <c r="B2191">
        <v>573545.96</v>
      </c>
    </row>
    <row r="2192" spans="1:2" x14ac:dyDescent="0.25">
      <c r="A2192" s="1">
        <v>40557</v>
      </c>
      <c r="B2192">
        <v>470365.59</v>
      </c>
    </row>
    <row r="2193" spans="1:2" x14ac:dyDescent="0.25">
      <c r="A2193" s="1">
        <v>40564</v>
      </c>
      <c r="B2193">
        <v>462888.13</v>
      </c>
    </row>
    <row r="2194" spans="1:2" x14ac:dyDescent="0.25">
      <c r="A2194" s="1">
        <v>40571</v>
      </c>
      <c r="B2194">
        <v>448391.99</v>
      </c>
    </row>
    <row r="2195" spans="1:2" x14ac:dyDescent="0.25">
      <c r="A2195" s="1">
        <v>40578</v>
      </c>
      <c r="B2195">
        <v>479263.15</v>
      </c>
    </row>
    <row r="2196" spans="1:2" x14ac:dyDescent="0.25">
      <c r="A2196" s="1">
        <v>40585</v>
      </c>
      <c r="B2196">
        <v>466806.89</v>
      </c>
    </row>
    <row r="2197" spans="1:2" x14ac:dyDescent="0.25">
      <c r="A2197" s="1">
        <v>40592</v>
      </c>
      <c r="B2197">
        <v>491179.79</v>
      </c>
    </row>
    <row r="2198" spans="1:2" x14ac:dyDescent="0.25">
      <c r="A2198" s="1">
        <v>40599</v>
      </c>
      <c r="B2198">
        <v>475201.64</v>
      </c>
    </row>
    <row r="2199" spans="1:2" x14ac:dyDescent="0.25">
      <c r="A2199" s="1">
        <v>40606</v>
      </c>
      <c r="B2199">
        <v>484829.07</v>
      </c>
    </row>
    <row r="2200" spans="1:2" x14ac:dyDescent="0.25">
      <c r="A2200" s="1">
        <v>40613</v>
      </c>
      <c r="B2200">
        <v>457504.35</v>
      </c>
    </row>
    <row r="2201" spans="1:2" x14ac:dyDescent="0.25">
      <c r="A2201" s="1">
        <v>40620</v>
      </c>
      <c r="B2201">
        <v>497373.49</v>
      </c>
    </row>
    <row r="2202" spans="1:2" x14ac:dyDescent="0.25">
      <c r="A2202" s="1">
        <v>40627</v>
      </c>
      <c r="B2202">
        <v>465279.68</v>
      </c>
    </row>
    <row r="2203" spans="1:2" x14ac:dyDescent="0.25">
      <c r="A2203" s="1">
        <v>40634</v>
      </c>
      <c r="B2203">
        <v>459756.11</v>
      </c>
    </row>
    <row r="2204" spans="1:2" x14ac:dyDescent="0.25">
      <c r="A2204" s="1">
        <v>40641</v>
      </c>
      <c r="B2204">
        <v>439276.5</v>
      </c>
    </row>
    <row r="2205" spans="1:2" x14ac:dyDescent="0.25">
      <c r="A2205" s="1">
        <v>40648</v>
      </c>
      <c r="B2205">
        <v>427855.24</v>
      </c>
    </row>
    <row r="2206" spans="1:2" x14ac:dyDescent="0.25">
      <c r="A2206" s="1">
        <v>40655</v>
      </c>
      <c r="B2206">
        <v>368600</v>
      </c>
    </row>
    <row r="2207" spans="1:2" x14ac:dyDescent="0.25">
      <c r="A2207" s="1">
        <v>40662</v>
      </c>
      <c r="B2207">
        <v>378100.31</v>
      </c>
    </row>
    <row r="2208" spans="1:2" x14ac:dyDescent="0.25">
      <c r="A2208" s="1">
        <v>40669</v>
      </c>
      <c r="B2208">
        <v>423805.22</v>
      </c>
    </row>
    <row r="2209" spans="1:2" x14ac:dyDescent="0.25">
      <c r="A2209" s="1">
        <v>40676</v>
      </c>
      <c r="B2209">
        <v>410406.95</v>
      </c>
    </row>
    <row r="2210" spans="1:2" x14ac:dyDescent="0.25">
      <c r="A2210" s="1">
        <v>40683</v>
      </c>
      <c r="B2210">
        <v>435397.19</v>
      </c>
    </row>
    <row r="2211" spans="1:2" x14ac:dyDescent="0.25">
      <c r="A2211" s="1">
        <v>40690</v>
      </c>
      <c r="B2211">
        <v>444718.68</v>
      </c>
    </row>
    <row r="2212" spans="1:2" x14ac:dyDescent="0.25">
      <c r="A2212" s="1">
        <v>40697</v>
      </c>
      <c r="B2212">
        <v>531080.31000000006</v>
      </c>
    </row>
    <row r="2213" spans="1:2" x14ac:dyDescent="0.25">
      <c r="A2213" s="1">
        <v>40704</v>
      </c>
      <c r="B2213">
        <v>600952.06000000006</v>
      </c>
    </row>
    <row r="2214" spans="1:2" x14ac:dyDescent="0.25">
      <c r="A2214" s="1">
        <v>40711</v>
      </c>
      <c r="B2214">
        <v>581546.23</v>
      </c>
    </row>
    <row r="2215" spans="1:2" x14ac:dyDescent="0.25">
      <c r="A2215" s="1">
        <v>40718</v>
      </c>
      <c r="B2215">
        <v>569105.03</v>
      </c>
    </row>
    <row r="2216" spans="1:2" x14ac:dyDescent="0.25">
      <c r="A2216" s="1">
        <v>40725</v>
      </c>
      <c r="B2216">
        <v>608737.56000000006</v>
      </c>
    </row>
    <row r="2217" spans="1:2" x14ac:dyDescent="0.25">
      <c r="A2217" s="1">
        <v>40732</v>
      </c>
      <c r="B2217">
        <v>634634.66</v>
      </c>
    </row>
    <row r="2218" spans="1:2" x14ac:dyDescent="0.25">
      <c r="A2218" s="1">
        <v>40739</v>
      </c>
      <c r="B2218">
        <v>586841.77</v>
      </c>
    </row>
    <row r="2219" spans="1:2" x14ac:dyDescent="0.25">
      <c r="A2219" s="1">
        <v>40746</v>
      </c>
      <c r="B2219">
        <v>581758.22</v>
      </c>
    </row>
    <row r="2220" spans="1:2" x14ac:dyDescent="0.25">
      <c r="A2220" s="1">
        <v>40753</v>
      </c>
      <c r="B2220">
        <v>582381.94999999995</v>
      </c>
    </row>
    <row r="2221" spans="1:2" x14ac:dyDescent="0.25">
      <c r="A2221" s="1">
        <v>40760</v>
      </c>
      <c r="B2221">
        <v>592981.32999999996</v>
      </c>
    </row>
    <row r="2222" spans="1:2" x14ac:dyDescent="0.25">
      <c r="A2222" s="1">
        <v>40767</v>
      </c>
      <c r="B2222">
        <v>563884.47</v>
      </c>
    </row>
    <row r="2223" spans="1:2" x14ac:dyDescent="0.25">
      <c r="A2223" s="1">
        <v>40774</v>
      </c>
      <c r="B2223">
        <v>554630.42000000004</v>
      </c>
    </row>
    <row r="2224" spans="1:2" x14ac:dyDescent="0.25">
      <c r="A2224" s="1">
        <v>40781</v>
      </c>
      <c r="B2224">
        <v>557312.01</v>
      </c>
    </row>
    <row r="2225" spans="1:2" x14ac:dyDescent="0.25">
      <c r="A2225" s="1">
        <v>40788</v>
      </c>
      <c r="B2225">
        <v>580805.32999999996</v>
      </c>
    </row>
    <row r="2226" spans="1:2" x14ac:dyDescent="0.25">
      <c r="A2226" s="1">
        <v>40795</v>
      </c>
      <c r="B2226">
        <v>574622.56000000006</v>
      </c>
    </row>
    <row r="2227" spans="1:2" x14ac:dyDescent="0.25">
      <c r="A2227" s="1">
        <v>40802</v>
      </c>
      <c r="B2227">
        <v>539081.09</v>
      </c>
    </row>
    <row r="2228" spans="1:2" x14ac:dyDescent="0.25">
      <c r="A2228" s="1">
        <v>40809</v>
      </c>
      <c r="B2228">
        <v>504856.97</v>
      </c>
    </row>
    <row r="2229" spans="1:2" x14ac:dyDescent="0.25">
      <c r="A2229" s="1">
        <v>40816</v>
      </c>
      <c r="B2229">
        <v>450075.31</v>
      </c>
    </row>
    <row r="2230" spans="1:2" x14ac:dyDescent="0.25">
      <c r="A2230" s="1">
        <v>40823</v>
      </c>
      <c r="B2230">
        <v>482926.93</v>
      </c>
    </row>
    <row r="2231" spans="1:2" x14ac:dyDescent="0.25">
      <c r="A2231" s="1">
        <v>40830</v>
      </c>
      <c r="B2231">
        <v>498241.06</v>
      </c>
    </row>
    <row r="2232" spans="1:2" x14ac:dyDescent="0.25">
      <c r="A2232" s="1">
        <v>40837</v>
      </c>
      <c r="B2232">
        <v>560104.16</v>
      </c>
    </row>
    <row r="2233" spans="1:2" x14ac:dyDescent="0.25">
      <c r="A2233" s="1">
        <v>40844</v>
      </c>
      <c r="B2233">
        <v>505918.21</v>
      </c>
    </row>
    <row r="2234" spans="1:2" x14ac:dyDescent="0.25">
      <c r="A2234" s="1">
        <v>40851</v>
      </c>
      <c r="B2234">
        <v>511059.95</v>
      </c>
    </row>
    <row r="2235" spans="1:2" x14ac:dyDescent="0.25">
      <c r="A2235" s="1">
        <v>40858</v>
      </c>
      <c r="B2235">
        <v>513181.31</v>
      </c>
    </row>
    <row r="2236" spans="1:2" x14ac:dyDescent="0.25">
      <c r="A2236" s="1">
        <v>40865</v>
      </c>
      <c r="B2236">
        <v>480353.64</v>
      </c>
    </row>
    <row r="2237" spans="1:2" x14ac:dyDescent="0.25">
      <c r="A2237" s="1">
        <v>40872</v>
      </c>
      <c r="B2237">
        <v>712422.40000000002</v>
      </c>
    </row>
    <row r="2238" spans="1:2" x14ac:dyDescent="0.25">
      <c r="A2238" s="1">
        <v>40879</v>
      </c>
      <c r="B2238">
        <v>530492.84</v>
      </c>
    </row>
    <row r="2239" spans="1:2" x14ac:dyDescent="0.25">
      <c r="A2239" s="1">
        <v>40886</v>
      </c>
      <c r="B2239">
        <v>574798.86</v>
      </c>
    </row>
    <row r="2240" spans="1:2" x14ac:dyDescent="0.25">
      <c r="A2240" s="1">
        <v>40893</v>
      </c>
      <c r="B2240">
        <v>679481.9</v>
      </c>
    </row>
    <row r="2241" spans="1:2" x14ac:dyDescent="0.25">
      <c r="A2241" s="1">
        <v>40900</v>
      </c>
      <c r="B2241">
        <v>950691.96</v>
      </c>
    </row>
    <row r="2242" spans="1:2" x14ac:dyDescent="0.25">
      <c r="A2242" s="1">
        <v>40907</v>
      </c>
      <c r="B2242">
        <v>665861.06000000006</v>
      </c>
    </row>
    <row r="2243" spans="1:2" x14ac:dyDescent="0.25">
      <c r="A2243" s="1">
        <v>40914</v>
      </c>
      <c r="B2243">
        <v>564538.06999999995</v>
      </c>
    </row>
    <row r="2244" spans="1:2" x14ac:dyDescent="0.25">
      <c r="A2244" s="1">
        <v>40921</v>
      </c>
      <c r="B2244">
        <v>508520.09</v>
      </c>
    </row>
    <row r="2245" spans="1:2" x14ac:dyDescent="0.25">
      <c r="A2245" s="1">
        <v>40928</v>
      </c>
      <c r="B2245">
        <v>474389.75</v>
      </c>
    </row>
    <row r="2246" spans="1:2" x14ac:dyDescent="0.25">
      <c r="A2246" s="1">
        <v>40935</v>
      </c>
      <c r="B2246">
        <v>453979.19</v>
      </c>
    </row>
    <row r="2247" spans="1:2" x14ac:dyDescent="0.25">
      <c r="A2247" s="1">
        <v>40942</v>
      </c>
      <c r="B2247">
        <v>475905.1</v>
      </c>
    </row>
    <row r="2248" spans="1:2" x14ac:dyDescent="0.25">
      <c r="A2248" s="1">
        <v>40949</v>
      </c>
      <c r="B2248">
        <v>473766.97</v>
      </c>
    </row>
    <row r="2249" spans="1:2" x14ac:dyDescent="0.25">
      <c r="A2249" s="1">
        <v>40956</v>
      </c>
      <c r="B2249">
        <v>494069.49</v>
      </c>
    </row>
    <row r="2250" spans="1:2" x14ac:dyDescent="0.25">
      <c r="A2250" s="1">
        <v>40963</v>
      </c>
      <c r="B2250">
        <v>495720.3</v>
      </c>
    </row>
    <row r="2251" spans="1:2" x14ac:dyDescent="0.25">
      <c r="A2251" s="1">
        <v>40970</v>
      </c>
      <c r="B2251">
        <v>464189.09</v>
      </c>
    </row>
    <row r="2252" spans="1:2" x14ac:dyDescent="0.25">
      <c r="A2252" s="1">
        <v>40977</v>
      </c>
      <c r="B2252">
        <v>495951.66</v>
      </c>
    </row>
    <row r="2253" spans="1:2" x14ac:dyDescent="0.25">
      <c r="A2253" s="1">
        <v>40984</v>
      </c>
      <c r="B2253">
        <v>520850.71</v>
      </c>
    </row>
    <row r="2254" spans="1:2" x14ac:dyDescent="0.25">
      <c r="A2254" s="1">
        <v>40991</v>
      </c>
      <c r="B2254">
        <v>493503.89</v>
      </c>
    </row>
    <row r="2255" spans="1:2" x14ac:dyDescent="0.25">
      <c r="A2255" s="1">
        <v>40998</v>
      </c>
      <c r="B2255">
        <v>485095.41</v>
      </c>
    </row>
    <row r="2256" spans="1:2" x14ac:dyDescent="0.25">
      <c r="A2256" s="1">
        <v>41005</v>
      </c>
      <c r="B2256">
        <v>502662.07</v>
      </c>
    </row>
    <row r="2257" spans="1:2" x14ac:dyDescent="0.25">
      <c r="A2257" s="1">
        <v>41012</v>
      </c>
      <c r="B2257">
        <v>450756.71</v>
      </c>
    </row>
    <row r="2258" spans="1:2" x14ac:dyDescent="0.25">
      <c r="A2258" s="1">
        <v>41019</v>
      </c>
      <c r="B2258">
        <v>436221.26</v>
      </c>
    </row>
    <row r="2259" spans="1:2" x14ac:dyDescent="0.25">
      <c r="A2259" s="1">
        <v>41026</v>
      </c>
      <c r="B2259">
        <v>398445.15</v>
      </c>
    </row>
    <row r="2260" spans="1:2" x14ac:dyDescent="0.25">
      <c r="A2260" s="1">
        <v>41033</v>
      </c>
      <c r="B2260">
        <v>426959.62</v>
      </c>
    </row>
    <row r="2261" spans="1:2" x14ac:dyDescent="0.25">
      <c r="A2261" s="1">
        <v>41040</v>
      </c>
      <c r="B2261">
        <v>479855</v>
      </c>
    </row>
    <row r="2262" spans="1:2" x14ac:dyDescent="0.25">
      <c r="A2262" s="1">
        <v>41047</v>
      </c>
      <c r="B2262">
        <v>493506.47</v>
      </c>
    </row>
    <row r="2263" spans="1:2" x14ac:dyDescent="0.25">
      <c r="A2263" s="1">
        <v>41054</v>
      </c>
      <c r="B2263">
        <v>518045.09</v>
      </c>
    </row>
    <row r="2264" spans="1:2" x14ac:dyDescent="0.25">
      <c r="A2264" s="1">
        <v>41061</v>
      </c>
      <c r="B2264">
        <v>532311.93000000005</v>
      </c>
    </row>
    <row r="2265" spans="1:2" x14ac:dyDescent="0.25">
      <c r="A2265" s="1">
        <v>41068</v>
      </c>
      <c r="B2265">
        <v>603618.89</v>
      </c>
    </row>
    <row r="2266" spans="1:2" x14ac:dyDescent="0.25">
      <c r="A2266" s="1">
        <v>41075</v>
      </c>
      <c r="B2266">
        <v>570045.79</v>
      </c>
    </row>
    <row r="2267" spans="1:2" x14ac:dyDescent="0.25">
      <c r="A2267" s="1">
        <v>41082</v>
      </c>
      <c r="B2267">
        <v>581745.72</v>
      </c>
    </row>
    <row r="2268" spans="1:2" x14ac:dyDescent="0.25">
      <c r="A2268" s="1">
        <v>41089</v>
      </c>
      <c r="B2268">
        <v>570162.28</v>
      </c>
    </row>
    <row r="2269" spans="1:2" x14ac:dyDescent="0.25">
      <c r="A2269" s="1">
        <v>41096</v>
      </c>
      <c r="B2269">
        <v>641763.53</v>
      </c>
    </row>
    <row r="2270" spans="1:2" x14ac:dyDescent="0.25">
      <c r="A2270" s="1">
        <v>41103</v>
      </c>
      <c r="B2270">
        <v>569005.06000000006</v>
      </c>
    </row>
    <row r="2271" spans="1:2" x14ac:dyDescent="0.25">
      <c r="A2271" s="1">
        <v>41110</v>
      </c>
      <c r="B2271">
        <v>565297.54</v>
      </c>
    </row>
    <row r="2272" spans="1:2" x14ac:dyDescent="0.25">
      <c r="A2272" s="1">
        <v>41117</v>
      </c>
      <c r="B2272">
        <v>539337.87</v>
      </c>
    </row>
    <row r="2273" spans="1:2" x14ac:dyDescent="0.25">
      <c r="A2273" s="1">
        <v>41124</v>
      </c>
      <c r="B2273">
        <v>584000.71</v>
      </c>
    </row>
    <row r="2274" spans="1:2" x14ac:dyDescent="0.25">
      <c r="A2274" s="1">
        <v>41131</v>
      </c>
      <c r="B2274">
        <v>554036.84</v>
      </c>
    </row>
    <row r="2275" spans="1:2" x14ac:dyDescent="0.25">
      <c r="A2275" s="1">
        <v>41138</v>
      </c>
      <c r="B2275">
        <v>521896.6</v>
      </c>
    </row>
    <row r="2276" spans="1:2" x14ac:dyDescent="0.25">
      <c r="A2276" s="1">
        <v>41145</v>
      </c>
      <c r="B2276">
        <v>551152.15</v>
      </c>
    </row>
    <row r="2277" spans="1:2" x14ac:dyDescent="0.25">
      <c r="A2277" s="1">
        <v>41152</v>
      </c>
      <c r="B2277">
        <v>551837.31000000006</v>
      </c>
    </row>
    <row r="2278" spans="1:2" x14ac:dyDescent="0.25">
      <c r="A2278" s="1">
        <v>41159</v>
      </c>
      <c r="B2278">
        <v>537138.57999999996</v>
      </c>
    </row>
    <row r="2279" spans="1:2" x14ac:dyDescent="0.25">
      <c r="A2279" s="1">
        <v>41166</v>
      </c>
      <c r="B2279">
        <v>526525.16</v>
      </c>
    </row>
    <row r="2280" spans="1:2" x14ac:dyDescent="0.25">
      <c r="A2280" s="1">
        <v>41173</v>
      </c>
      <c r="B2280">
        <v>509942.56</v>
      </c>
    </row>
    <row r="2281" spans="1:2" x14ac:dyDescent="0.25">
      <c r="A2281" s="1">
        <v>41180</v>
      </c>
      <c r="B2281">
        <v>469607.73</v>
      </c>
    </row>
    <row r="2282" spans="1:2" x14ac:dyDescent="0.25">
      <c r="A2282" s="1">
        <v>41187</v>
      </c>
      <c r="B2282">
        <v>471281.68</v>
      </c>
    </row>
    <row r="2283" spans="1:2" x14ac:dyDescent="0.25">
      <c r="A2283" s="1">
        <v>41194</v>
      </c>
      <c r="B2283">
        <v>491817.19</v>
      </c>
    </row>
    <row r="2284" spans="1:2" x14ac:dyDescent="0.25">
      <c r="A2284" s="1">
        <v>41201</v>
      </c>
      <c r="B2284">
        <v>577198.97</v>
      </c>
    </row>
    <row r="2285" spans="1:2" x14ac:dyDescent="0.25">
      <c r="A2285" s="1">
        <v>41208</v>
      </c>
      <c r="B2285">
        <v>475770.14</v>
      </c>
    </row>
    <row r="2286" spans="1:2" x14ac:dyDescent="0.25">
      <c r="A2286" s="1">
        <v>40214</v>
      </c>
      <c r="B2286">
        <v>789036.02</v>
      </c>
    </row>
    <row r="2287" spans="1:2" x14ac:dyDescent="0.25">
      <c r="A2287" s="1">
        <v>40221</v>
      </c>
      <c r="B2287">
        <v>841951.91</v>
      </c>
    </row>
    <row r="2288" spans="1:2" x14ac:dyDescent="0.25">
      <c r="A2288" s="1">
        <v>40228</v>
      </c>
      <c r="B2288">
        <v>800714</v>
      </c>
    </row>
    <row r="2289" spans="1:2" x14ac:dyDescent="0.25">
      <c r="A2289" s="1">
        <v>40235</v>
      </c>
      <c r="B2289">
        <v>749549.55</v>
      </c>
    </row>
    <row r="2290" spans="1:2" x14ac:dyDescent="0.25">
      <c r="A2290" s="1">
        <v>40242</v>
      </c>
      <c r="B2290">
        <v>783300.05</v>
      </c>
    </row>
    <row r="2291" spans="1:2" x14ac:dyDescent="0.25">
      <c r="A2291" s="1">
        <v>40249</v>
      </c>
      <c r="B2291">
        <v>763961.82</v>
      </c>
    </row>
    <row r="2292" spans="1:2" x14ac:dyDescent="0.25">
      <c r="A2292" s="1">
        <v>40256</v>
      </c>
      <c r="B2292">
        <v>752034.52</v>
      </c>
    </row>
    <row r="2293" spans="1:2" x14ac:dyDescent="0.25">
      <c r="A2293" s="1">
        <v>40263</v>
      </c>
      <c r="B2293">
        <v>793097.64</v>
      </c>
    </row>
    <row r="2294" spans="1:2" x14ac:dyDescent="0.25">
      <c r="A2294" s="1">
        <v>40270</v>
      </c>
      <c r="B2294">
        <v>848521.17</v>
      </c>
    </row>
    <row r="2295" spans="1:2" x14ac:dyDescent="0.25">
      <c r="A2295" s="1">
        <v>40277</v>
      </c>
      <c r="B2295">
        <v>770228.02</v>
      </c>
    </row>
    <row r="2296" spans="1:2" x14ac:dyDescent="0.25">
      <c r="A2296" s="1">
        <v>40284</v>
      </c>
      <c r="B2296">
        <v>757738.76</v>
      </c>
    </row>
    <row r="2297" spans="1:2" x14ac:dyDescent="0.25">
      <c r="A2297" s="1">
        <v>40291</v>
      </c>
      <c r="B2297">
        <v>977790.83</v>
      </c>
    </row>
    <row r="2298" spans="1:2" x14ac:dyDescent="0.25">
      <c r="A2298" s="1">
        <v>40298</v>
      </c>
      <c r="B2298">
        <v>807798.73</v>
      </c>
    </row>
    <row r="2299" spans="1:2" x14ac:dyDescent="0.25">
      <c r="A2299" s="1">
        <v>40305</v>
      </c>
      <c r="B2299">
        <v>843848.65</v>
      </c>
    </row>
    <row r="2300" spans="1:2" x14ac:dyDescent="0.25">
      <c r="A2300" s="1">
        <v>40312</v>
      </c>
      <c r="B2300">
        <v>813756.09</v>
      </c>
    </row>
    <row r="2301" spans="1:2" x14ac:dyDescent="0.25">
      <c r="A2301" s="1">
        <v>40319</v>
      </c>
      <c r="B2301">
        <v>826626.5</v>
      </c>
    </row>
    <row r="2302" spans="1:2" x14ac:dyDescent="0.25">
      <c r="A2302" s="1">
        <v>40326</v>
      </c>
      <c r="B2302">
        <v>872817.62</v>
      </c>
    </row>
    <row r="2303" spans="1:2" x14ac:dyDescent="0.25">
      <c r="A2303" s="1">
        <v>40333</v>
      </c>
      <c r="B2303">
        <v>876902.87</v>
      </c>
    </row>
    <row r="2304" spans="1:2" x14ac:dyDescent="0.25">
      <c r="A2304" s="1">
        <v>40340</v>
      </c>
      <c r="B2304">
        <v>845252.21</v>
      </c>
    </row>
    <row r="2305" spans="1:2" x14ac:dyDescent="0.25">
      <c r="A2305" s="1">
        <v>40347</v>
      </c>
      <c r="B2305">
        <v>877996.27</v>
      </c>
    </row>
    <row r="2306" spans="1:2" x14ac:dyDescent="0.25">
      <c r="A2306" s="1">
        <v>40354</v>
      </c>
      <c r="B2306">
        <v>893995.44</v>
      </c>
    </row>
    <row r="2307" spans="1:2" x14ac:dyDescent="0.25">
      <c r="A2307" s="1">
        <v>40361</v>
      </c>
      <c r="B2307">
        <v>958875.37</v>
      </c>
    </row>
    <row r="2308" spans="1:2" x14ac:dyDescent="0.25">
      <c r="A2308" s="1">
        <v>40368</v>
      </c>
      <c r="B2308">
        <v>836915.92</v>
      </c>
    </row>
    <row r="2309" spans="1:2" x14ac:dyDescent="0.25">
      <c r="A2309" s="1">
        <v>40375</v>
      </c>
      <c r="B2309">
        <v>876591.41</v>
      </c>
    </row>
    <row r="2310" spans="1:2" x14ac:dyDescent="0.25">
      <c r="A2310" s="1">
        <v>40382</v>
      </c>
      <c r="B2310">
        <v>893504.87</v>
      </c>
    </row>
    <row r="2311" spans="1:2" x14ac:dyDescent="0.25">
      <c r="A2311" s="1">
        <v>40389</v>
      </c>
      <c r="B2311">
        <v>833517.19</v>
      </c>
    </row>
    <row r="2312" spans="1:2" x14ac:dyDescent="0.25">
      <c r="A2312" s="1">
        <v>40396</v>
      </c>
      <c r="B2312">
        <v>795301.17</v>
      </c>
    </row>
    <row r="2313" spans="1:2" x14ac:dyDescent="0.25">
      <c r="A2313" s="1">
        <v>40403</v>
      </c>
      <c r="B2313">
        <v>759995.18</v>
      </c>
    </row>
    <row r="2314" spans="1:2" x14ac:dyDescent="0.25">
      <c r="A2314" s="1">
        <v>40410</v>
      </c>
      <c r="B2314">
        <v>783929.7</v>
      </c>
    </row>
    <row r="2315" spans="1:2" x14ac:dyDescent="0.25">
      <c r="A2315" s="1">
        <v>40417</v>
      </c>
      <c r="B2315">
        <v>802583.89</v>
      </c>
    </row>
    <row r="2316" spans="1:2" x14ac:dyDescent="0.25">
      <c r="A2316" s="1">
        <v>40424</v>
      </c>
      <c r="B2316">
        <v>834373.73</v>
      </c>
    </row>
    <row r="2317" spans="1:2" x14ac:dyDescent="0.25">
      <c r="A2317" s="1">
        <v>40431</v>
      </c>
      <c r="B2317">
        <v>1200888.28</v>
      </c>
    </row>
    <row r="2318" spans="1:2" x14ac:dyDescent="0.25">
      <c r="A2318" s="1">
        <v>40438</v>
      </c>
      <c r="B2318">
        <v>871264.25</v>
      </c>
    </row>
    <row r="2319" spans="1:2" x14ac:dyDescent="0.25">
      <c r="A2319" s="1">
        <v>40445</v>
      </c>
      <c r="B2319">
        <v>852876.29</v>
      </c>
    </row>
    <row r="2320" spans="1:2" x14ac:dyDescent="0.25">
      <c r="A2320" s="1">
        <v>40452</v>
      </c>
      <c r="B2320">
        <v>829207.27</v>
      </c>
    </row>
    <row r="2321" spans="1:2" x14ac:dyDescent="0.25">
      <c r="A2321" s="1">
        <v>40459</v>
      </c>
      <c r="B2321">
        <v>827738.06</v>
      </c>
    </row>
    <row r="2322" spans="1:2" x14ac:dyDescent="0.25">
      <c r="A2322" s="1">
        <v>40466</v>
      </c>
      <c r="B2322">
        <v>838297.32</v>
      </c>
    </row>
    <row r="2323" spans="1:2" x14ac:dyDescent="0.25">
      <c r="A2323" s="1">
        <v>40473</v>
      </c>
      <c r="B2323">
        <v>815093.76000000001</v>
      </c>
    </row>
    <row r="2324" spans="1:2" x14ac:dyDescent="0.25">
      <c r="A2324" s="1">
        <v>40480</v>
      </c>
      <c r="B2324">
        <v>861941.25</v>
      </c>
    </row>
    <row r="2325" spans="1:2" x14ac:dyDescent="0.25">
      <c r="A2325" s="1">
        <v>40487</v>
      </c>
      <c r="B2325">
        <v>818434.49</v>
      </c>
    </row>
    <row r="2326" spans="1:2" x14ac:dyDescent="0.25">
      <c r="A2326" s="1">
        <v>40494</v>
      </c>
      <c r="B2326">
        <v>855459.96</v>
      </c>
    </row>
    <row r="2327" spans="1:2" x14ac:dyDescent="0.25">
      <c r="A2327" s="1">
        <v>40501</v>
      </c>
      <c r="B2327">
        <v>782252.57</v>
      </c>
    </row>
    <row r="2328" spans="1:2" x14ac:dyDescent="0.25">
      <c r="A2328" s="1">
        <v>40508</v>
      </c>
      <c r="B2328">
        <v>1005448.76</v>
      </c>
    </row>
    <row r="2329" spans="1:2" x14ac:dyDescent="0.25">
      <c r="A2329" s="1">
        <v>40515</v>
      </c>
      <c r="B2329">
        <v>926573.81</v>
      </c>
    </row>
    <row r="2330" spans="1:2" x14ac:dyDescent="0.25">
      <c r="A2330" s="1">
        <v>40522</v>
      </c>
      <c r="B2330">
        <v>962475.55</v>
      </c>
    </row>
    <row r="2331" spans="1:2" x14ac:dyDescent="0.25">
      <c r="A2331" s="1">
        <v>40529</v>
      </c>
      <c r="B2331">
        <v>1049372.3799999999</v>
      </c>
    </row>
    <row r="2332" spans="1:2" x14ac:dyDescent="0.25">
      <c r="A2332" s="1">
        <v>40536</v>
      </c>
      <c r="B2332">
        <v>1309226.79</v>
      </c>
    </row>
    <row r="2333" spans="1:2" x14ac:dyDescent="0.25">
      <c r="A2333" s="1">
        <v>40543</v>
      </c>
      <c r="B2333">
        <v>635862.55000000005</v>
      </c>
    </row>
    <row r="2334" spans="1:2" x14ac:dyDescent="0.25">
      <c r="A2334" s="1">
        <v>40550</v>
      </c>
      <c r="B2334">
        <v>1083071.1399999999</v>
      </c>
    </row>
    <row r="2335" spans="1:2" x14ac:dyDescent="0.25">
      <c r="A2335" s="1">
        <v>40557</v>
      </c>
      <c r="B2335">
        <v>758510.36</v>
      </c>
    </row>
    <row r="2336" spans="1:2" x14ac:dyDescent="0.25">
      <c r="A2336" s="1">
        <v>40564</v>
      </c>
      <c r="B2336">
        <v>755804.37</v>
      </c>
    </row>
    <row r="2337" spans="1:2" x14ac:dyDescent="0.25">
      <c r="A2337" s="1">
        <v>40571</v>
      </c>
      <c r="B2337">
        <v>736335.69</v>
      </c>
    </row>
    <row r="2338" spans="1:2" x14ac:dyDescent="0.25">
      <c r="A2338" s="1">
        <v>40578</v>
      </c>
      <c r="B2338">
        <v>816603.05</v>
      </c>
    </row>
    <row r="2339" spans="1:2" x14ac:dyDescent="0.25">
      <c r="A2339" s="1">
        <v>40585</v>
      </c>
      <c r="B2339">
        <v>813211.46</v>
      </c>
    </row>
    <row r="2340" spans="1:2" x14ac:dyDescent="0.25">
      <c r="A2340" s="1">
        <v>40592</v>
      </c>
      <c r="B2340">
        <v>860962.91</v>
      </c>
    </row>
    <row r="2341" spans="1:2" x14ac:dyDescent="0.25">
      <c r="A2341" s="1">
        <v>40599</v>
      </c>
      <c r="B2341">
        <v>767256.53</v>
      </c>
    </row>
    <row r="2342" spans="1:2" x14ac:dyDescent="0.25">
      <c r="A2342" s="1">
        <v>40606</v>
      </c>
      <c r="B2342">
        <v>816138.33</v>
      </c>
    </row>
    <row r="2343" spans="1:2" x14ac:dyDescent="0.25">
      <c r="A2343" s="1">
        <v>40613</v>
      </c>
      <c r="B2343">
        <v>779602.36</v>
      </c>
    </row>
    <row r="2344" spans="1:2" x14ac:dyDescent="0.25">
      <c r="A2344" s="1">
        <v>40620</v>
      </c>
      <c r="B2344">
        <v>778436.81</v>
      </c>
    </row>
    <row r="2345" spans="1:2" x14ac:dyDescent="0.25">
      <c r="A2345" s="1">
        <v>40627</v>
      </c>
      <c r="B2345">
        <v>781267.76</v>
      </c>
    </row>
    <row r="2346" spans="1:2" x14ac:dyDescent="0.25">
      <c r="A2346" s="1">
        <v>40634</v>
      </c>
      <c r="B2346">
        <v>795859.23</v>
      </c>
    </row>
    <row r="2347" spans="1:2" x14ac:dyDescent="0.25">
      <c r="A2347" s="1">
        <v>40641</v>
      </c>
      <c r="B2347">
        <v>811855.72</v>
      </c>
    </row>
    <row r="2348" spans="1:2" x14ac:dyDescent="0.25">
      <c r="A2348" s="1">
        <v>40648</v>
      </c>
      <c r="B2348">
        <v>825283.43</v>
      </c>
    </row>
    <row r="2349" spans="1:2" x14ac:dyDescent="0.25">
      <c r="A2349" s="1">
        <v>40655</v>
      </c>
      <c r="B2349">
        <v>1060770.1100000001</v>
      </c>
    </row>
    <row r="2350" spans="1:2" x14ac:dyDescent="0.25">
      <c r="A2350" s="1">
        <v>40662</v>
      </c>
      <c r="B2350">
        <v>806979.15</v>
      </c>
    </row>
    <row r="2351" spans="1:2" x14ac:dyDescent="0.25">
      <c r="A2351" s="1">
        <v>40669</v>
      </c>
      <c r="B2351">
        <v>882132.28</v>
      </c>
    </row>
    <row r="2352" spans="1:2" x14ac:dyDescent="0.25">
      <c r="A2352" s="1">
        <v>40676</v>
      </c>
      <c r="B2352">
        <v>870625.49</v>
      </c>
    </row>
    <row r="2353" spans="1:2" x14ac:dyDescent="0.25">
      <c r="A2353" s="1">
        <v>40683</v>
      </c>
      <c r="B2353">
        <v>844443.35</v>
      </c>
    </row>
    <row r="2354" spans="1:2" x14ac:dyDescent="0.25">
      <c r="A2354" s="1">
        <v>40690</v>
      </c>
      <c r="B2354">
        <v>892056.64</v>
      </c>
    </row>
    <row r="2355" spans="1:2" x14ac:dyDescent="0.25">
      <c r="A2355" s="1">
        <v>40697</v>
      </c>
      <c r="B2355">
        <v>895020.48</v>
      </c>
    </row>
    <row r="2356" spans="1:2" x14ac:dyDescent="0.25">
      <c r="A2356" s="1">
        <v>40704</v>
      </c>
      <c r="B2356">
        <v>881190.46</v>
      </c>
    </row>
    <row r="2357" spans="1:2" x14ac:dyDescent="0.25">
      <c r="A2357" s="1">
        <v>40711</v>
      </c>
      <c r="B2357">
        <v>894686.67</v>
      </c>
    </row>
    <row r="2358" spans="1:2" x14ac:dyDescent="0.25">
      <c r="A2358" s="1">
        <v>40718</v>
      </c>
      <c r="B2358">
        <v>920719.98</v>
      </c>
    </row>
    <row r="2359" spans="1:2" x14ac:dyDescent="0.25">
      <c r="A2359" s="1">
        <v>40725</v>
      </c>
      <c r="B2359">
        <v>940554.34</v>
      </c>
    </row>
    <row r="2360" spans="1:2" x14ac:dyDescent="0.25">
      <c r="A2360" s="1">
        <v>40732</v>
      </c>
      <c r="B2360">
        <v>915064.22</v>
      </c>
    </row>
    <row r="2361" spans="1:2" x14ac:dyDescent="0.25">
      <c r="A2361" s="1">
        <v>40739</v>
      </c>
      <c r="B2361">
        <v>902727.76</v>
      </c>
    </row>
    <row r="2362" spans="1:2" x14ac:dyDescent="0.25">
      <c r="A2362" s="1">
        <v>40746</v>
      </c>
      <c r="B2362">
        <v>899044.34</v>
      </c>
    </row>
    <row r="2363" spans="1:2" x14ac:dyDescent="0.25">
      <c r="A2363" s="1">
        <v>40753</v>
      </c>
      <c r="B2363">
        <v>861894.77</v>
      </c>
    </row>
    <row r="2364" spans="1:2" x14ac:dyDescent="0.25">
      <c r="A2364" s="1">
        <v>40760</v>
      </c>
      <c r="B2364">
        <v>866184.92</v>
      </c>
    </row>
    <row r="2365" spans="1:2" x14ac:dyDescent="0.25">
      <c r="A2365" s="1">
        <v>40767</v>
      </c>
      <c r="B2365">
        <v>800819.79</v>
      </c>
    </row>
    <row r="2366" spans="1:2" x14ac:dyDescent="0.25">
      <c r="A2366" s="1">
        <v>40774</v>
      </c>
      <c r="B2366">
        <v>797523.04</v>
      </c>
    </row>
    <row r="2367" spans="1:2" x14ac:dyDescent="0.25">
      <c r="A2367" s="1">
        <v>40781</v>
      </c>
      <c r="B2367">
        <v>837390.79</v>
      </c>
    </row>
    <row r="2368" spans="1:2" x14ac:dyDescent="0.25">
      <c r="A2368" s="1">
        <v>40788</v>
      </c>
      <c r="B2368">
        <v>847380.07</v>
      </c>
    </row>
    <row r="2369" spans="1:2" x14ac:dyDescent="0.25">
      <c r="A2369" s="1">
        <v>40795</v>
      </c>
      <c r="B2369">
        <v>1161900.18</v>
      </c>
    </row>
    <row r="2370" spans="1:2" x14ac:dyDescent="0.25">
      <c r="A2370" s="1">
        <v>40802</v>
      </c>
      <c r="B2370">
        <v>1051116.95</v>
      </c>
    </row>
    <row r="2371" spans="1:2" x14ac:dyDescent="0.25">
      <c r="A2371" s="1">
        <v>40809</v>
      </c>
      <c r="B2371">
        <v>895535.31</v>
      </c>
    </row>
    <row r="2372" spans="1:2" x14ac:dyDescent="0.25">
      <c r="A2372" s="1">
        <v>40816</v>
      </c>
      <c r="B2372">
        <v>868191.05</v>
      </c>
    </row>
    <row r="2373" spans="1:2" x14ac:dyDescent="0.25">
      <c r="A2373" s="1">
        <v>40823</v>
      </c>
      <c r="B2373">
        <v>918006.9</v>
      </c>
    </row>
    <row r="2374" spans="1:2" x14ac:dyDescent="0.25">
      <c r="A2374" s="1">
        <v>40830</v>
      </c>
      <c r="B2374">
        <v>884042.63</v>
      </c>
    </row>
    <row r="2375" spans="1:2" x14ac:dyDescent="0.25">
      <c r="A2375" s="1">
        <v>40837</v>
      </c>
      <c r="B2375">
        <v>877380.22</v>
      </c>
    </row>
    <row r="2376" spans="1:2" x14ac:dyDescent="0.25">
      <c r="A2376" s="1">
        <v>40844</v>
      </c>
      <c r="B2376">
        <v>936508.43</v>
      </c>
    </row>
    <row r="2377" spans="1:2" x14ac:dyDescent="0.25">
      <c r="A2377" s="1">
        <v>40851</v>
      </c>
      <c r="B2377">
        <v>927657.63</v>
      </c>
    </row>
    <row r="2378" spans="1:2" x14ac:dyDescent="0.25">
      <c r="A2378" s="1">
        <v>40858</v>
      </c>
      <c r="B2378">
        <v>914759.2</v>
      </c>
    </row>
    <row r="2379" spans="1:2" x14ac:dyDescent="0.25">
      <c r="A2379" s="1">
        <v>40865</v>
      </c>
      <c r="B2379">
        <v>877724.31</v>
      </c>
    </row>
    <row r="2380" spans="1:2" x14ac:dyDescent="0.25">
      <c r="A2380" s="1">
        <v>40872</v>
      </c>
      <c r="B2380">
        <v>1225700.28</v>
      </c>
    </row>
    <row r="2381" spans="1:2" x14ac:dyDescent="0.25">
      <c r="A2381" s="1">
        <v>40879</v>
      </c>
      <c r="B2381">
        <v>945267.68</v>
      </c>
    </row>
    <row r="2382" spans="1:2" x14ac:dyDescent="0.25">
      <c r="A2382" s="1">
        <v>40886</v>
      </c>
      <c r="B2382">
        <v>976522.93</v>
      </c>
    </row>
    <row r="2383" spans="1:2" x14ac:dyDescent="0.25">
      <c r="A2383" s="1">
        <v>40893</v>
      </c>
      <c r="B2383">
        <v>1067754.06</v>
      </c>
    </row>
    <row r="2384" spans="1:2" x14ac:dyDescent="0.25">
      <c r="A2384" s="1">
        <v>40900</v>
      </c>
      <c r="B2384">
        <v>1289156.8999999999</v>
      </c>
    </row>
    <row r="2385" spans="1:2" x14ac:dyDescent="0.25">
      <c r="A2385" s="1">
        <v>40907</v>
      </c>
      <c r="B2385">
        <v>777207.3</v>
      </c>
    </row>
    <row r="2386" spans="1:2" x14ac:dyDescent="0.25">
      <c r="A2386" s="1">
        <v>40914</v>
      </c>
      <c r="B2386">
        <v>1198104.22</v>
      </c>
    </row>
    <row r="2387" spans="1:2" x14ac:dyDescent="0.25">
      <c r="A2387" s="1">
        <v>40921</v>
      </c>
      <c r="B2387">
        <v>873576.95999999996</v>
      </c>
    </row>
    <row r="2388" spans="1:2" x14ac:dyDescent="0.25">
      <c r="A2388" s="1">
        <v>40928</v>
      </c>
      <c r="B2388">
        <v>809272.65</v>
      </c>
    </row>
    <row r="2389" spans="1:2" x14ac:dyDescent="0.25">
      <c r="A2389" s="1">
        <v>40935</v>
      </c>
      <c r="B2389">
        <v>769522.33</v>
      </c>
    </row>
    <row r="2390" spans="1:2" x14ac:dyDescent="0.25">
      <c r="A2390" s="1">
        <v>40942</v>
      </c>
      <c r="B2390">
        <v>864852.85</v>
      </c>
    </row>
    <row r="2391" spans="1:2" x14ac:dyDescent="0.25">
      <c r="A2391" s="1">
        <v>40949</v>
      </c>
      <c r="B2391">
        <v>880165.7</v>
      </c>
    </row>
    <row r="2392" spans="1:2" x14ac:dyDescent="0.25">
      <c r="A2392" s="1">
        <v>40956</v>
      </c>
      <c r="B2392">
        <v>927084.65</v>
      </c>
    </row>
    <row r="2393" spans="1:2" x14ac:dyDescent="0.25">
      <c r="A2393" s="1">
        <v>40963</v>
      </c>
      <c r="B2393">
        <v>843864.43</v>
      </c>
    </row>
    <row r="2394" spans="1:2" x14ac:dyDescent="0.25">
      <c r="A2394" s="1">
        <v>40970</v>
      </c>
      <c r="B2394">
        <v>856178.47</v>
      </c>
    </row>
    <row r="2395" spans="1:2" x14ac:dyDescent="0.25">
      <c r="A2395" s="1">
        <v>40977</v>
      </c>
      <c r="B2395">
        <v>860224.98</v>
      </c>
    </row>
    <row r="2396" spans="1:2" x14ac:dyDescent="0.25">
      <c r="A2396" s="1">
        <v>40984</v>
      </c>
      <c r="B2396">
        <v>853136.46</v>
      </c>
    </row>
    <row r="2397" spans="1:2" x14ac:dyDescent="0.25">
      <c r="A2397" s="1">
        <v>40991</v>
      </c>
      <c r="B2397">
        <v>851762.28</v>
      </c>
    </row>
    <row r="2398" spans="1:2" x14ac:dyDescent="0.25">
      <c r="A2398" s="1">
        <v>40998</v>
      </c>
      <c r="B2398">
        <v>872469.03</v>
      </c>
    </row>
    <row r="2399" spans="1:2" x14ac:dyDescent="0.25">
      <c r="A2399" s="1">
        <v>41005</v>
      </c>
      <c r="B2399">
        <v>986922.62</v>
      </c>
    </row>
    <row r="2400" spans="1:2" x14ac:dyDescent="0.25">
      <c r="A2400" s="1">
        <v>41012</v>
      </c>
      <c r="B2400">
        <v>877055.32</v>
      </c>
    </row>
    <row r="2401" spans="1:2" x14ac:dyDescent="0.25">
      <c r="A2401" s="1">
        <v>41019</v>
      </c>
      <c r="B2401">
        <v>1119979.98</v>
      </c>
    </row>
    <row r="2402" spans="1:2" x14ac:dyDescent="0.25">
      <c r="A2402" s="1">
        <v>41026</v>
      </c>
      <c r="B2402">
        <v>925916.65</v>
      </c>
    </row>
    <row r="2403" spans="1:2" x14ac:dyDescent="0.25">
      <c r="A2403" s="1">
        <v>41033</v>
      </c>
      <c r="B2403">
        <v>930121.14</v>
      </c>
    </row>
    <row r="2404" spans="1:2" x14ac:dyDescent="0.25">
      <c r="A2404" s="1">
        <v>41040</v>
      </c>
      <c r="B2404">
        <v>944100.3</v>
      </c>
    </row>
    <row r="2405" spans="1:2" x14ac:dyDescent="0.25">
      <c r="A2405" s="1">
        <v>41047</v>
      </c>
      <c r="B2405">
        <v>968816.33</v>
      </c>
    </row>
    <row r="2406" spans="1:2" x14ac:dyDescent="0.25">
      <c r="A2406" s="1">
        <v>41054</v>
      </c>
      <c r="B2406">
        <v>984881.59</v>
      </c>
    </row>
    <row r="2407" spans="1:2" x14ac:dyDescent="0.25">
      <c r="A2407" s="1">
        <v>41061</v>
      </c>
      <c r="B2407">
        <v>938914.28</v>
      </c>
    </row>
    <row r="2408" spans="1:2" x14ac:dyDescent="0.25">
      <c r="A2408" s="1">
        <v>41068</v>
      </c>
      <c r="B2408">
        <v>987990.24</v>
      </c>
    </row>
    <row r="2409" spans="1:2" x14ac:dyDescent="0.25">
      <c r="A2409" s="1">
        <v>41075</v>
      </c>
      <c r="B2409">
        <v>964169.67</v>
      </c>
    </row>
    <row r="2410" spans="1:2" x14ac:dyDescent="0.25">
      <c r="A2410" s="1">
        <v>41082</v>
      </c>
      <c r="B2410">
        <v>981210.57</v>
      </c>
    </row>
    <row r="2411" spans="1:2" x14ac:dyDescent="0.25">
      <c r="A2411" s="1">
        <v>41089</v>
      </c>
      <c r="B2411">
        <v>982322.24</v>
      </c>
    </row>
    <row r="2412" spans="1:2" x14ac:dyDescent="0.25">
      <c r="A2412" s="1">
        <v>41096</v>
      </c>
      <c r="B2412">
        <v>1046782.52</v>
      </c>
    </row>
    <row r="2413" spans="1:2" x14ac:dyDescent="0.25">
      <c r="A2413" s="1">
        <v>41103</v>
      </c>
      <c r="B2413">
        <v>960746.04</v>
      </c>
    </row>
    <row r="2414" spans="1:2" x14ac:dyDescent="0.25">
      <c r="A2414" s="1">
        <v>41110</v>
      </c>
      <c r="B2414">
        <v>944698.7</v>
      </c>
    </row>
    <row r="2415" spans="1:2" x14ac:dyDescent="0.25">
      <c r="A2415" s="1">
        <v>41117</v>
      </c>
      <c r="B2415">
        <v>907493.24</v>
      </c>
    </row>
    <row r="2416" spans="1:2" x14ac:dyDescent="0.25">
      <c r="A2416" s="1">
        <v>41124</v>
      </c>
      <c r="B2416">
        <v>877813.33</v>
      </c>
    </row>
    <row r="2417" spans="1:2" x14ac:dyDescent="0.25">
      <c r="A2417" s="1">
        <v>41131</v>
      </c>
      <c r="B2417">
        <v>849074.04</v>
      </c>
    </row>
    <row r="2418" spans="1:2" x14ac:dyDescent="0.25">
      <c r="A2418" s="1">
        <v>41138</v>
      </c>
      <c r="B2418">
        <v>844928.17</v>
      </c>
    </row>
    <row r="2419" spans="1:2" x14ac:dyDescent="0.25">
      <c r="A2419" s="1">
        <v>41145</v>
      </c>
      <c r="B2419">
        <v>924299.78</v>
      </c>
    </row>
    <row r="2420" spans="1:2" x14ac:dyDescent="0.25">
      <c r="A2420" s="1">
        <v>41152</v>
      </c>
      <c r="B2420">
        <v>865924.2</v>
      </c>
    </row>
    <row r="2421" spans="1:2" x14ac:dyDescent="0.25">
      <c r="A2421" s="1">
        <v>41159</v>
      </c>
      <c r="B2421">
        <v>1255633.29</v>
      </c>
    </row>
    <row r="2422" spans="1:2" x14ac:dyDescent="0.25">
      <c r="A2422" s="1">
        <v>41166</v>
      </c>
      <c r="B2422">
        <v>1071040.22</v>
      </c>
    </row>
    <row r="2423" spans="1:2" x14ac:dyDescent="0.25">
      <c r="A2423" s="1">
        <v>41173</v>
      </c>
      <c r="B2423">
        <v>938303.28</v>
      </c>
    </row>
    <row r="2424" spans="1:2" x14ac:dyDescent="0.25">
      <c r="A2424" s="1">
        <v>41180</v>
      </c>
      <c r="B2424">
        <v>972716.24</v>
      </c>
    </row>
    <row r="2425" spans="1:2" x14ac:dyDescent="0.25">
      <c r="A2425" s="1">
        <v>41187</v>
      </c>
      <c r="B2425">
        <v>952609.17</v>
      </c>
    </row>
    <row r="2426" spans="1:2" x14ac:dyDescent="0.25">
      <c r="A2426" s="1">
        <v>41194</v>
      </c>
      <c r="B2426">
        <v>919878.34</v>
      </c>
    </row>
    <row r="2427" spans="1:2" x14ac:dyDescent="0.25">
      <c r="A2427" s="1">
        <v>41201</v>
      </c>
      <c r="B2427">
        <v>957356.84</v>
      </c>
    </row>
    <row r="2428" spans="1:2" x14ac:dyDescent="0.25">
      <c r="A2428" s="1">
        <v>41208</v>
      </c>
      <c r="B2428">
        <v>943465.29</v>
      </c>
    </row>
    <row r="2429" spans="1:2" x14ac:dyDescent="0.25">
      <c r="A2429" s="1">
        <v>40214</v>
      </c>
      <c r="B2429">
        <v>1205307.5</v>
      </c>
    </row>
    <row r="2430" spans="1:2" x14ac:dyDescent="0.25">
      <c r="A2430" s="1">
        <v>40221</v>
      </c>
      <c r="B2430">
        <v>1187880.7</v>
      </c>
    </row>
    <row r="2431" spans="1:2" x14ac:dyDescent="0.25">
      <c r="A2431" s="1">
        <v>40228</v>
      </c>
      <c r="B2431">
        <v>1150663.42</v>
      </c>
    </row>
    <row r="2432" spans="1:2" x14ac:dyDescent="0.25">
      <c r="A2432" s="1">
        <v>40235</v>
      </c>
      <c r="B2432">
        <v>1068157.45</v>
      </c>
    </row>
    <row r="2433" spans="1:2" x14ac:dyDescent="0.25">
      <c r="A2433" s="1">
        <v>40242</v>
      </c>
      <c r="B2433">
        <v>1179738.5</v>
      </c>
    </row>
    <row r="2434" spans="1:2" x14ac:dyDescent="0.25">
      <c r="A2434" s="1">
        <v>40249</v>
      </c>
      <c r="B2434">
        <v>1138800.32</v>
      </c>
    </row>
    <row r="2435" spans="1:2" x14ac:dyDescent="0.25">
      <c r="A2435" s="1">
        <v>40256</v>
      </c>
      <c r="B2435">
        <v>1087507.47</v>
      </c>
    </row>
    <row r="2436" spans="1:2" x14ac:dyDescent="0.25">
      <c r="A2436" s="1">
        <v>40263</v>
      </c>
      <c r="B2436">
        <v>1092704.0900000001</v>
      </c>
    </row>
    <row r="2437" spans="1:2" x14ac:dyDescent="0.25">
      <c r="A2437" s="1">
        <v>40270</v>
      </c>
      <c r="B2437">
        <v>1254107.8400000001</v>
      </c>
    </row>
    <row r="2438" spans="1:2" x14ac:dyDescent="0.25">
      <c r="A2438" s="1">
        <v>40277</v>
      </c>
      <c r="B2438">
        <v>1174447.55</v>
      </c>
    </row>
    <row r="2439" spans="1:2" x14ac:dyDescent="0.25">
      <c r="A2439" s="1">
        <v>40284</v>
      </c>
      <c r="B2439">
        <v>1135577.6200000001</v>
      </c>
    </row>
    <row r="2440" spans="1:2" x14ac:dyDescent="0.25">
      <c r="A2440" s="1">
        <v>40291</v>
      </c>
      <c r="B2440">
        <v>1132433.55</v>
      </c>
    </row>
    <row r="2441" spans="1:2" x14ac:dyDescent="0.25">
      <c r="A2441" s="1">
        <v>40298</v>
      </c>
      <c r="B2441">
        <v>1060446.1599999999</v>
      </c>
    </row>
    <row r="2442" spans="1:2" x14ac:dyDescent="0.25">
      <c r="A2442" s="1">
        <v>40305</v>
      </c>
      <c r="B2442">
        <v>1222255.47</v>
      </c>
    </row>
    <row r="2443" spans="1:2" x14ac:dyDescent="0.25">
      <c r="A2443" s="1">
        <v>40312</v>
      </c>
      <c r="B2443">
        <v>1092616.49</v>
      </c>
    </row>
    <row r="2444" spans="1:2" x14ac:dyDescent="0.25">
      <c r="A2444" s="1">
        <v>40319</v>
      </c>
      <c r="B2444">
        <v>1101621.3600000001</v>
      </c>
    </row>
    <row r="2445" spans="1:2" x14ac:dyDescent="0.25">
      <c r="A2445" s="1">
        <v>40326</v>
      </c>
      <c r="B2445">
        <v>1256282.79</v>
      </c>
    </row>
    <row r="2446" spans="1:2" x14ac:dyDescent="0.25">
      <c r="A2446" s="1">
        <v>40333</v>
      </c>
      <c r="B2446">
        <v>1271311.76</v>
      </c>
    </row>
    <row r="2447" spans="1:2" x14ac:dyDescent="0.25">
      <c r="A2447" s="1">
        <v>40340</v>
      </c>
      <c r="B2447">
        <v>1173521.82</v>
      </c>
    </row>
    <row r="2448" spans="1:2" x14ac:dyDescent="0.25">
      <c r="A2448" s="1">
        <v>40347</v>
      </c>
      <c r="B2448">
        <v>1183225.92</v>
      </c>
    </row>
    <row r="2449" spans="1:2" x14ac:dyDescent="0.25">
      <c r="A2449" s="1">
        <v>40354</v>
      </c>
      <c r="B2449">
        <v>1220983.17</v>
      </c>
    </row>
    <row r="2450" spans="1:2" x14ac:dyDescent="0.25">
      <c r="A2450" s="1">
        <v>40361</v>
      </c>
      <c r="B2450">
        <v>1257928.3500000001</v>
      </c>
    </row>
    <row r="2451" spans="1:2" x14ac:dyDescent="0.25">
      <c r="A2451" s="1">
        <v>40368</v>
      </c>
      <c r="B2451">
        <v>1171391.4099999999</v>
      </c>
    </row>
    <row r="2452" spans="1:2" x14ac:dyDescent="0.25">
      <c r="A2452" s="1">
        <v>40375</v>
      </c>
      <c r="B2452">
        <v>1115514.6100000001</v>
      </c>
    </row>
    <row r="2453" spans="1:2" x14ac:dyDescent="0.25">
      <c r="A2453" s="1">
        <v>40382</v>
      </c>
      <c r="B2453">
        <v>1032908.23</v>
      </c>
    </row>
    <row r="2454" spans="1:2" x14ac:dyDescent="0.25">
      <c r="A2454" s="1">
        <v>40389</v>
      </c>
      <c r="B2454">
        <v>1078557.6200000001</v>
      </c>
    </row>
    <row r="2455" spans="1:2" x14ac:dyDescent="0.25">
      <c r="A2455" s="1">
        <v>40396</v>
      </c>
      <c r="B2455">
        <v>1166117.8500000001</v>
      </c>
    </row>
    <row r="2456" spans="1:2" x14ac:dyDescent="0.25">
      <c r="A2456" s="1">
        <v>40403</v>
      </c>
      <c r="B2456">
        <v>1084722.78</v>
      </c>
    </row>
    <row r="2457" spans="1:2" x14ac:dyDescent="0.25">
      <c r="A2457" s="1">
        <v>40410</v>
      </c>
      <c r="B2457">
        <v>1141860.67</v>
      </c>
    </row>
    <row r="2458" spans="1:2" x14ac:dyDescent="0.25">
      <c r="A2458" s="1">
        <v>40417</v>
      </c>
      <c r="B2458">
        <v>1214302.76</v>
      </c>
    </row>
    <row r="2459" spans="1:2" x14ac:dyDescent="0.25">
      <c r="A2459" s="1">
        <v>40424</v>
      </c>
      <c r="B2459">
        <v>1187359.77</v>
      </c>
    </row>
    <row r="2460" spans="1:2" x14ac:dyDescent="0.25">
      <c r="A2460" s="1">
        <v>40431</v>
      </c>
      <c r="B2460">
        <v>1011201.12</v>
      </c>
    </row>
    <row r="2461" spans="1:2" x14ac:dyDescent="0.25">
      <c r="A2461" s="1">
        <v>40438</v>
      </c>
      <c r="B2461">
        <v>997998.21</v>
      </c>
    </row>
    <row r="2462" spans="1:2" x14ac:dyDescent="0.25">
      <c r="A2462" s="1">
        <v>40445</v>
      </c>
      <c r="B2462">
        <v>950862.92</v>
      </c>
    </row>
    <row r="2463" spans="1:2" x14ac:dyDescent="0.25">
      <c r="A2463" s="1">
        <v>40452</v>
      </c>
      <c r="B2463">
        <v>948977.5</v>
      </c>
    </row>
    <row r="2464" spans="1:2" x14ac:dyDescent="0.25">
      <c r="A2464" s="1">
        <v>40459</v>
      </c>
      <c r="B2464">
        <v>1107432.71</v>
      </c>
    </row>
    <row r="2465" spans="1:2" x14ac:dyDescent="0.25">
      <c r="A2465" s="1">
        <v>40466</v>
      </c>
      <c r="B2465">
        <v>1029618.1</v>
      </c>
    </row>
    <row r="2466" spans="1:2" x14ac:dyDescent="0.25">
      <c r="A2466" s="1">
        <v>40473</v>
      </c>
      <c r="B2466">
        <v>1052120.43</v>
      </c>
    </row>
    <row r="2467" spans="1:2" x14ac:dyDescent="0.25">
      <c r="A2467" s="1">
        <v>40480</v>
      </c>
      <c r="B2467">
        <v>1038576.54</v>
      </c>
    </row>
    <row r="2468" spans="1:2" x14ac:dyDescent="0.25">
      <c r="A2468" s="1">
        <v>40487</v>
      </c>
      <c r="B2468">
        <v>1089530.94</v>
      </c>
    </row>
    <row r="2469" spans="1:2" x14ac:dyDescent="0.25">
      <c r="A2469" s="1">
        <v>40494</v>
      </c>
      <c r="B2469">
        <v>1081322.1200000001</v>
      </c>
    </row>
    <row r="2470" spans="1:2" x14ac:dyDescent="0.25">
      <c r="A2470" s="1">
        <v>40501</v>
      </c>
      <c r="B2470">
        <v>1045722.37</v>
      </c>
    </row>
    <row r="2471" spans="1:2" x14ac:dyDescent="0.25">
      <c r="A2471" s="1">
        <v>40508</v>
      </c>
      <c r="B2471">
        <v>1653759.36</v>
      </c>
    </row>
    <row r="2472" spans="1:2" x14ac:dyDescent="0.25">
      <c r="A2472" s="1">
        <v>40515</v>
      </c>
      <c r="B2472">
        <v>1211026.1299999999</v>
      </c>
    </row>
    <row r="2473" spans="1:2" x14ac:dyDescent="0.25">
      <c r="A2473" s="1">
        <v>40522</v>
      </c>
      <c r="B2473">
        <v>1416168.98</v>
      </c>
    </row>
    <row r="2474" spans="1:2" x14ac:dyDescent="0.25">
      <c r="A2474" s="1">
        <v>40529</v>
      </c>
      <c r="B2474">
        <v>1588430.71</v>
      </c>
    </row>
    <row r="2475" spans="1:2" x14ac:dyDescent="0.25">
      <c r="A2475" s="1">
        <v>40536</v>
      </c>
      <c r="B2475">
        <v>2027507.15</v>
      </c>
    </row>
    <row r="2476" spans="1:2" x14ac:dyDescent="0.25">
      <c r="A2476" s="1">
        <v>40543</v>
      </c>
      <c r="B2476">
        <v>887907.01</v>
      </c>
    </row>
    <row r="2477" spans="1:2" x14ac:dyDescent="0.25">
      <c r="A2477" s="1">
        <v>40550</v>
      </c>
      <c r="B2477">
        <v>933960.3</v>
      </c>
    </row>
    <row r="2478" spans="1:2" x14ac:dyDescent="0.25">
      <c r="A2478" s="1">
        <v>40557</v>
      </c>
      <c r="B2478">
        <v>777175.28</v>
      </c>
    </row>
    <row r="2479" spans="1:2" x14ac:dyDescent="0.25">
      <c r="A2479" s="1">
        <v>40564</v>
      </c>
      <c r="B2479">
        <v>891148.55</v>
      </c>
    </row>
    <row r="2480" spans="1:2" x14ac:dyDescent="0.25">
      <c r="A2480" s="1">
        <v>40571</v>
      </c>
      <c r="B2480">
        <v>849540.85</v>
      </c>
    </row>
    <row r="2481" spans="1:2" x14ac:dyDescent="0.25">
      <c r="A2481" s="1">
        <v>40578</v>
      </c>
      <c r="B2481">
        <v>1055841.24</v>
      </c>
    </row>
    <row r="2482" spans="1:2" x14ac:dyDescent="0.25">
      <c r="A2482" s="1">
        <v>40585</v>
      </c>
      <c r="B2482">
        <v>1122053.58</v>
      </c>
    </row>
    <row r="2483" spans="1:2" x14ac:dyDescent="0.25">
      <c r="A2483" s="1">
        <v>40592</v>
      </c>
      <c r="B2483">
        <v>1095058.57</v>
      </c>
    </row>
    <row r="2484" spans="1:2" x14ac:dyDescent="0.25">
      <c r="A2484" s="1">
        <v>40599</v>
      </c>
      <c r="B2484">
        <v>1005983.31</v>
      </c>
    </row>
    <row r="2485" spans="1:2" x14ac:dyDescent="0.25">
      <c r="A2485" s="1">
        <v>40606</v>
      </c>
      <c r="B2485">
        <v>1063310.6200000001</v>
      </c>
    </row>
    <row r="2486" spans="1:2" x14ac:dyDescent="0.25">
      <c r="A2486" s="1">
        <v>40613</v>
      </c>
      <c r="B2486">
        <v>1002714.25</v>
      </c>
    </row>
    <row r="2487" spans="1:2" x14ac:dyDescent="0.25">
      <c r="A2487" s="1">
        <v>40620</v>
      </c>
      <c r="B2487">
        <v>945889.59</v>
      </c>
    </row>
    <row r="2488" spans="1:2" x14ac:dyDescent="0.25">
      <c r="A2488" s="1">
        <v>40627</v>
      </c>
      <c r="B2488">
        <v>944523.3</v>
      </c>
    </row>
    <row r="2489" spans="1:2" x14ac:dyDescent="0.25">
      <c r="A2489" s="1">
        <v>40634</v>
      </c>
      <c r="B2489">
        <v>938083.17</v>
      </c>
    </row>
    <row r="2490" spans="1:2" x14ac:dyDescent="0.25">
      <c r="A2490" s="1">
        <v>40641</v>
      </c>
      <c r="B2490">
        <v>1018541.3</v>
      </c>
    </row>
    <row r="2491" spans="1:2" x14ac:dyDescent="0.25">
      <c r="A2491" s="1">
        <v>40648</v>
      </c>
      <c r="B2491">
        <v>988157.72</v>
      </c>
    </row>
    <row r="2492" spans="1:2" x14ac:dyDescent="0.25">
      <c r="A2492" s="1">
        <v>40655</v>
      </c>
      <c r="B2492">
        <v>1105860.06</v>
      </c>
    </row>
    <row r="2493" spans="1:2" x14ac:dyDescent="0.25">
      <c r="A2493" s="1">
        <v>40662</v>
      </c>
      <c r="B2493">
        <v>974114.39</v>
      </c>
    </row>
    <row r="2494" spans="1:2" x14ac:dyDescent="0.25">
      <c r="A2494" s="1">
        <v>40669</v>
      </c>
      <c r="B2494">
        <v>1065427.3700000001</v>
      </c>
    </row>
    <row r="2495" spans="1:2" x14ac:dyDescent="0.25">
      <c r="A2495" s="1">
        <v>40676</v>
      </c>
      <c r="B2495">
        <v>993172.98</v>
      </c>
    </row>
    <row r="2496" spans="1:2" x14ac:dyDescent="0.25">
      <c r="A2496" s="1">
        <v>40683</v>
      </c>
      <c r="B2496">
        <v>994610.43</v>
      </c>
    </row>
    <row r="2497" spans="1:2" x14ac:dyDescent="0.25">
      <c r="A2497" s="1">
        <v>40690</v>
      </c>
      <c r="B2497">
        <v>1065214.1399999999</v>
      </c>
    </row>
    <row r="2498" spans="1:2" x14ac:dyDescent="0.25">
      <c r="A2498" s="1">
        <v>40697</v>
      </c>
      <c r="B2498">
        <v>1178039</v>
      </c>
    </row>
    <row r="2499" spans="1:2" x14ac:dyDescent="0.25">
      <c r="A2499" s="1">
        <v>40704</v>
      </c>
      <c r="B2499">
        <v>1044079.2</v>
      </c>
    </row>
    <row r="2500" spans="1:2" x14ac:dyDescent="0.25">
      <c r="A2500" s="1">
        <v>40711</v>
      </c>
      <c r="B2500">
        <v>1045859.39</v>
      </c>
    </row>
    <row r="2501" spans="1:2" x14ac:dyDescent="0.25">
      <c r="A2501" s="1">
        <v>40718</v>
      </c>
      <c r="B2501">
        <v>1056478.6499999999</v>
      </c>
    </row>
    <row r="2502" spans="1:2" x14ac:dyDescent="0.25">
      <c r="A2502" s="1">
        <v>40725</v>
      </c>
      <c r="B2502">
        <v>1087051.26</v>
      </c>
    </row>
    <row r="2503" spans="1:2" x14ac:dyDescent="0.25">
      <c r="A2503" s="1">
        <v>40732</v>
      </c>
      <c r="B2503">
        <v>1048802.6200000001</v>
      </c>
    </row>
    <row r="2504" spans="1:2" x14ac:dyDescent="0.25">
      <c r="A2504" s="1">
        <v>40739</v>
      </c>
      <c r="B2504">
        <v>974916.13</v>
      </c>
    </row>
    <row r="2505" spans="1:2" x14ac:dyDescent="0.25">
      <c r="A2505" s="1">
        <v>40746</v>
      </c>
      <c r="B2505">
        <v>991262.46</v>
      </c>
    </row>
    <row r="2506" spans="1:2" x14ac:dyDescent="0.25">
      <c r="A2506" s="1">
        <v>40753</v>
      </c>
      <c r="B2506">
        <v>954148.64</v>
      </c>
    </row>
    <row r="2507" spans="1:2" x14ac:dyDescent="0.25">
      <c r="A2507" s="1">
        <v>40760</v>
      </c>
      <c r="B2507">
        <v>1002806.39</v>
      </c>
    </row>
    <row r="2508" spans="1:2" x14ac:dyDescent="0.25">
      <c r="A2508" s="1">
        <v>40767</v>
      </c>
      <c r="B2508">
        <v>928470.83</v>
      </c>
    </row>
    <row r="2509" spans="1:2" x14ac:dyDescent="0.25">
      <c r="A2509" s="1">
        <v>40774</v>
      </c>
      <c r="B2509">
        <v>932679.79</v>
      </c>
    </row>
    <row r="2510" spans="1:2" x14ac:dyDescent="0.25">
      <c r="A2510" s="1">
        <v>40781</v>
      </c>
      <c r="B2510">
        <v>1147906.46</v>
      </c>
    </row>
    <row r="2511" spans="1:2" x14ac:dyDescent="0.25">
      <c r="A2511" s="1">
        <v>40788</v>
      </c>
      <c r="B2511">
        <v>540922.93999999994</v>
      </c>
    </row>
    <row r="2512" spans="1:2" x14ac:dyDescent="0.25">
      <c r="A2512" s="1">
        <v>40795</v>
      </c>
      <c r="B2512">
        <v>951549.61</v>
      </c>
    </row>
    <row r="2513" spans="1:2" x14ac:dyDescent="0.25">
      <c r="A2513" s="1">
        <v>40802</v>
      </c>
      <c r="B2513">
        <v>845715.37</v>
      </c>
    </row>
    <row r="2514" spans="1:2" x14ac:dyDescent="0.25">
      <c r="A2514" s="1">
        <v>40809</v>
      </c>
      <c r="B2514">
        <v>853073.17</v>
      </c>
    </row>
    <row r="2515" spans="1:2" x14ac:dyDescent="0.25">
      <c r="A2515" s="1">
        <v>40816</v>
      </c>
      <c r="B2515">
        <v>847348.08</v>
      </c>
    </row>
    <row r="2516" spans="1:2" x14ac:dyDescent="0.25">
      <c r="A2516" s="1">
        <v>40823</v>
      </c>
      <c r="B2516">
        <v>1019741.1</v>
      </c>
    </row>
    <row r="2517" spans="1:2" x14ac:dyDescent="0.25">
      <c r="A2517" s="1">
        <v>40830</v>
      </c>
      <c r="B2517">
        <v>953533.95</v>
      </c>
    </row>
    <row r="2518" spans="1:2" x14ac:dyDescent="0.25">
      <c r="A2518" s="1">
        <v>40837</v>
      </c>
      <c r="B2518">
        <v>1048212.62</v>
      </c>
    </row>
    <row r="2519" spans="1:2" x14ac:dyDescent="0.25">
      <c r="A2519" s="1">
        <v>40844</v>
      </c>
      <c r="B2519">
        <v>1106642.6299999999</v>
      </c>
    </row>
    <row r="2520" spans="1:2" x14ac:dyDescent="0.25">
      <c r="A2520" s="1">
        <v>40851</v>
      </c>
      <c r="B2520">
        <v>1100625.06</v>
      </c>
    </row>
    <row r="2521" spans="1:2" x14ac:dyDescent="0.25">
      <c r="A2521" s="1">
        <v>40858</v>
      </c>
      <c r="B2521">
        <v>1079931.6299999999</v>
      </c>
    </row>
    <row r="2522" spans="1:2" x14ac:dyDescent="0.25">
      <c r="A2522" s="1">
        <v>40865</v>
      </c>
      <c r="B2522">
        <v>1056992.18</v>
      </c>
    </row>
    <row r="2523" spans="1:2" x14ac:dyDescent="0.25">
      <c r="A2523" s="1">
        <v>40872</v>
      </c>
      <c r="B2523">
        <v>1624170.99</v>
      </c>
    </row>
    <row r="2524" spans="1:2" x14ac:dyDescent="0.25">
      <c r="A2524" s="1">
        <v>40879</v>
      </c>
      <c r="B2524">
        <v>1188047.6100000001</v>
      </c>
    </row>
    <row r="2525" spans="1:2" x14ac:dyDescent="0.25">
      <c r="A2525" s="1">
        <v>40886</v>
      </c>
      <c r="B2525">
        <v>1368471.23</v>
      </c>
    </row>
    <row r="2526" spans="1:2" x14ac:dyDescent="0.25">
      <c r="A2526" s="1">
        <v>40893</v>
      </c>
      <c r="B2526">
        <v>1516924.23</v>
      </c>
    </row>
    <row r="2527" spans="1:2" x14ac:dyDescent="0.25">
      <c r="A2527" s="1">
        <v>40900</v>
      </c>
      <c r="B2527">
        <v>1882393.4</v>
      </c>
    </row>
    <row r="2528" spans="1:2" x14ac:dyDescent="0.25">
      <c r="A2528" s="1">
        <v>40907</v>
      </c>
      <c r="B2528">
        <v>1010562.49</v>
      </c>
    </row>
    <row r="2529" spans="1:2" x14ac:dyDescent="0.25">
      <c r="A2529" s="1">
        <v>40914</v>
      </c>
      <c r="B2529">
        <v>977286.07</v>
      </c>
    </row>
    <row r="2530" spans="1:2" x14ac:dyDescent="0.25">
      <c r="A2530" s="1">
        <v>40921</v>
      </c>
      <c r="B2530">
        <v>890130.25</v>
      </c>
    </row>
    <row r="2531" spans="1:2" x14ac:dyDescent="0.25">
      <c r="A2531" s="1">
        <v>40928</v>
      </c>
      <c r="B2531">
        <v>937522.77</v>
      </c>
    </row>
    <row r="2532" spans="1:2" x14ac:dyDescent="0.25">
      <c r="A2532" s="1">
        <v>40935</v>
      </c>
      <c r="B2532">
        <v>825584.22</v>
      </c>
    </row>
    <row r="2533" spans="1:2" x14ac:dyDescent="0.25">
      <c r="A2533" s="1">
        <v>40942</v>
      </c>
      <c r="B2533">
        <v>1049772.04</v>
      </c>
    </row>
    <row r="2534" spans="1:2" x14ac:dyDescent="0.25">
      <c r="A2534" s="1">
        <v>40949</v>
      </c>
      <c r="B2534">
        <v>1161615.51</v>
      </c>
    </row>
    <row r="2535" spans="1:2" x14ac:dyDescent="0.25">
      <c r="A2535" s="1">
        <v>40956</v>
      </c>
      <c r="B2535">
        <v>1115985.81</v>
      </c>
    </row>
    <row r="2536" spans="1:2" x14ac:dyDescent="0.25">
      <c r="A2536" s="1">
        <v>40963</v>
      </c>
      <c r="B2536">
        <v>1037861.11</v>
      </c>
    </row>
    <row r="2537" spans="1:2" x14ac:dyDescent="0.25">
      <c r="A2537" s="1">
        <v>40970</v>
      </c>
      <c r="B2537">
        <v>1047178.91</v>
      </c>
    </row>
    <row r="2538" spans="1:2" x14ac:dyDescent="0.25">
      <c r="A2538" s="1">
        <v>40977</v>
      </c>
      <c r="B2538">
        <v>1084894.47</v>
      </c>
    </row>
    <row r="2539" spans="1:2" x14ac:dyDescent="0.25">
      <c r="A2539" s="1">
        <v>40984</v>
      </c>
      <c r="B2539">
        <v>1022018.43</v>
      </c>
    </row>
    <row r="2540" spans="1:2" x14ac:dyDescent="0.25">
      <c r="A2540" s="1">
        <v>40991</v>
      </c>
      <c r="B2540">
        <v>1031139.3</v>
      </c>
    </row>
    <row r="2541" spans="1:2" x14ac:dyDescent="0.25">
      <c r="A2541" s="1">
        <v>40998</v>
      </c>
      <c r="B2541">
        <v>1009121.2</v>
      </c>
    </row>
    <row r="2542" spans="1:2" x14ac:dyDescent="0.25">
      <c r="A2542" s="1">
        <v>41005</v>
      </c>
      <c r="B2542">
        <v>1200815.3</v>
      </c>
    </row>
    <row r="2543" spans="1:2" x14ac:dyDescent="0.25">
      <c r="A2543" s="1">
        <v>41012</v>
      </c>
      <c r="B2543">
        <v>998443.5</v>
      </c>
    </row>
    <row r="2544" spans="1:2" x14ac:dyDescent="0.25">
      <c r="A2544" s="1">
        <v>41019</v>
      </c>
      <c r="B2544">
        <v>1025813.8</v>
      </c>
    </row>
    <row r="2545" spans="1:2" x14ac:dyDescent="0.25">
      <c r="A2545" s="1">
        <v>41026</v>
      </c>
      <c r="B2545">
        <v>961186.23</v>
      </c>
    </row>
    <row r="2546" spans="1:2" x14ac:dyDescent="0.25">
      <c r="A2546" s="1">
        <v>41033</v>
      </c>
      <c r="B2546">
        <v>1050027.8899999999</v>
      </c>
    </row>
    <row r="2547" spans="1:2" x14ac:dyDescent="0.25">
      <c r="A2547" s="1">
        <v>41040</v>
      </c>
      <c r="B2547">
        <v>1060433.1000000001</v>
      </c>
    </row>
    <row r="2548" spans="1:2" x14ac:dyDescent="0.25">
      <c r="A2548" s="1">
        <v>41047</v>
      </c>
      <c r="B2548">
        <v>1047444.59</v>
      </c>
    </row>
    <row r="2549" spans="1:2" x14ac:dyDescent="0.25">
      <c r="A2549" s="1">
        <v>41054</v>
      </c>
      <c r="B2549">
        <v>1088446.58</v>
      </c>
    </row>
    <row r="2550" spans="1:2" x14ac:dyDescent="0.25">
      <c r="A2550" s="1">
        <v>41061</v>
      </c>
      <c r="B2550">
        <v>1118313.7</v>
      </c>
    </row>
    <row r="2551" spans="1:2" x14ac:dyDescent="0.25">
      <c r="A2551" s="1">
        <v>41068</v>
      </c>
      <c r="B2551">
        <v>1110479.94</v>
      </c>
    </row>
    <row r="2552" spans="1:2" x14ac:dyDescent="0.25">
      <c r="A2552" s="1">
        <v>41075</v>
      </c>
      <c r="B2552">
        <v>1057425.83</v>
      </c>
    </row>
    <row r="2553" spans="1:2" x14ac:dyDescent="0.25">
      <c r="A2553" s="1">
        <v>41082</v>
      </c>
      <c r="B2553">
        <v>1080357.8899999999</v>
      </c>
    </row>
    <row r="2554" spans="1:2" x14ac:dyDescent="0.25">
      <c r="A2554" s="1">
        <v>41089</v>
      </c>
      <c r="B2554">
        <v>1097006.3</v>
      </c>
    </row>
    <row r="2555" spans="1:2" x14ac:dyDescent="0.25">
      <c r="A2555" s="1">
        <v>41096</v>
      </c>
      <c r="B2555">
        <v>1158247.31</v>
      </c>
    </row>
    <row r="2556" spans="1:2" x14ac:dyDescent="0.25">
      <c r="A2556" s="1">
        <v>41103</v>
      </c>
      <c r="B2556">
        <v>1024784.92</v>
      </c>
    </row>
    <row r="2557" spans="1:2" x14ac:dyDescent="0.25">
      <c r="A2557" s="1">
        <v>41110</v>
      </c>
      <c r="B2557">
        <v>1033543.56</v>
      </c>
    </row>
    <row r="2558" spans="1:2" x14ac:dyDescent="0.25">
      <c r="A2558" s="1">
        <v>41117</v>
      </c>
      <c r="B2558">
        <v>924506.26</v>
      </c>
    </row>
    <row r="2559" spans="1:2" x14ac:dyDescent="0.25">
      <c r="A2559" s="1">
        <v>41124</v>
      </c>
      <c r="B2559">
        <v>1052066.58</v>
      </c>
    </row>
    <row r="2560" spans="1:2" x14ac:dyDescent="0.25">
      <c r="A2560" s="1">
        <v>41131</v>
      </c>
      <c r="B2560">
        <v>967304.07</v>
      </c>
    </row>
    <row r="2561" spans="1:2" x14ac:dyDescent="0.25">
      <c r="A2561" s="1">
        <v>41138</v>
      </c>
      <c r="B2561">
        <v>1048134.24</v>
      </c>
    </row>
    <row r="2562" spans="1:2" x14ac:dyDescent="0.25">
      <c r="A2562" s="1">
        <v>41145</v>
      </c>
      <c r="B2562">
        <v>1145840.9099999999</v>
      </c>
    </row>
    <row r="2563" spans="1:2" x14ac:dyDescent="0.25">
      <c r="A2563" s="1">
        <v>41152</v>
      </c>
      <c r="B2563">
        <v>1117097.23</v>
      </c>
    </row>
    <row r="2564" spans="1:2" x14ac:dyDescent="0.25">
      <c r="A2564" s="1">
        <v>41159</v>
      </c>
      <c r="B2564">
        <v>1083521.24</v>
      </c>
    </row>
    <row r="2565" spans="1:2" x14ac:dyDescent="0.25">
      <c r="A2565" s="1">
        <v>41166</v>
      </c>
      <c r="B2565">
        <v>960476.1</v>
      </c>
    </row>
    <row r="2566" spans="1:2" x14ac:dyDescent="0.25">
      <c r="A2566" s="1">
        <v>41173</v>
      </c>
      <c r="B2566">
        <v>971386.65</v>
      </c>
    </row>
    <row r="2567" spans="1:2" x14ac:dyDescent="0.25">
      <c r="A2567" s="1">
        <v>41180</v>
      </c>
      <c r="B2567">
        <v>1002856.2</v>
      </c>
    </row>
    <row r="2568" spans="1:2" x14ac:dyDescent="0.25">
      <c r="A2568" s="1">
        <v>41187</v>
      </c>
      <c r="B2568">
        <v>1092204.79</v>
      </c>
    </row>
    <row r="2569" spans="1:2" x14ac:dyDescent="0.25">
      <c r="A2569" s="1">
        <v>41194</v>
      </c>
      <c r="B2569">
        <v>1074079</v>
      </c>
    </row>
    <row r="2570" spans="1:2" x14ac:dyDescent="0.25">
      <c r="A2570" s="1">
        <v>41201</v>
      </c>
      <c r="B2570">
        <v>1048706.75</v>
      </c>
    </row>
    <row r="2571" spans="1:2" x14ac:dyDescent="0.25">
      <c r="A2571" s="1">
        <v>41208</v>
      </c>
      <c r="B2571">
        <v>1127516.25</v>
      </c>
    </row>
    <row r="2572" spans="1:2" x14ac:dyDescent="0.25">
      <c r="A2572" s="1">
        <v>40214</v>
      </c>
      <c r="B2572">
        <v>1507637.17</v>
      </c>
    </row>
    <row r="2573" spans="1:2" x14ac:dyDescent="0.25">
      <c r="A2573" s="1">
        <v>40221</v>
      </c>
      <c r="B2573">
        <v>1536549.95</v>
      </c>
    </row>
    <row r="2574" spans="1:2" x14ac:dyDescent="0.25">
      <c r="A2574" s="1">
        <v>40228</v>
      </c>
      <c r="B2574">
        <v>1515976.11</v>
      </c>
    </row>
    <row r="2575" spans="1:2" x14ac:dyDescent="0.25">
      <c r="A2575" s="1">
        <v>40235</v>
      </c>
      <c r="B2575">
        <v>1373270.06</v>
      </c>
    </row>
    <row r="2576" spans="1:2" x14ac:dyDescent="0.25">
      <c r="A2576" s="1">
        <v>40242</v>
      </c>
      <c r="B2576">
        <v>1495844.57</v>
      </c>
    </row>
    <row r="2577" spans="1:2" x14ac:dyDescent="0.25">
      <c r="A2577" s="1">
        <v>40249</v>
      </c>
      <c r="B2577">
        <v>1467889.2</v>
      </c>
    </row>
    <row r="2578" spans="1:2" x14ac:dyDescent="0.25">
      <c r="A2578" s="1">
        <v>40256</v>
      </c>
      <c r="B2578">
        <v>1332940.3500000001</v>
      </c>
    </row>
    <row r="2579" spans="1:2" x14ac:dyDescent="0.25">
      <c r="A2579" s="1">
        <v>40263</v>
      </c>
      <c r="B2579">
        <v>1427023.45</v>
      </c>
    </row>
    <row r="2580" spans="1:2" x14ac:dyDescent="0.25">
      <c r="A2580" s="1">
        <v>40270</v>
      </c>
      <c r="B2580">
        <v>1642970.27</v>
      </c>
    </row>
    <row r="2581" spans="1:2" x14ac:dyDescent="0.25">
      <c r="A2581" s="1">
        <v>40277</v>
      </c>
      <c r="B2581">
        <v>1489613.32</v>
      </c>
    </row>
    <row r="2582" spans="1:2" x14ac:dyDescent="0.25">
      <c r="A2582" s="1">
        <v>40284</v>
      </c>
      <c r="B2582">
        <v>1460354.67</v>
      </c>
    </row>
    <row r="2583" spans="1:2" x14ac:dyDescent="0.25">
      <c r="A2583" s="1">
        <v>40291</v>
      </c>
      <c r="B2583">
        <v>1456793.33</v>
      </c>
    </row>
    <row r="2584" spans="1:2" x14ac:dyDescent="0.25">
      <c r="A2584" s="1">
        <v>40298</v>
      </c>
      <c r="B2584">
        <v>1405065.57</v>
      </c>
    </row>
    <row r="2585" spans="1:2" x14ac:dyDescent="0.25">
      <c r="A2585" s="1">
        <v>40305</v>
      </c>
      <c r="B2585">
        <v>1566219.77</v>
      </c>
    </row>
    <row r="2586" spans="1:2" x14ac:dyDescent="0.25">
      <c r="A2586" s="1">
        <v>40312</v>
      </c>
      <c r="B2586">
        <v>1437319.45</v>
      </c>
    </row>
    <row r="2587" spans="1:2" x14ac:dyDescent="0.25">
      <c r="A2587" s="1">
        <v>40319</v>
      </c>
      <c r="B2587">
        <v>1377716.17</v>
      </c>
    </row>
    <row r="2588" spans="1:2" x14ac:dyDescent="0.25">
      <c r="A2588" s="1">
        <v>40326</v>
      </c>
      <c r="B2588">
        <v>1648882.62</v>
      </c>
    </row>
    <row r="2589" spans="1:2" x14ac:dyDescent="0.25">
      <c r="A2589" s="1">
        <v>40333</v>
      </c>
      <c r="B2589">
        <v>1519013.49</v>
      </c>
    </row>
    <row r="2590" spans="1:2" x14ac:dyDescent="0.25">
      <c r="A2590" s="1">
        <v>40340</v>
      </c>
      <c r="B2590">
        <v>1410683.94</v>
      </c>
    </row>
    <row r="2591" spans="1:2" x14ac:dyDescent="0.25">
      <c r="A2591" s="1">
        <v>40347</v>
      </c>
      <c r="B2591">
        <v>1457314.39</v>
      </c>
    </row>
    <row r="2592" spans="1:2" x14ac:dyDescent="0.25">
      <c r="A2592" s="1">
        <v>40354</v>
      </c>
      <c r="B2592">
        <v>1450407.32</v>
      </c>
    </row>
    <row r="2593" spans="1:2" x14ac:dyDescent="0.25">
      <c r="A2593" s="1">
        <v>40361</v>
      </c>
      <c r="B2593">
        <v>1549018.68</v>
      </c>
    </row>
    <row r="2594" spans="1:2" x14ac:dyDescent="0.25">
      <c r="A2594" s="1">
        <v>40368</v>
      </c>
      <c r="B2594">
        <v>1577541.24</v>
      </c>
    </row>
    <row r="2595" spans="1:2" x14ac:dyDescent="0.25">
      <c r="A2595" s="1">
        <v>40375</v>
      </c>
      <c r="B2595">
        <v>1412157.02</v>
      </c>
    </row>
    <row r="2596" spans="1:2" x14ac:dyDescent="0.25">
      <c r="A2596" s="1">
        <v>40382</v>
      </c>
      <c r="B2596">
        <v>1372043.71</v>
      </c>
    </row>
    <row r="2597" spans="1:2" x14ac:dyDescent="0.25">
      <c r="A2597" s="1">
        <v>40389</v>
      </c>
      <c r="B2597">
        <v>1366395.96</v>
      </c>
    </row>
    <row r="2598" spans="1:2" x14ac:dyDescent="0.25">
      <c r="A2598" s="1">
        <v>40396</v>
      </c>
      <c r="B2598">
        <v>1492060.89</v>
      </c>
    </row>
    <row r="2599" spans="1:2" x14ac:dyDescent="0.25">
      <c r="A2599" s="1">
        <v>40403</v>
      </c>
      <c r="B2599">
        <v>1418027.08</v>
      </c>
    </row>
    <row r="2600" spans="1:2" x14ac:dyDescent="0.25">
      <c r="A2600" s="1">
        <v>40410</v>
      </c>
      <c r="B2600">
        <v>1419383.19</v>
      </c>
    </row>
    <row r="2601" spans="1:2" x14ac:dyDescent="0.25">
      <c r="A2601" s="1">
        <v>40417</v>
      </c>
      <c r="B2601">
        <v>1557888.16</v>
      </c>
    </row>
    <row r="2602" spans="1:2" x14ac:dyDescent="0.25">
      <c r="A2602" s="1">
        <v>40424</v>
      </c>
      <c r="B2602">
        <v>1623519.64</v>
      </c>
    </row>
    <row r="2603" spans="1:2" x14ac:dyDescent="0.25">
      <c r="A2603" s="1">
        <v>40431</v>
      </c>
      <c r="B2603">
        <v>1591453.39</v>
      </c>
    </row>
    <row r="2604" spans="1:2" x14ac:dyDescent="0.25">
      <c r="A2604" s="1">
        <v>40438</v>
      </c>
      <c r="B2604">
        <v>1386789.31</v>
      </c>
    </row>
    <row r="2605" spans="1:2" x14ac:dyDescent="0.25">
      <c r="A2605" s="1">
        <v>40445</v>
      </c>
      <c r="B2605">
        <v>1318343.58</v>
      </c>
    </row>
    <row r="2606" spans="1:2" x14ac:dyDescent="0.25">
      <c r="A2606" s="1">
        <v>40452</v>
      </c>
      <c r="B2606">
        <v>1379456.3</v>
      </c>
    </row>
    <row r="2607" spans="1:2" x14ac:dyDescent="0.25">
      <c r="A2607" s="1">
        <v>40459</v>
      </c>
      <c r="B2607">
        <v>1428960.72</v>
      </c>
    </row>
    <row r="2608" spans="1:2" x14ac:dyDescent="0.25">
      <c r="A2608" s="1">
        <v>40466</v>
      </c>
      <c r="B2608">
        <v>1369317.63</v>
      </c>
    </row>
    <row r="2609" spans="1:2" x14ac:dyDescent="0.25">
      <c r="A2609" s="1">
        <v>40473</v>
      </c>
      <c r="B2609">
        <v>1357154.71</v>
      </c>
    </row>
    <row r="2610" spans="1:2" x14ac:dyDescent="0.25">
      <c r="A2610" s="1">
        <v>40480</v>
      </c>
      <c r="B2610">
        <v>1404576.48</v>
      </c>
    </row>
    <row r="2611" spans="1:2" x14ac:dyDescent="0.25">
      <c r="A2611" s="1">
        <v>40487</v>
      </c>
      <c r="B2611">
        <v>1435379.25</v>
      </c>
    </row>
    <row r="2612" spans="1:2" x14ac:dyDescent="0.25">
      <c r="A2612" s="1">
        <v>40494</v>
      </c>
      <c r="B2612">
        <v>1490235.86</v>
      </c>
    </row>
    <row r="2613" spans="1:2" x14ac:dyDescent="0.25">
      <c r="A2613" s="1">
        <v>40501</v>
      </c>
      <c r="B2613">
        <v>1377593.1</v>
      </c>
    </row>
    <row r="2614" spans="1:2" x14ac:dyDescent="0.25">
      <c r="A2614" s="1">
        <v>40508</v>
      </c>
      <c r="B2614">
        <v>1993367.83</v>
      </c>
    </row>
    <row r="2615" spans="1:2" x14ac:dyDescent="0.25">
      <c r="A2615" s="1">
        <v>40515</v>
      </c>
      <c r="B2615">
        <v>1615987.96</v>
      </c>
    </row>
    <row r="2616" spans="1:2" x14ac:dyDescent="0.25">
      <c r="A2616" s="1">
        <v>40522</v>
      </c>
      <c r="B2616">
        <v>1799070.98</v>
      </c>
    </row>
    <row r="2617" spans="1:2" x14ac:dyDescent="0.25">
      <c r="A2617" s="1">
        <v>40529</v>
      </c>
      <c r="B2617">
        <v>1911967.44</v>
      </c>
    </row>
    <row r="2618" spans="1:2" x14ac:dyDescent="0.25">
      <c r="A2618" s="1">
        <v>40536</v>
      </c>
      <c r="B2618">
        <v>2678206.42</v>
      </c>
    </row>
    <row r="2619" spans="1:2" x14ac:dyDescent="0.25">
      <c r="A2619" s="1">
        <v>40543</v>
      </c>
      <c r="B2619">
        <v>1275146.94</v>
      </c>
    </row>
    <row r="2620" spans="1:2" x14ac:dyDescent="0.25">
      <c r="A2620" s="1">
        <v>40550</v>
      </c>
      <c r="B2620">
        <v>1224175.99</v>
      </c>
    </row>
    <row r="2621" spans="1:2" x14ac:dyDescent="0.25">
      <c r="A2621" s="1">
        <v>40557</v>
      </c>
      <c r="B2621">
        <v>1181204.53</v>
      </c>
    </row>
    <row r="2622" spans="1:2" x14ac:dyDescent="0.25">
      <c r="A2622" s="1">
        <v>40564</v>
      </c>
      <c r="B2622">
        <v>1212967.8400000001</v>
      </c>
    </row>
    <row r="2623" spans="1:2" x14ac:dyDescent="0.25">
      <c r="A2623" s="1">
        <v>40571</v>
      </c>
      <c r="B2623">
        <v>1284185.49</v>
      </c>
    </row>
    <row r="2624" spans="1:2" x14ac:dyDescent="0.25">
      <c r="A2624" s="1">
        <v>40578</v>
      </c>
      <c r="B2624">
        <v>1370562.11</v>
      </c>
    </row>
    <row r="2625" spans="1:2" x14ac:dyDescent="0.25">
      <c r="A2625" s="1">
        <v>40585</v>
      </c>
      <c r="B2625">
        <v>1430851.11</v>
      </c>
    </row>
    <row r="2626" spans="1:2" x14ac:dyDescent="0.25">
      <c r="A2626" s="1">
        <v>40592</v>
      </c>
      <c r="B2626">
        <v>1457270.16</v>
      </c>
    </row>
    <row r="2627" spans="1:2" x14ac:dyDescent="0.25">
      <c r="A2627" s="1">
        <v>40599</v>
      </c>
      <c r="B2627">
        <v>1296658.47</v>
      </c>
    </row>
    <row r="2628" spans="1:2" x14ac:dyDescent="0.25">
      <c r="A2628" s="1">
        <v>40606</v>
      </c>
      <c r="B2628">
        <v>1433569.44</v>
      </c>
    </row>
    <row r="2629" spans="1:2" x14ac:dyDescent="0.25">
      <c r="A2629" s="1">
        <v>40613</v>
      </c>
      <c r="B2629">
        <v>1351450.43</v>
      </c>
    </row>
    <row r="2630" spans="1:2" x14ac:dyDescent="0.25">
      <c r="A2630" s="1">
        <v>40620</v>
      </c>
      <c r="B2630">
        <v>1257972.3700000001</v>
      </c>
    </row>
    <row r="2631" spans="1:2" x14ac:dyDescent="0.25">
      <c r="A2631" s="1">
        <v>40627</v>
      </c>
      <c r="B2631">
        <v>1266564.94</v>
      </c>
    </row>
    <row r="2632" spans="1:2" x14ac:dyDescent="0.25">
      <c r="A2632" s="1">
        <v>40634</v>
      </c>
      <c r="B2632">
        <v>1305950.22</v>
      </c>
    </row>
    <row r="2633" spans="1:2" x14ac:dyDescent="0.25">
      <c r="A2633" s="1">
        <v>40641</v>
      </c>
      <c r="B2633">
        <v>1419911.91</v>
      </c>
    </row>
    <row r="2634" spans="1:2" x14ac:dyDescent="0.25">
      <c r="A2634" s="1">
        <v>40648</v>
      </c>
      <c r="B2634">
        <v>1392093.04</v>
      </c>
    </row>
    <row r="2635" spans="1:2" x14ac:dyDescent="0.25">
      <c r="A2635" s="1">
        <v>40655</v>
      </c>
      <c r="B2635">
        <v>1514288.82</v>
      </c>
    </row>
    <row r="2636" spans="1:2" x14ac:dyDescent="0.25">
      <c r="A2636" s="1">
        <v>40662</v>
      </c>
      <c r="B2636">
        <v>1297237.7</v>
      </c>
    </row>
    <row r="2637" spans="1:2" x14ac:dyDescent="0.25">
      <c r="A2637" s="1">
        <v>40669</v>
      </c>
      <c r="B2637">
        <v>1451953.95</v>
      </c>
    </row>
    <row r="2638" spans="1:2" x14ac:dyDescent="0.25">
      <c r="A2638" s="1">
        <v>40676</v>
      </c>
      <c r="B2638">
        <v>1429143.06</v>
      </c>
    </row>
    <row r="2639" spans="1:2" x14ac:dyDescent="0.25">
      <c r="A2639" s="1">
        <v>40683</v>
      </c>
      <c r="B2639">
        <v>1355234.3</v>
      </c>
    </row>
    <row r="2640" spans="1:2" x14ac:dyDescent="0.25">
      <c r="A2640" s="1">
        <v>40690</v>
      </c>
      <c r="B2640">
        <v>1388553.11</v>
      </c>
    </row>
    <row r="2641" spans="1:2" x14ac:dyDescent="0.25">
      <c r="A2641" s="1">
        <v>40697</v>
      </c>
      <c r="B2641">
        <v>1457345.75</v>
      </c>
    </row>
    <row r="2642" spans="1:2" x14ac:dyDescent="0.25">
      <c r="A2642" s="1">
        <v>40704</v>
      </c>
      <c r="B2642">
        <v>1467473.63</v>
      </c>
    </row>
    <row r="2643" spans="1:2" x14ac:dyDescent="0.25">
      <c r="A2643" s="1">
        <v>40711</v>
      </c>
      <c r="B2643">
        <v>1418973.62</v>
      </c>
    </row>
    <row r="2644" spans="1:2" x14ac:dyDescent="0.25">
      <c r="A2644" s="1">
        <v>40718</v>
      </c>
      <c r="B2644">
        <v>1440785.7</v>
      </c>
    </row>
    <row r="2645" spans="1:2" x14ac:dyDescent="0.25">
      <c r="A2645" s="1">
        <v>40725</v>
      </c>
      <c r="B2645">
        <v>1462731.93</v>
      </c>
    </row>
    <row r="2646" spans="1:2" x14ac:dyDescent="0.25">
      <c r="A2646" s="1">
        <v>40732</v>
      </c>
      <c r="B2646">
        <v>1465489.75</v>
      </c>
    </row>
    <row r="2647" spans="1:2" x14ac:dyDescent="0.25">
      <c r="A2647" s="1">
        <v>40739</v>
      </c>
      <c r="B2647">
        <v>1391580.41</v>
      </c>
    </row>
    <row r="2648" spans="1:2" x14ac:dyDescent="0.25">
      <c r="A2648" s="1">
        <v>40746</v>
      </c>
      <c r="B2648">
        <v>1377119.45</v>
      </c>
    </row>
    <row r="2649" spans="1:2" x14ac:dyDescent="0.25">
      <c r="A2649" s="1">
        <v>40753</v>
      </c>
      <c r="B2649">
        <v>1298775.8</v>
      </c>
    </row>
    <row r="2650" spans="1:2" x14ac:dyDescent="0.25">
      <c r="A2650" s="1">
        <v>40760</v>
      </c>
      <c r="B2650">
        <v>1408968.55</v>
      </c>
    </row>
    <row r="2651" spans="1:2" x14ac:dyDescent="0.25">
      <c r="A2651" s="1">
        <v>40767</v>
      </c>
      <c r="B2651">
        <v>1360969.45</v>
      </c>
    </row>
    <row r="2652" spans="1:2" x14ac:dyDescent="0.25">
      <c r="A2652" s="1">
        <v>40774</v>
      </c>
      <c r="B2652">
        <v>1391792.69</v>
      </c>
    </row>
    <row r="2653" spans="1:2" x14ac:dyDescent="0.25">
      <c r="A2653" s="1">
        <v>40781</v>
      </c>
      <c r="B2653">
        <v>1547729.24</v>
      </c>
    </row>
    <row r="2654" spans="1:2" x14ac:dyDescent="0.25">
      <c r="A2654" s="1">
        <v>40788</v>
      </c>
      <c r="B2654">
        <v>1609951.02</v>
      </c>
    </row>
    <row r="2655" spans="1:2" x14ac:dyDescent="0.25">
      <c r="A2655" s="1">
        <v>40795</v>
      </c>
      <c r="B2655">
        <v>1566712.79</v>
      </c>
    </row>
    <row r="2656" spans="1:2" x14ac:dyDescent="0.25">
      <c r="A2656" s="1">
        <v>40802</v>
      </c>
      <c r="B2656">
        <v>1365633.53</v>
      </c>
    </row>
    <row r="2657" spans="1:2" x14ac:dyDescent="0.25">
      <c r="A2657" s="1">
        <v>40809</v>
      </c>
      <c r="B2657">
        <v>1300375.76</v>
      </c>
    </row>
    <row r="2658" spans="1:2" x14ac:dyDescent="0.25">
      <c r="A2658" s="1">
        <v>40816</v>
      </c>
      <c r="B2658">
        <v>1330757.22</v>
      </c>
    </row>
    <row r="2659" spans="1:2" x14ac:dyDescent="0.25">
      <c r="A2659" s="1">
        <v>40823</v>
      </c>
      <c r="B2659">
        <v>1461718.87</v>
      </c>
    </row>
    <row r="2660" spans="1:2" x14ac:dyDescent="0.25">
      <c r="A2660" s="1">
        <v>40830</v>
      </c>
      <c r="B2660">
        <v>1318905.53</v>
      </c>
    </row>
    <row r="2661" spans="1:2" x14ac:dyDescent="0.25">
      <c r="A2661" s="1">
        <v>40837</v>
      </c>
      <c r="B2661">
        <v>1374863.1</v>
      </c>
    </row>
    <row r="2662" spans="1:2" x14ac:dyDescent="0.25">
      <c r="A2662" s="1">
        <v>40844</v>
      </c>
      <c r="B2662">
        <v>1396612.36</v>
      </c>
    </row>
    <row r="2663" spans="1:2" x14ac:dyDescent="0.25">
      <c r="A2663" s="1">
        <v>40851</v>
      </c>
      <c r="B2663">
        <v>1480289.64</v>
      </c>
    </row>
    <row r="2664" spans="1:2" x14ac:dyDescent="0.25">
      <c r="A2664" s="1">
        <v>40858</v>
      </c>
      <c r="B2664">
        <v>1502078.93</v>
      </c>
    </row>
    <row r="2665" spans="1:2" x14ac:dyDescent="0.25">
      <c r="A2665" s="1">
        <v>40865</v>
      </c>
      <c r="B2665">
        <v>1411835.57</v>
      </c>
    </row>
    <row r="2666" spans="1:2" x14ac:dyDescent="0.25">
      <c r="A2666" s="1">
        <v>40872</v>
      </c>
      <c r="B2666">
        <v>1974646.78</v>
      </c>
    </row>
    <row r="2667" spans="1:2" x14ac:dyDescent="0.25">
      <c r="A2667" s="1">
        <v>40879</v>
      </c>
      <c r="B2667">
        <v>1484708.38</v>
      </c>
    </row>
    <row r="2668" spans="1:2" x14ac:dyDescent="0.25">
      <c r="A2668" s="1">
        <v>40886</v>
      </c>
      <c r="B2668">
        <v>1713769.06</v>
      </c>
    </row>
    <row r="2669" spans="1:2" x14ac:dyDescent="0.25">
      <c r="A2669" s="1">
        <v>40893</v>
      </c>
      <c r="B2669">
        <v>1852179.15</v>
      </c>
    </row>
    <row r="2670" spans="1:2" x14ac:dyDescent="0.25">
      <c r="A2670" s="1">
        <v>40900</v>
      </c>
      <c r="B2670">
        <v>2480159.4700000002</v>
      </c>
    </row>
    <row r="2671" spans="1:2" x14ac:dyDescent="0.25">
      <c r="A2671" s="1">
        <v>40907</v>
      </c>
      <c r="B2671">
        <v>1405168.06</v>
      </c>
    </row>
    <row r="2672" spans="1:2" x14ac:dyDescent="0.25">
      <c r="A2672" s="1">
        <v>40914</v>
      </c>
      <c r="B2672">
        <v>1266570.3999999999</v>
      </c>
    </row>
    <row r="2673" spans="1:2" x14ac:dyDescent="0.25">
      <c r="A2673" s="1">
        <v>40921</v>
      </c>
      <c r="B2673">
        <v>1182198.7</v>
      </c>
    </row>
    <row r="2674" spans="1:2" x14ac:dyDescent="0.25">
      <c r="A2674" s="1">
        <v>40928</v>
      </c>
      <c r="B2674">
        <v>1237104.73</v>
      </c>
    </row>
    <row r="2675" spans="1:2" x14ac:dyDescent="0.25">
      <c r="A2675" s="1">
        <v>40935</v>
      </c>
      <c r="B2675">
        <v>1279623.26</v>
      </c>
    </row>
    <row r="2676" spans="1:2" x14ac:dyDescent="0.25">
      <c r="A2676" s="1">
        <v>40942</v>
      </c>
      <c r="B2676">
        <v>1345311.65</v>
      </c>
    </row>
    <row r="2677" spans="1:2" x14ac:dyDescent="0.25">
      <c r="A2677" s="1">
        <v>40949</v>
      </c>
      <c r="B2677">
        <v>1499496.67</v>
      </c>
    </row>
    <row r="2678" spans="1:2" x14ac:dyDescent="0.25">
      <c r="A2678" s="1">
        <v>40956</v>
      </c>
      <c r="B2678">
        <v>1424720.27</v>
      </c>
    </row>
    <row r="2679" spans="1:2" x14ac:dyDescent="0.25">
      <c r="A2679" s="1">
        <v>40963</v>
      </c>
      <c r="B2679">
        <v>1352470.09</v>
      </c>
    </row>
    <row r="2680" spans="1:2" x14ac:dyDescent="0.25">
      <c r="A2680" s="1">
        <v>40970</v>
      </c>
      <c r="B2680">
        <v>1308977.05</v>
      </c>
    </row>
    <row r="2681" spans="1:2" x14ac:dyDescent="0.25">
      <c r="A2681" s="1">
        <v>40977</v>
      </c>
      <c r="B2681">
        <v>1358816.46</v>
      </c>
    </row>
    <row r="2682" spans="1:2" x14ac:dyDescent="0.25">
      <c r="A2682" s="1">
        <v>40984</v>
      </c>
      <c r="B2682">
        <v>1312849.1000000001</v>
      </c>
    </row>
    <row r="2683" spans="1:2" x14ac:dyDescent="0.25">
      <c r="A2683" s="1">
        <v>40991</v>
      </c>
      <c r="B2683">
        <v>1342254.55</v>
      </c>
    </row>
    <row r="2684" spans="1:2" x14ac:dyDescent="0.25">
      <c r="A2684" s="1">
        <v>40998</v>
      </c>
      <c r="B2684">
        <v>1327139.3500000001</v>
      </c>
    </row>
    <row r="2685" spans="1:2" x14ac:dyDescent="0.25">
      <c r="A2685" s="1">
        <v>41005</v>
      </c>
      <c r="B2685">
        <v>1631737.68</v>
      </c>
    </row>
    <row r="2686" spans="1:2" x14ac:dyDescent="0.25">
      <c r="A2686" s="1">
        <v>41012</v>
      </c>
      <c r="B2686">
        <v>1365098.46</v>
      </c>
    </row>
    <row r="2687" spans="1:2" x14ac:dyDescent="0.25">
      <c r="A2687" s="1">
        <v>41019</v>
      </c>
      <c r="B2687">
        <v>1255087.26</v>
      </c>
    </row>
    <row r="2688" spans="1:2" x14ac:dyDescent="0.25">
      <c r="A2688" s="1">
        <v>41026</v>
      </c>
      <c r="B2688">
        <v>1285897.24</v>
      </c>
    </row>
    <row r="2689" spans="1:2" x14ac:dyDescent="0.25">
      <c r="A2689" s="1">
        <v>41033</v>
      </c>
      <c r="B2689">
        <v>1405007.44</v>
      </c>
    </row>
    <row r="2690" spans="1:2" x14ac:dyDescent="0.25">
      <c r="A2690" s="1">
        <v>41040</v>
      </c>
      <c r="B2690">
        <v>1442873.22</v>
      </c>
    </row>
    <row r="2691" spans="1:2" x14ac:dyDescent="0.25">
      <c r="A2691" s="1">
        <v>41047</v>
      </c>
      <c r="B2691">
        <v>1366937.1</v>
      </c>
    </row>
    <row r="2692" spans="1:2" x14ac:dyDescent="0.25">
      <c r="A2692" s="1">
        <v>41054</v>
      </c>
      <c r="B2692">
        <v>1485540.28</v>
      </c>
    </row>
    <row r="2693" spans="1:2" x14ac:dyDescent="0.25">
      <c r="A2693" s="1">
        <v>41061</v>
      </c>
      <c r="B2693">
        <v>1450733.29</v>
      </c>
    </row>
    <row r="2694" spans="1:2" x14ac:dyDescent="0.25">
      <c r="A2694" s="1">
        <v>41068</v>
      </c>
      <c r="B2694">
        <v>1390122.11</v>
      </c>
    </row>
    <row r="2695" spans="1:2" x14ac:dyDescent="0.25">
      <c r="A2695" s="1">
        <v>41075</v>
      </c>
      <c r="B2695">
        <v>1440263.15</v>
      </c>
    </row>
    <row r="2696" spans="1:2" x14ac:dyDescent="0.25">
      <c r="A2696" s="1">
        <v>41082</v>
      </c>
      <c r="B2696">
        <v>1468350.36</v>
      </c>
    </row>
    <row r="2697" spans="1:2" x14ac:dyDescent="0.25">
      <c r="A2697" s="1">
        <v>41089</v>
      </c>
      <c r="B2697">
        <v>1379652.65</v>
      </c>
    </row>
    <row r="2698" spans="1:2" x14ac:dyDescent="0.25">
      <c r="A2698" s="1">
        <v>41096</v>
      </c>
      <c r="B2698">
        <v>1557120.44</v>
      </c>
    </row>
    <row r="2699" spans="1:2" x14ac:dyDescent="0.25">
      <c r="A2699" s="1">
        <v>41103</v>
      </c>
      <c r="B2699">
        <v>1321741.3500000001</v>
      </c>
    </row>
    <row r="2700" spans="1:2" x14ac:dyDescent="0.25">
      <c r="A2700" s="1">
        <v>41110</v>
      </c>
      <c r="B2700">
        <v>1317672.92</v>
      </c>
    </row>
    <row r="2701" spans="1:2" x14ac:dyDescent="0.25">
      <c r="A2701" s="1">
        <v>41117</v>
      </c>
      <c r="B2701">
        <v>1248915.43</v>
      </c>
    </row>
    <row r="2702" spans="1:2" x14ac:dyDescent="0.25">
      <c r="A2702" s="1">
        <v>41124</v>
      </c>
      <c r="B2702">
        <v>1342123.78</v>
      </c>
    </row>
    <row r="2703" spans="1:2" x14ac:dyDescent="0.25">
      <c r="A2703" s="1">
        <v>41131</v>
      </c>
      <c r="B2703">
        <v>1408907.89</v>
      </c>
    </row>
    <row r="2704" spans="1:2" x14ac:dyDescent="0.25">
      <c r="A2704" s="1">
        <v>41138</v>
      </c>
      <c r="B2704">
        <v>1375101.26</v>
      </c>
    </row>
    <row r="2705" spans="1:2" x14ac:dyDescent="0.25">
      <c r="A2705" s="1">
        <v>41145</v>
      </c>
      <c r="B2705">
        <v>1544653.37</v>
      </c>
    </row>
    <row r="2706" spans="1:2" x14ac:dyDescent="0.25">
      <c r="A2706" s="1">
        <v>41152</v>
      </c>
      <c r="B2706">
        <v>1542719.87</v>
      </c>
    </row>
    <row r="2707" spans="1:2" x14ac:dyDescent="0.25">
      <c r="A2707" s="1">
        <v>41159</v>
      </c>
      <c r="B2707">
        <v>1497073.82</v>
      </c>
    </row>
    <row r="2708" spans="1:2" x14ac:dyDescent="0.25">
      <c r="A2708" s="1">
        <v>41166</v>
      </c>
      <c r="B2708">
        <v>1370653.41</v>
      </c>
    </row>
    <row r="2709" spans="1:2" x14ac:dyDescent="0.25">
      <c r="A2709" s="1">
        <v>41173</v>
      </c>
      <c r="B2709">
        <v>1338572.29</v>
      </c>
    </row>
    <row r="2710" spans="1:2" x14ac:dyDescent="0.25">
      <c r="A2710" s="1">
        <v>41180</v>
      </c>
      <c r="B2710">
        <v>1338299.02</v>
      </c>
    </row>
    <row r="2711" spans="1:2" x14ac:dyDescent="0.25">
      <c r="A2711" s="1">
        <v>41187</v>
      </c>
      <c r="B2711">
        <v>1408016.1</v>
      </c>
    </row>
    <row r="2712" spans="1:2" x14ac:dyDescent="0.25">
      <c r="A2712" s="1">
        <v>41194</v>
      </c>
      <c r="B2712">
        <v>1352809.5</v>
      </c>
    </row>
    <row r="2713" spans="1:2" x14ac:dyDescent="0.25">
      <c r="A2713" s="1">
        <v>41201</v>
      </c>
      <c r="B2713">
        <v>1321102.3500000001</v>
      </c>
    </row>
    <row r="2714" spans="1:2" x14ac:dyDescent="0.25">
      <c r="A2714" s="1">
        <v>41208</v>
      </c>
      <c r="B2714">
        <v>1322117.96</v>
      </c>
    </row>
    <row r="2715" spans="1:2" x14ac:dyDescent="0.25">
      <c r="A2715" s="1">
        <v>40214</v>
      </c>
      <c r="B2715">
        <v>2401395.4700000002</v>
      </c>
    </row>
    <row r="2716" spans="1:2" x14ac:dyDescent="0.25">
      <c r="A2716" s="1">
        <v>40221</v>
      </c>
      <c r="B2716">
        <v>2109107.9</v>
      </c>
    </row>
    <row r="2717" spans="1:2" x14ac:dyDescent="0.25">
      <c r="A2717" s="1">
        <v>40228</v>
      </c>
      <c r="B2717">
        <v>2161549.7599999998</v>
      </c>
    </row>
    <row r="2718" spans="1:2" x14ac:dyDescent="0.25">
      <c r="A2718" s="1">
        <v>40235</v>
      </c>
      <c r="B2718">
        <v>1898193.95</v>
      </c>
    </row>
    <row r="2719" spans="1:2" x14ac:dyDescent="0.25">
      <c r="A2719" s="1">
        <v>40242</v>
      </c>
      <c r="B2719">
        <v>2119213.7200000002</v>
      </c>
    </row>
    <row r="2720" spans="1:2" x14ac:dyDescent="0.25">
      <c r="A2720" s="1">
        <v>40249</v>
      </c>
      <c r="B2720">
        <v>2010974.84</v>
      </c>
    </row>
    <row r="2721" spans="1:2" x14ac:dyDescent="0.25">
      <c r="A2721" s="1">
        <v>40256</v>
      </c>
      <c r="B2721">
        <v>1951848.43</v>
      </c>
    </row>
    <row r="2722" spans="1:2" x14ac:dyDescent="0.25">
      <c r="A2722" s="1">
        <v>40263</v>
      </c>
      <c r="B2722">
        <v>1894742.95</v>
      </c>
    </row>
    <row r="2723" spans="1:2" x14ac:dyDescent="0.25">
      <c r="A2723" s="1">
        <v>40270</v>
      </c>
      <c r="B2723">
        <v>2405395.2200000002</v>
      </c>
    </row>
    <row r="2724" spans="1:2" x14ac:dyDescent="0.25">
      <c r="A2724" s="1">
        <v>40277</v>
      </c>
      <c r="B2724">
        <v>2007796.26</v>
      </c>
    </row>
    <row r="2725" spans="1:2" x14ac:dyDescent="0.25">
      <c r="A2725" s="1">
        <v>40284</v>
      </c>
      <c r="B2725">
        <v>1985784.59</v>
      </c>
    </row>
    <row r="2726" spans="1:2" x14ac:dyDescent="0.25">
      <c r="A2726" s="1">
        <v>40291</v>
      </c>
      <c r="B2726">
        <v>1878862.42</v>
      </c>
    </row>
    <row r="2727" spans="1:2" x14ac:dyDescent="0.25">
      <c r="A2727" s="1">
        <v>40298</v>
      </c>
      <c r="B2727">
        <v>1919053.21</v>
      </c>
    </row>
    <row r="2728" spans="1:2" x14ac:dyDescent="0.25">
      <c r="A2728" s="1">
        <v>40305</v>
      </c>
      <c r="B2728">
        <v>2137202.38</v>
      </c>
    </row>
    <row r="2729" spans="1:2" x14ac:dyDescent="0.25">
      <c r="A2729" s="1">
        <v>40312</v>
      </c>
      <c r="B2729">
        <v>2033211.62</v>
      </c>
    </row>
    <row r="2730" spans="1:2" x14ac:dyDescent="0.25">
      <c r="A2730" s="1">
        <v>40319</v>
      </c>
      <c r="B2730">
        <v>1893736.9</v>
      </c>
    </row>
    <row r="2731" spans="1:2" x14ac:dyDescent="0.25">
      <c r="A2731" s="1">
        <v>40326</v>
      </c>
      <c r="B2731">
        <v>2065984.95</v>
      </c>
    </row>
    <row r="2732" spans="1:2" x14ac:dyDescent="0.25">
      <c r="A2732" s="1">
        <v>40333</v>
      </c>
      <c r="B2732">
        <v>2203619.35</v>
      </c>
    </row>
    <row r="2733" spans="1:2" x14ac:dyDescent="0.25">
      <c r="A2733" s="1">
        <v>40340</v>
      </c>
      <c r="B2733">
        <v>2100489.79</v>
      </c>
    </row>
    <row r="2734" spans="1:2" x14ac:dyDescent="0.25">
      <c r="A2734" s="1">
        <v>40347</v>
      </c>
      <c r="B2734">
        <v>2091903.63</v>
      </c>
    </row>
    <row r="2735" spans="1:2" x14ac:dyDescent="0.25">
      <c r="A2735" s="1">
        <v>40354</v>
      </c>
      <c r="B2735">
        <v>1973135.87</v>
      </c>
    </row>
    <row r="2736" spans="1:2" x14ac:dyDescent="0.25">
      <c r="A2736" s="1">
        <v>40361</v>
      </c>
      <c r="B2736">
        <v>2143676.77</v>
      </c>
    </row>
    <row r="2737" spans="1:2" x14ac:dyDescent="0.25">
      <c r="A2737" s="1">
        <v>40368</v>
      </c>
      <c r="B2737">
        <v>2107285.85</v>
      </c>
    </row>
    <row r="2738" spans="1:2" x14ac:dyDescent="0.25">
      <c r="A2738" s="1">
        <v>40375</v>
      </c>
      <c r="B2738">
        <v>2031852.16</v>
      </c>
    </row>
    <row r="2739" spans="1:2" x14ac:dyDescent="0.25">
      <c r="A2739" s="1">
        <v>40382</v>
      </c>
      <c r="B2739">
        <v>1900535.9</v>
      </c>
    </row>
    <row r="2740" spans="1:2" x14ac:dyDescent="0.25">
      <c r="A2740" s="1">
        <v>40389</v>
      </c>
      <c r="B2740">
        <v>1955896.59</v>
      </c>
    </row>
    <row r="2741" spans="1:2" x14ac:dyDescent="0.25">
      <c r="A2741" s="1">
        <v>40396</v>
      </c>
      <c r="B2741">
        <v>1910177.38</v>
      </c>
    </row>
    <row r="2742" spans="1:2" x14ac:dyDescent="0.25">
      <c r="A2742" s="1">
        <v>40403</v>
      </c>
      <c r="B2742">
        <v>2071022.45</v>
      </c>
    </row>
    <row r="2743" spans="1:2" x14ac:dyDescent="0.25">
      <c r="A2743" s="1">
        <v>40410</v>
      </c>
      <c r="B2743">
        <v>1975374.56</v>
      </c>
    </row>
    <row r="2744" spans="1:2" x14ac:dyDescent="0.25">
      <c r="A2744" s="1">
        <v>40417</v>
      </c>
      <c r="B2744">
        <v>1946369.57</v>
      </c>
    </row>
    <row r="2745" spans="1:2" x14ac:dyDescent="0.25">
      <c r="A2745" s="1">
        <v>40424</v>
      </c>
      <c r="B2745">
        <v>2121561.41</v>
      </c>
    </row>
    <row r="2746" spans="1:2" x14ac:dyDescent="0.25">
      <c r="A2746" s="1">
        <v>40431</v>
      </c>
      <c r="B2746">
        <v>2014954.79</v>
      </c>
    </row>
    <row r="2747" spans="1:2" x14ac:dyDescent="0.25">
      <c r="A2747" s="1">
        <v>40438</v>
      </c>
      <c r="B2747">
        <v>1948359.78</v>
      </c>
    </row>
    <row r="2748" spans="1:2" x14ac:dyDescent="0.25">
      <c r="A2748" s="1">
        <v>40445</v>
      </c>
      <c r="B2748">
        <v>1789687.65</v>
      </c>
    </row>
    <row r="2749" spans="1:2" x14ac:dyDescent="0.25">
      <c r="A2749" s="1">
        <v>40452</v>
      </c>
      <c r="B2749">
        <v>1933719.21</v>
      </c>
    </row>
    <row r="2750" spans="1:2" x14ac:dyDescent="0.25">
      <c r="A2750" s="1">
        <v>40459</v>
      </c>
      <c r="B2750">
        <v>2060389.27</v>
      </c>
    </row>
    <row r="2751" spans="1:2" x14ac:dyDescent="0.25">
      <c r="A2751" s="1">
        <v>40466</v>
      </c>
      <c r="B2751">
        <v>1950676.39</v>
      </c>
    </row>
    <row r="2752" spans="1:2" x14ac:dyDescent="0.25">
      <c r="A2752" s="1">
        <v>40473</v>
      </c>
      <c r="B2752">
        <v>1893955.27</v>
      </c>
    </row>
    <row r="2753" spans="1:2" x14ac:dyDescent="0.25">
      <c r="A2753" s="1">
        <v>40480</v>
      </c>
      <c r="B2753">
        <v>1891816</v>
      </c>
    </row>
    <row r="2754" spans="1:2" x14ac:dyDescent="0.25">
      <c r="A2754" s="1">
        <v>40487</v>
      </c>
      <c r="B2754">
        <v>2184316.64</v>
      </c>
    </row>
    <row r="2755" spans="1:2" x14ac:dyDescent="0.25">
      <c r="A2755" s="1">
        <v>40494</v>
      </c>
      <c r="B2755">
        <v>2187765.2799999998</v>
      </c>
    </row>
    <row r="2756" spans="1:2" x14ac:dyDescent="0.25">
      <c r="A2756" s="1">
        <v>40501</v>
      </c>
      <c r="B2756">
        <v>2105058.91</v>
      </c>
    </row>
    <row r="2757" spans="1:2" x14ac:dyDescent="0.25">
      <c r="A2757" s="1">
        <v>40508</v>
      </c>
      <c r="B2757">
        <v>2811634.04</v>
      </c>
    </row>
    <row r="2758" spans="1:2" x14ac:dyDescent="0.25">
      <c r="A2758" s="1">
        <v>40515</v>
      </c>
      <c r="B2758">
        <v>2416051.17</v>
      </c>
    </row>
    <row r="2759" spans="1:2" x14ac:dyDescent="0.25">
      <c r="A2759" s="1">
        <v>40522</v>
      </c>
      <c r="B2759">
        <v>2752122.08</v>
      </c>
    </row>
    <row r="2760" spans="1:2" x14ac:dyDescent="0.25">
      <c r="A2760" s="1">
        <v>40529</v>
      </c>
      <c r="B2760">
        <v>2819193.17</v>
      </c>
    </row>
    <row r="2761" spans="1:2" x14ac:dyDescent="0.25">
      <c r="A2761" s="1">
        <v>40536</v>
      </c>
      <c r="B2761">
        <v>3766687.43</v>
      </c>
    </row>
    <row r="2762" spans="1:2" x14ac:dyDescent="0.25">
      <c r="A2762" s="1">
        <v>40543</v>
      </c>
      <c r="B2762">
        <v>1799737.79</v>
      </c>
    </row>
    <row r="2763" spans="1:2" x14ac:dyDescent="0.25">
      <c r="A2763" s="1">
        <v>40550</v>
      </c>
      <c r="B2763">
        <v>1843030.95</v>
      </c>
    </row>
    <row r="2764" spans="1:2" x14ac:dyDescent="0.25">
      <c r="A2764" s="1">
        <v>40557</v>
      </c>
      <c r="B2764">
        <v>1884345.01</v>
      </c>
    </row>
    <row r="2765" spans="1:2" x14ac:dyDescent="0.25">
      <c r="A2765" s="1">
        <v>40564</v>
      </c>
      <c r="B2765">
        <v>1781805.66</v>
      </c>
    </row>
    <row r="2766" spans="1:2" x14ac:dyDescent="0.25">
      <c r="A2766" s="1">
        <v>40571</v>
      </c>
      <c r="B2766">
        <v>1761506.68</v>
      </c>
    </row>
    <row r="2767" spans="1:2" x14ac:dyDescent="0.25">
      <c r="A2767" s="1">
        <v>40578</v>
      </c>
      <c r="B2767">
        <v>2351143.0699999998</v>
      </c>
    </row>
    <row r="2768" spans="1:2" x14ac:dyDescent="0.25">
      <c r="A2768" s="1">
        <v>40585</v>
      </c>
      <c r="B2768">
        <v>2211388.14</v>
      </c>
    </row>
    <row r="2769" spans="1:2" x14ac:dyDescent="0.25">
      <c r="A2769" s="1">
        <v>40592</v>
      </c>
      <c r="B2769">
        <v>2258616.2400000002</v>
      </c>
    </row>
    <row r="2770" spans="1:2" x14ac:dyDescent="0.25">
      <c r="A2770" s="1">
        <v>40599</v>
      </c>
      <c r="B2770">
        <v>1938608.52</v>
      </c>
    </row>
    <row r="2771" spans="1:2" x14ac:dyDescent="0.25">
      <c r="A2771" s="1">
        <v>40606</v>
      </c>
      <c r="B2771">
        <v>2143424.61</v>
      </c>
    </row>
    <row r="2772" spans="1:2" x14ac:dyDescent="0.25">
      <c r="A2772" s="1">
        <v>40613</v>
      </c>
      <c r="B2772">
        <v>1990932.77</v>
      </c>
    </row>
    <row r="2773" spans="1:2" x14ac:dyDescent="0.25">
      <c r="A2773" s="1">
        <v>40620</v>
      </c>
      <c r="B2773">
        <v>1931668.64</v>
      </c>
    </row>
    <row r="2774" spans="1:2" x14ac:dyDescent="0.25">
      <c r="A2774" s="1">
        <v>40627</v>
      </c>
      <c r="B2774">
        <v>1824711.21</v>
      </c>
    </row>
    <row r="2775" spans="1:2" x14ac:dyDescent="0.25">
      <c r="A2775" s="1">
        <v>40634</v>
      </c>
      <c r="B2775">
        <v>1927993.09</v>
      </c>
    </row>
    <row r="2776" spans="1:2" x14ac:dyDescent="0.25">
      <c r="A2776" s="1">
        <v>40641</v>
      </c>
      <c r="B2776">
        <v>2027056.39</v>
      </c>
    </row>
    <row r="2777" spans="1:2" x14ac:dyDescent="0.25">
      <c r="A2777" s="1">
        <v>40648</v>
      </c>
      <c r="B2777">
        <v>2057406.33</v>
      </c>
    </row>
    <row r="2778" spans="1:2" x14ac:dyDescent="0.25">
      <c r="A2778" s="1">
        <v>40655</v>
      </c>
      <c r="B2778">
        <v>2313861.81</v>
      </c>
    </row>
    <row r="2779" spans="1:2" x14ac:dyDescent="0.25">
      <c r="A2779" s="1">
        <v>40662</v>
      </c>
      <c r="B2779">
        <v>1881788.19</v>
      </c>
    </row>
    <row r="2780" spans="1:2" x14ac:dyDescent="0.25">
      <c r="A2780" s="1">
        <v>40669</v>
      </c>
      <c r="B2780">
        <v>2090838.44</v>
      </c>
    </row>
    <row r="2781" spans="1:2" x14ac:dyDescent="0.25">
      <c r="A2781" s="1">
        <v>40676</v>
      </c>
      <c r="B2781">
        <v>2036748.53</v>
      </c>
    </row>
    <row r="2782" spans="1:2" x14ac:dyDescent="0.25">
      <c r="A2782" s="1">
        <v>40683</v>
      </c>
      <c r="B2782">
        <v>1953416.06</v>
      </c>
    </row>
    <row r="2783" spans="1:2" x14ac:dyDescent="0.25">
      <c r="A2783" s="1">
        <v>40690</v>
      </c>
      <c r="B2783">
        <v>1944433.17</v>
      </c>
    </row>
    <row r="2784" spans="1:2" x14ac:dyDescent="0.25">
      <c r="A2784" s="1">
        <v>40697</v>
      </c>
      <c r="B2784">
        <v>2182246.69</v>
      </c>
    </row>
    <row r="2785" spans="1:2" x14ac:dyDescent="0.25">
      <c r="A2785" s="1">
        <v>40704</v>
      </c>
      <c r="B2785">
        <v>2135062.04</v>
      </c>
    </row>
    <row r="2786" spans="1:2" x14ac:dyDescent="0.25">
      <c r="A2786" s="1">
        <v>40711</v>
      </c>
      <c r="B2786">
        <v>2065191.27</v>
      </c>
    </row>
    <row r="2787" spans="1:2" x14ac:dyDescent="0.25">
      <c r="A2787" s="1">
        <v>40718</v>
      </c>
      <c r="B2787">
        <v>1950826.32</v>
      </c>
    </row>
    <row r="2788" spans="1:2" x14ac:dyDescent="0.25">
      <c r="A2788" s="1">
        <v>40725</v>
      </c>
      <c r="B2788">
        <v>2053165.41</v>
      </c>
    </row>
    <row r="2789" spans="1:2" x14ac:dyDescent="0.25">
      <c r="A2789" s="1">
        <v>40732</v>
      </c>
      <c r="B2789">
        <v>2123787.79</v>
      </c>
    </row>
    <row r="2790" spans="1:2" x14ac:dyDescent="0.25">
      <c r="A2790" s="1">
        <v>40739</v>
      </c>
      <c r="B2790">
        <v>2039875.75</v>
      </c>
    </row>
    <row r="2791" spans="1:2" x14ac:dyDescent="0.25">
      <c r="A2791" s="1">
        <v>40746</v>
      </c>
      <c r="B2791">
        <v>1950904.84</v>
      </c>
    </row>
    <row r="2792" spans="1:2" x14ac:dyDescent="0.25">
      <c r="A2792" s="1">
        <v>40753</v>
      </c>
      <c r="B2792">
        <v>1858440.92</v>
      </c>
    </row>
    <row r="2793" spans="1:2" x14ac:dyDescent="0.25">
      <c r="A2793" s="1">
        <v>40760</v>
      </c>
      <c r="B2793">
        <v>2189353.63</v>
      </c>
    </row>
    <row r="2794" spans="1:2" x14ac:dyDescent="0.25">
      <c r="A2794" s="1">
        <v>40767</v>
      </c>
      <c r="B2794">
        <v>2052246.4</v>
      </c>
    </row>
    <row r="2795" spans="1:2" x14ac:dyDescent="0.25">
      <c r="A2795" s="1">
        <v>40774</v>
      </c>
      <c r="B2795">
        <v>1990017.93</v>
      </c>
    </row>
    <row r="2796" spans="1:2" x14ac:dyDescent="0.25">
      <c r="A2796" s="1">
        <v>40781</v>
      </c>
      <c r="B2796">
        <v>1933577.2</v>
      </c>
    </row>
    <row r="2797" spans="1:2" x14ac:dyDescent="0.25">
      <c r="A2797" s="1">
        <v>40788</v>
      </c>
      <c r="B2797">
        <v>2141765.98</v>
      </c>
    </row>
    <row r="2798" spans="1:2" x14ac:dyDescent="0.25">
      <c r="A2798" s="1">
        <v>40795</v>
      </c>
      <c r="B2798">
        <v>2050542.56</v>
      </c>
    </row>
    <row r="2799" spans="1:2" x14ac:dyDescent="0.25">
      <c r="A2799" s="1">
        <v>40802</v>
      </c>
      <c r="B2799">
        <v>1979009.46</v>
      </c>
    </row>
    <row r="2800" spans="1:2" x14ac:dyDescent="0.25">
      <c r="A2800" s="1">
        <v>40809</v>
      </c>
      <c r="B2800">
        <v>1888119.7</v>
      </c>
    </row>
    <row r="2801" spans="1:2" x14ac:dyDescent="0.25">
      <c r="A2801" s="1">
        <v>40816</v>
      </c>
      <c r="B2801">
        <v>1945808.26</v>
      </c>
    </row>
    <row r="2802" spans="1:2" x14ac:dyDescent="0.25">
      <c r="A2802" s="1">
        <v>40823</v>
      </c>
      <c r="B2802">
        <v>2135982.79</v>
      </c>
    </row>
    <row r="2803" spans="1:2" x14ac:dyDescent="0.25">
      <c r="A2803" s="1">
        <v>40830</v>
      </c>
      <c r="B2803">
        <v>2010107.68</v>
      </c>
    </row>
    <row r="2804" spans="1:2" x14ac:dyDescent="0.25">
      <c r="A2804" s="1">
        <v>40837</v>
      </c>
      <c r="B2804">
        <v>2104241.9</v>
      </c>
    </row>
    <row r="2805" spans="1:2" x14ac:dyDescent="0.25">
      <c r="A2805" s="1">
        <v>40844</v>
      </c>
      <c r="B2805">
        <v>2065421.52</v>
      </c>
    </row>
    <row r="2806" spans="1:2" x14ac:dyDescent="0.25">
      <c r="A2806" s="1">
        <v>40851</v>
      </c>
      <c r="B2806">
        <v>2284106.6</v>
      </c>
    </row>
    <row r="2807" spans="1:2" x14ac:dyDescent="0.25">
      <c r="A2807" s="1">
        <v>40858</v>
      </c>
      <c r="B2807">
        <v>2269975.85</v>
      </c>
    </row>
    <row r="2808" spans="1:2" x14ac:dyDescent="0.25">
      <c r="A2808" s="1">
        <v>40865</v>
      </c>
      <c r="B2808">
        <v>2169933.8199999998</v>
      </c>
    </row>
    <row r="2809" spans="1:2" x14ac:dyDescent="0.25">
      <c r="A2809" s="1">
        <v>40872</v>
      </c>
      <c r="B2809">
        <v>2906233.25</v>
      </c>
    </row>
    <row r="2810" spans="1:2" x14ac:dyDescent="0.25">
      <c r="A2810" s="1">
        <v>40879</v>
      </c>
      <c r="B2810">
        <v>2298776.83</v>
      </c>
    </row>
    <row r="2811" spans="1:2" x14ac:dyDescent="0.25">
      <c r="A2811" s="1">
        <v>40886</v>
      </c>
      <c r="B2811">
        <v>2546123.7799999998</v>
      </c>
    </row>
    <row r="2812" spans="1:2" x14ac:dyDescent="0.25">
      <c r="A2812" s="1">
        <v>40893</v>
      </c>
      <c r="B2812">
        <v>2762816.65</v>
      </c>
    </row>
    <row r="2813" spans="1:2" x14ac:dyDescent="0.25">
      <c r="A2813" s="1">
        <v>40900</v>
      </c>
      <c r="B2813">
        <v>3555371.03</v>
      </c>
    </row>
    <row r="2814" spans="1:2" x14ac:dyDescent="0.25">
      <c r="A2814" s="1">
        <v>40907</v>
      </c>
      <c r="B2814">
        <v>2043245</v>
      </c>
    </row>
    <row r="2815" spans="1:2" x14ac:dyDescent="0.25">
      <c r="A2815" s="1">
        <v>40914</v>
      </c>
      <c r="B2815">
        <v>1964701.94</v>
      </c>
    </row>
    <row r="2816" spans="1:2" x14ac:dyDescent="0.25">
      <c r="A2816" s="1">
        <v>40921</v>
      </c>
      <c r="B2816">
        <v>1911510.64</v>
      </c>
    </row>
    <row r="2817" spans="1:2" x14ac:dyDescent="0.25">
      <c r="A2817" s="1">
        <v>40928</v>
      </c>
      <c r="B2817">
        <v>1892775.94</v>
      </c>
    </row>
    <row r="2818" spans="1:2" x14ac:dyDescent="0.25">
      <c r="A2818" s="1">
        <v>40935</v>
      </c>
      <c r="B2818">
        <v>1761016.51</v>
      </c>
    </row>
    <row r="2819" spans="1:2" x14ac:dyDescent="0.25">
      <c r="A2819" s="1">
        <v>40942</v>
      </c>
      <c r="B2819">
        <v>2203523.2000000002</v>
      </c>
    </row>
    <row r="2820" spans="1:2" x14ac:dyDescent="0.25">
      <c r="A2820" s="1">
        <v>40949</v>
      </c>
      <c r="B2820">
        <v>2462978.2799999998</v>
      </c>
    </row>
    <row r="2821" spans="1:2" x14ac:dyDescent="0.25">
      <c r="A2821" s="1">
        <v>40956</v>
      </c>
      <c r="B2821">
        <v>2309025.16</v>
      </c>
    </row>
    <row r="2822" spans="1:2" x14ac:dyDescent="0.25">
      <c r="A2822" s="1">
        <v>40963</v>
      </c>
      <c r="B2822">
        <v>2045837.55</v>
      </c>
    </row>
    <row r="2823" spans="1:2" x14ac:dyDescent="0.25">
      <c r="A2823" s="1">
        <v>40970</v>
      </c>
      <c r="B2823">
        <v>2148822.7599999998</v>
      </c>
    </row>
    <row r="2824" spans="1:2" x14ac:dyDescent="0.25">
      <c r="A2824" s="1">
        <v>40977</v>
      </c>
      <c r="B2824">
        <v>2139265.4</v>
      </c>
    </row>
    <row r="2825" spans="1:2" x14ac:dyDescent="0.25">
      <c r="A2825" s="1">
        <v>40984</v>
      </c>
      <c r="B2825">
        <v>2064991.71</v>
      </c>
    </row>
    <row r="2826" spans="1:2" x14ac:dyDescent="0.25">
      <c r="A2826" s="1">
        <v>40991</v>
      </c>
      <c r="B2826">
        <v>1992436.96</v>
      </c>
    </row>
    <row r="2827" spans="1:2" x14ac:dyDescent="0.25">
      <c r="A2827" s="1">
        <v>40998</v>
      </c>
      <c r="B2827">
        <v>2074721.74</v>
      </c>
    </row>
    <row r="2828" spans="1:2" x14ac:dyDescent="0.25">
      <c r="A2828" s="1">
        <v>41005</v>
      </c>
      <c r="B2828">
        <v>2565259.92</v>
      </c>
    </row>
    <row r="2829" spans="1:2" x14ac:dyDescent="0.25">
      <c r="A2829" s="1">
        <v>41012</v>
      </c>
      <c r="B2829">
        <v>2045396.06</v>
      </c>
    </row>
    <row r="2830" spans="1:2" x14ac:dyDescent="0.25">
      <c r="A2830" s="1">
        <v>41019</v>
      </c>
      <c r="B2830">
        <v>1884427.84</v>
      </c>
    </row>
    <row r="2831" spans="1:2" x14ac:dyDescent="0.25">
      <c r="A2831" s="1">
        <v>41026</v>
      </c>
      <c r="B2831">
        <v>1886503.93</v>
      </c>
    </row>
    <row r="2832" spans="1:2" x14ac:dyDescent="0.25">
      <c r="A2832" s="1">
        <v>41033</v>
      </c>
      <c r="B2832">
        <v>2163510.89</v>
      </c>
    </row>
    <row r="2833" spans="1:2" x14ac:dyDescent="0.25">
      <c r="A2833" s="1">
        <v>41040</v>
      </c>
      <c r="B2833">
        <v>2168097.11</v>
      </c>
    </row>
    <row r="2834" spans="1:2" x14ac:dyDescent="0.25">
      <c r="A2834" s="1">
        <v>41047</v>
      </c>
      <c r="B2834">
        <v>2039222.26</v>
      </c>
    </row>
    <row r="2835" spans="1:2" x14ac:dyDescent="0.25">
      <c r="A2835" s="1">
        <v>41054</v>
      </c>
      <c r="B2835">
        <v>2114989</v>
      </c>
    </row>
    <row r="2836" spans="1:2" x14ac:dyDescent="0.25">
      <c r="A2836" s="1">
        <v>41061</v>
      </c>
      <c r="B2836">
        <v>2143126.59</v>
      </c>
    </row>
    <row r="2837" spans="1:2" x14ac:dyDescent="0.25">
      <c r="A2837" s="1">
        <v>41068</v>
      </c>
      <c r="B2837">
        <v>2231962.13</v>
      </c>
    </row>
    <row r="2838" spans="1:2" x14ac:dyDescent="0.25">
      <c r="A2838" s="1">
        <v>41075</v>
      </c>
      <c r="B2838">
        <v>2165160.29</v>
      </c>
    </row>
    <row r="2839" spans="1:2" x14ac:dyDescent="0.25">
      <c r="A2839" s="1">
        <v>41082</v>
      </c>
      <c r="B2839">
        <v>2060588.69</v>
      </c>
    </row>
    <row r="2840" spans="1:2" x14ac:dyDescent="0.25">
      <c r="A2840" s="1">
        <v>41089</v>
      </c>
      <c r="B2840">
        <v>2055952.61</v>
      </c>
    </row>
    <row r="2841" spans="1:2" x14ac:dyDescent="0.25">
      <c r="A2841" s="1">
        <v>41096</v>
      </c>
      <c r="B2841">
        <v>2358055.2999999998</v>
      </c>
    </row>
    <row r="2842" spans="1:2" x14ac:dyDescent="0.25">
      <c r="A2842" s="1">
        <v>41103</v>
      </c>
      <c r="B2842">
        <v>2134680.12</v>
      </c>
    </row>
    <row r="2843" spans="1:2" x14ac:dyDescent="0.25">
      <c r="A2843" s="1">
        <v>41110</v>
      </c>
      <c r="B2843">
        <v>1970170.29</v>
      </c>
    </row>
    <row r="2844" spans="1:2" x14ac:dyDescent="0.25">
      <c r="A2844" s="1">
        <v>41117</v>
      </c>
      <c r="B2844">
        <v>1911559.1</v>
      </c>
    </row>
    <row r="2845" spans="1:2" x14ac:dyDescent="0.25">
      <c r="A2845" s="1">
        <v>41124</v>
      </c>
      <c r="B2845">
        <v>2094515.71</v>
      </c>
    </row>
    <row r="2846" spans="1:2" x14ac:dyDescent="0.25">
      <c r="A2846" s="1">
        <v>41131</v>
      </c>
      <c r="B2846">
        <v>2144245.39</v>
      </c>
    </row>
    <row r="2847" spans="1:2" x14ac:dyDescent="0.25">
      <c r="A2847" s="1">
        <v>41138</v>
      </c>
      <c r="B2847">
        <v>2045061.22</v>
      </c>
    </row>
    <row r="2848" spans="1:2" x14ac:dyDescent="0.25">
      <c r="A2848" s="1">
        <v>41145</v>
      </c>
      <c r="B2848">
        <v>2005341.43</v>
      </c>
    </row>
    <row r="2849" spans="1:2" x14ac:dyDescent="0.25">
      <c r="A2849" s="1">
        <v>41152</v>
      </c>
      <c r="B2849">
        <v>2062481.56</v>
      </c>
    </row>
    <row r="2850" spans="1:2" x14ac:dyDescent="0.25">
      <c r="A2850" s="1">
        <v>41159</v>
      </c>
      <c r="B2850">
        <v>2080529.06</v>
      </c>
    </row>
    <row r="2851" spans="1:2" x14ac:dyDescent="0.25">
      <c r="A2851" s="1">
        <v>41166</v>
      </c>
      <c r="B2851">
        <v>2047949.98</v>
      </c>
    </row>
    <row r="2852" spans="1:2" x14ac:dyDescent="0.25">
      <c r="A2852" s="1">
        <v>41173</v>
      </c>
      <c r="B2852">
        <v>2028587.24</v>
      </c>
    </row>
    <row r="2853" spans="1:2" x14ac:dyDescent="0.25">
      <c r="A2853" s="1">
        <v>41180</v>
      </c>
      <c r="B2853">
        <v>2008350.58</v>
      </c>
    </row>
    <row r="2854" spans="1:2" x14ac:dyDescent="0.25">
      <c r="A2854" s="1">
        <v>41187</v>
      </c>
      <c r="B2854">
        <v>2246411.89</v>
      </c>
    </row>
    <row r="2855" spans="1:2" x14ac:dyDescent="0.25">
      <c r="A2855" s="1">
        <v>41194</v>
      </c>
      <c r="B2855">
        <v>2162951.36</v>
      </c>
    </row>
    <row r="2856" spans="1:2" x14ac:dyDescent="0.25">
      <c r="A2856" s="1">
        <v>41201</v>
      </c>
      <c r="B2856">
        <v>1999363.49</v>
      </c>
    </row>
    <row r="2857" spans="1:2" x14ac:dyDescent="0.25">
      <c r="A2857" s="1">
        <v>41208</v>
      </c>
      <c r="B2857">
        <v>2031650.55</v>
      </c>
    </row>
    <row r="2858" spans="1:2" x14ac:dyDescent="0.25">
      <c r="A2858" s="1">
        <v>40214</v>
      </c>
      <c r="B2858">
        <v>798593.88</v>
      </c>
    </row>
    <row r="2859" spans="1:2" x14ac:dyDescent="0.25">
      <c r="A2859" s="1">
        <v>40221</v>
      </c>
      <c r="B2859">
        <v>809321.44</v>
      </c>
    </row>
    <row r="2860" spans="1:2" x14ac:dyDescent="0.25">
      <c r="A2860" s="1">
        <v>40228</v>
      </c>
      <c r="B2860">
        <v>867283.25</v>
      </c>
    </row>
    <row r="2861" spans="1:2" x14ac:dyDescent="0.25">
      <c r="A2861" s="1">
        <v>40235</v>
      </c>
      <c r="B2861">
        <v>749597.24</v>
      </c>
    </row>
    <row r="2862" spans="1:2" x14ac:dyDescent="0.25">
      <c r="A2862" s="1">
        <v>40242</v>
      </c>
      <c r="B2862">
        <v>747444.32</v>
      </c>
    </row>
    <row r="2863" spans="1:2" x14ac:dyDescent="0.25">
      <c r="A2863" s="1">
        <v>40249</v>
      </c>
      <c r="B2863">
        <v>712312.89</v>
      </c>
    </row>
    <row r="2864" spans="1:2" x14ac:dyDescent="0.25">
      <c r="A2864" s="1">
        <v>40256</v>
      </c>
      <c r="B2864">
        <v>727070</v>
      </c>
    </row>
    <row r="2865" spans="1:2" x14ac:dyDescent="0.25">
      <c r="A2865" s="1">
        <v>40263</v>
      </c>
      <c r="B2865">
        <v>686497.53</v>
      </c>
    </row>
    <row r="2866" spans="1:2" x14ac:dyDescent="0.25">
      <c r="A2866" s="1">
        <v>40270</v>
      </c>
      <c r="B2866">
        <v>753664.12</v>
      </c>
    </row>
    <row r="2867" spans="1:2" x14ac:dyDescent="0.25">
      <c r="A2867" s="1">
        <v>40277</v>
      </c>
      <c r="B2867">
        <v>751181.4</v>
      </c>
    </row>
    <row r="2868" spans="1:2" x14ac:dyDescent="0.25">
      <c r="A2868" s="1">
        <v>40284</v>
      </c>
      <c r="B2868">
        <v>716026.51</v>
      </c>
    </row>
    <row r="2869" spans="1:2" x14ac:dyDescent="0.25">
      <c r="A2869" s="1">
        <v>40291</v>
      </c>
      <c r="B2869">
        <v>718780.59</v>
      </c>
    </row>
    <row r="2870" spans="1:2" x14ac:dyDescent="0.25">
      <c r="A2870" s="1">
        <v>40298</v>
      </c>
      <c r="B2870">
        <v>680532.69</v>
      </c>
    </row>
    <row r="2871" spans="1:2" x14ac:dyDescent="0.25">
      <c r="A2871" s="1">
        <v>40305</v>
      </c>
      <c r="B2871">
        <v>744969.42</v>
      </c>
    </row>
    <row r="2872" spans="1:2" x14ac:dyDescent="0.25">
      <c r="A2872" s="1">
        <v>40312</v>
      </c>
      <c r="B2872">
        <v>723559.88</v>
      </c>
    </row>
    <row r="2873" spans="1:2" x14ac:dyDescent="0.25">
      <c r="A2873" s="1">
        <v>40319</v>
      </c>
      <c r="B2873">
        <v>753361.72</v>
      </c>
    </row>
    <row r="2874" spans="1:2" x14ac:dyDescent="0.25">
      <c r="A2874" s="1">
        <v>40326</v>
      </c>
      <c r="B2874">
        <v>755214.26</v>
      </c>
    </row>
    <row r="2875" spans="1:2" x14ac:dyDescent="0.25">
      <c r="A2875" s="1">
        <v>40333</v>
      </c>
      <c r="B2875">
        <v>806012.48</v>
      </c>
    </row>
    <row r="2876" spans="1:2" x14ac:dyDescent="0.25">
      <c r="A2876" s="1">
        <v>40340</v>
      </c>
      <c r="B2876">
        <v>784305.55</v>
      </c>
    </row>
    <row r="2877" spans="1:2" x14ac:dyDescent="0.25">
      <c r="A2877" s="1">
        <v>40347</v>
      </c>
      <c r="B2877">
        <v>785104.29</v>
      </c>
    </row>
    <row r="2878" spans="1:2" x14ac:dyDescent="0.25">
      <c r="A2878" s="1">
        <v>40354</v>
      </c>
      <c r="B2878">
        <v>769848.75</v>
      </c>
    </row>
    <row r="2879" spans="1:2" x14ac:dyDescent="0.25">
      <c r="A2879" s="1">
        <v>40361</v>
      </c>
      <c r="B2879">
        <v>711470.8</v>
      </c>
    </row>
    <row r="2880" spans="1:2" x14ac:dyDescent="0.25">
      <c r="A2880" s="1">
        <v>40368</v>
      </c>
      <c r="B2880">
        <v>714677.47</v>
      </c>
    </row>
    <row r="2881" spans="1:2" x14ac:dyDescent="0.25">
      <c r="A2881" s="1">
        <v>40375</v>
      </c>
      <c r="B2881">
        <v>755098.41</v>
      </c>
    </row>
    <row r="2882" spans="1:2" x14ac:dyDescent="0.25">
      <c r="A2882" s="1">
        <v>40382</v>
      </c>
      <c r="B2882">
        <v>765823.48</v>
      </c>
    </row>
    <row r="2883" spans="1:2" x14ac:dyDescent="0.25">
      <c r="A2883" s="1">
        <v>40389</v>
      </c>
      <c r="B2883">
        <v>715876.27</v>
      </c>
    </row>
    <row r="2884" spans="1:2" x14ac:dyDescent="0.25">
      <c r="A2884" s="1">
        <v>40396</v>
      </c>
      <c r="B2884">
        <v>739279.19</v>
      </c>
    </row>
    <row r="2885" spans="1:2" x14ac:dyDescent="0.25">
      <c r="A2885" s="1">
        <v>40403</v>
      </c>
      <c r="B2885">
        <v>793589.18</v>
      </c>
    </row>
    <row r="2886" spans="1:2" x14ac:dyDescent="0.25">
      <c r="A2886" s="1">
        <v>40410</v>
      </c>
      <c r="B2886">
        <v>848873.28</v>
      </c>
    </row>
    <row r="2887" spans="1:2" x14ac:dyDescent="0.25">
      <c r="A2887" s="1">
        <v>40417</v>
      </c>
      <c r="B2887">
        <v>855882.57</v>
      </c>
    </row>
    <row r="2888" spans="1:2" x14ac:dyDescent="0.25">
      <c r="A2888" s="1">
        <v>40424</v>
      </c>
      <c r="B2888">
        <v>727772.8</v>
      </c>
    </row>
    <row r="2889" spans="1:2" x14ac:dyDescent="0.25">
      <c r="A2889" s="1">
        <v>40431</v>
      </c>
      <c r="B2889">
        <v>674055.81</v>
      </c>
    </row>
    <row r="2890" spans="1:2" x14ac:dyDescent="0.25">
      <c r="A2890" s="1">
        <v>40438</v>
      </c>
      <c r="B2890">
        <v>684340.86</v>
      </c>
    </row>
    <row r="2891" spans="1:2" x14ac:dyDescent="0.25">
      <c r="A2891" s="1">
        <v>40445</v>
      </c>
      <c r="B2891">
        <v>671688.06</v>
      </c>
    </row>
    <row r="2892" spans="1:2" x14ac:dyDescent="0.25">
      <c r="A2892" s="1">
        <v>40452</v>
      </c>
      <c r="B2892">
        <v>677158.39</v>
      </c>
    </row>
    <row r="2893" spans="1:2" x14ac:dyDescent="0.25">
      <c r="A2893" s="1">
        <v>40459</v>
      </c>
      <c r="B2893">
        <v>680579.49</v>
      </c>
    </row>
    <row r="2894" spans="1:2" x14ac:dyDescent="0.25">
      <c r="A2894" s="1">
        <v>40466</v>
      </c>
      <c r="B2894">
        <v>693412.05</v>
      </c>
    </row>
    <row r="2895" spans="1:2" x14ac:dyDescent="0.25">
      <c r="A2895" s="1">
        <v>40473</v>
      </c>
      <c r="B2895">
        <v>710668.45</v>
      </c>
    </row>
    <row r="2896" spans="1:2" x14ac:dyDescent="0.25">
      <c r="A2896" s="1">
        <v>40480</v>
      </c>
      <c r="B2896">
        <v>731756.65</v>
      </c>
    </row>
    <row r="2897" spans="1:2" x14ac:dyDescent="0.25">
      <c r="A2897" s="1">
        <v>40487</v>
      </c>
      <c r="B2897">
        <v>719888.76</v>
      </c>
    </row>
    <row r="2898" spans="1:2" x14ac:dyDescent="0.25">
      <c r="A2898" s="1">
        <v>40494</v>
      </c>
      <c r="B2898">
        <v>735796.38</v>
      </c>
    </row>
    <row r="2899" spans="1:2" x14ac:dyDescent="0.25">
      <c r="A2899" s="1">
        <v>40501</v>
      </c>
      <c r="B2899">
        <v>756288.89</v>
      </c>
    </row>
    <row r="2900" spans="1:2" x14ac:dyDescent="0.25">
      <c r="A2900" s="1">
        <v>40508</v>
      </c>
      <c r="B2900">
        <v>1245628.6100000001</v>
      </c>
    </row>
    <row r="2901" spans="1:2" x14ac:dyDescent="0.25">
      <c r="A2901" s="1">
        <v>40515</v>
      </c>
      <c r="B2901">
        <v>829210.73</v>
      </c>
    </row>
    <row r="2902" spans="1:2" x14ac:dyDescent="0.25">
      <c r="A2902" s="1">
        <v>40522</v>
      </c>
      <c r="B2902">
        <v>943891.64</v>
      </c>
    </row>
    <row r="2903" spans="1:2" x14ac:dyDescent="0.25">
      <c r="A2903" s="1">
        <v>40529</v>
      </c>
      <c r="B2903">
        <v>1147556.83</v>
      </c>
    </row>
    <row r="2904" spans="1:2" x14ac:dyDescent="0.25">
      <c r="A2904" s="1">
        <v>40536</v>
      </c>
      <c r="B2904">
        <v>1587257.78</v>
      </c>
    </row>
    <row r="2905" spans="1:2" x14ac:dyDescent="0.25">
      <c r="A2905" s="1">
        <v>40543</v>
      </c>
      <c r="B2905">
        <v>672903.23</v>
      </c>
    </row>
    <row r="2906" spans="1:2" x14ac:dyDescent="0.25">
      <c r="A2906" s="1">
        <v>40550</v>
      </c>
      <c r="B2906">
        <v>629152.06000000006</v>
      </c>
    </row>
    <row r="2907" spans="1:2" x14ac:dyDescent="0.25">
      <c r="A2907" s="1">
        <v>40557</v>
      </c>
      <c r="B2907">
        <v>650789.13</v>
      </c>
    </row>
    <row r="2908" spans="1:2" x14ac:dyDescent="0.25">
      <c r="A2908" s="1">
        <v>40564</v>
      </c>
      <c r="B2908">
        <v>663941.73</v>
      </c>
    </row>
    <row r="2909" spans="1:2" x14ac:dyDescent="0.25">
      <c r="A2909" s="1">
        <v>40571</v>
      </c>
      <c r="B2909">
        <v>649878.29</v>
      </c>
    </row>
    <row r="2910" spans="1:2" x14ac:dyDescent="0.25">
      <c r="A2910" s="1">
        <v>40578</v>
      </c>
      <c r="B2910">
        <v>596218.24</v>
      </c>
    </row>
    <row r="2911" spans="1:2" x14ac:dyDescent="0.25">
      <c r="A2911" s="1">
        <v>40585</v>
      </c>
      <c r="B2911">
        <v>771908.51</v>
      </c>
    </row>
    <row r="2912" spans="1:2" x14ac:dyDescent="0.25">
      <c r="A2912" s="1">
        <v>40592</v>
      </c>
      <c r="B2912">
        <v>884701.92</v>
      </c>
    </row>
    <row r="2913" spans="1:2" x14ac:dyDescent="0.25">
      <c r="A2913" s="1">
        <v>40599</v>
      </c>
      <c r="B2913">
        <v>768313.85</v>
      </c>
    </row>
    <row r="2914" spans="1:2" x14ac:dyDescent="0.25">
      <c r="A2914" s="1">
        <v>40606</v>
      </c>
      <c r="B2914">
        <v>796277.72</v>
      </c>
    </row>
    <row r="2915" spans="1:2" x14ac:dyDescent="0.25">
      <c r="A2915" s="1">
        <v>40613</v>
      </c>
      <c r="B2915">
        <v>763479.9</v>
      </c>
    </row>
    <row r="2916" spans="1:2" x14ac:dyDescent="0.25">
      <c r="A2916" s="1">
        <v>40620</v>
      </c>
      <c r="B2916">
        <v>793569</v>
      </c>
    </row>
    <row r="2917" spans="1:2" x14ac:dyDescent="0.25">
      <c r="A2917" s="1">
        <v>40627</v>
      </c>
      <c r="B2917">
        <v>753711.32</v>
      </c>
    </row>
    <row r="2918" spans="1:2" x14ac:dyDescent="0.25">
      <c r="A2918" s="1">
        <v>40634</v>
      </c>
      <c r="B2918">
        <v>732056.37</v>
      </c>
    </row>
    <row r="2919" spans="1:2" x14ac:dyDescent="0.25">
      <c r="A2919" s="1">
        <v>40641</v>
      </c>
      <c r="B2919">
        <v>744782.89</v>
      </c>
    </row>
    <row r="2920" spans="1:2" x14ac:dyDescent="0.25">
      <c r="A2920" s="1">
        <v>40648</v>
      </c>
      <c r="B2920">
        <v>768390.05</v>
      </c>
    </row>
    <row r="2921" spans="1:2" x14ac:dyDescent="0.25">
      <c r="A2921" s="1">
        <v>40655</v>
      </c>
      <c r="B2921">
        <v>801302.01</v>
      </c>
    </row>
    <row r="2922" spans="1:2" x14ac:dyDescent="0.25">
      <c r="A2922" s="1">
        <v>40662</v>
      </c>
      <c r="B2922">
        <v>783250.75</v>
      </c>
    </row>
    <row r="2923" spans="1:2" x14ac:dyDescent="0.25">
      <c r="A2923" s="1">
        <v>40669</v>
      </c>
      <c r="B2923">
        <v>718898.33</v>
      </c>
    </row>
    <row r="2924" spans="1:2" x14ac:dyDescent="0.25">
      <c r="A2924" s="1">
        <v>40676</v>
      </c>
      <c r="B2924">
        <v>754236.7</v>
      </c>
    </row>
    <row r="2925" spans="1:2" x14ac:dyDescent="0.25">
      <c r="A2925" s="1">
        <v>40683</v>
      </c>
      <c r="B2925">
        <v>744836.56</v>
      </c>
    </row>
    <row r="2926" spans="1:2" x14ac:dyDescent="0.25">
      <c r="A2926" s="1">
        <v>40690</v>
      </c>
      <c r="B2926">
        <v>744389.81</v>
      </c>
    </row>
    <row r="2927" spans="1:2" x14ac:dyDescent="0.25">
      <c r="A2927" s="1">
        <v>40697</v>
      </c>
      <c r="B2927">
        <v>773878.58</v>
      </c>
    </row>
    <row r="2928" spans="1:2" x14ac:dyDescent="0.25">
      <c r="A2928" s="1">
        <v>40704</v>
      </c>
      <c r="B2928">
        <v>794397.89</v>
      </c>
    </row>
    <row r="2929" spans="1:2" x14ac:dyDescent="0.25">
      <c r="A2929" s="1">
        <v>40711</v>
      </c>
      <c r="B2929">
        <v>-3.5</v>
      </c>
    </row>
    <row r="2930" spans="1:2" x14ac:dyDescent="0.25">
      <c r="A2930" s="1">
        <v>40718</v>
      </c>
      <c r="B2930">
        <v>771298.98</v>
      </c>
    </row>
    <row r="2931" spans="1:2" x14ac:dyDescent="0.25">
      <c r="A2931" s="1">
        <v>40725</v>
      </c>
      <c r="B2931">
        <v>784639.12</v>
      </c>
    </row>
    <row r="2932" spans="1:2" x14ac:dyDescent="0.25">
      <c r="A2932" s="1">
        <v>40732</v>
      </c>
      <c r="B2932">
        <v>734099.4</v>
      </c>
    </row>
    <row r="2933" spans="1:2" x14ac:dyDescent="0.25">
      <c r="A2933" s="1">
        <v>40739</v>
      </c>
      <c r="B2933">
        <v>728311.15</v>
      </c>
    </row>
    <row r="2934" spans="1:2" x14ac:dyDescent="0.25">
      <c r="A2934" s="1">
        <v>40746</v>
      </c>
      <c r="B2934">
        <v>784490.67</v>
      </c>
    </row>
    <row r="2935" spans="1:2" x14ac:dyDescent="0.25">
      <c r="A2935" s="1">
        <v>40753</v>
      </c>
      <c r="B2935">
        <v>751167.12</v>
      </c>
    </row>
    <row r="2936" spans="1:2" x14ac:dyDescent="0.25">
      <c r="A2936" s="1">
        <v>40760</v>
      </c>
      <c r="B2936">
        <v>783614.89</v>
      </c>
    </row>
    <row r="2937" spans="1:2" x14ac:dyDescent="0.25">
      <c r="A2937" s="1">
        <v>40767</v>
      </c>
      <c r="B2937">
        <v>776933.37</v>
      </c>
    </row>
    <row r="2938" spans="1:2" x14ac:dyDescent="0.25">
      <c r="A2938" s="1">
        <v>40774</v>
      </c>
      <c r="B2938">
        <v>855546.5</v>
      </c>
    </row>
    <row r="2939" spans="1:2" x14ac:dyDescent="0.25">
      <c r="A2939" s="1">
        <v>40781</v>
      </c>
      <c r="B2939">
        <v>821127.53</v>
      </c>
    </row>
    <row r="2940" spans="1:2" x14ac:dyDescent="0.25">
      <c r="A2940" s="1">
        <v>40788</v>
      </c>
      <c r="B2940">
        <v>705557.8</v>
      </c>
    </row>
    <row r="2941" spans="1:2" x14ac:dyDescent="0.25">
      <c r="A2941" s="1">
        <v>40795</v>
      </c>
      <c r="B2941">
        <v>653989.65</v>
      </c>
    </row>
    <row r="2942" spans="1:2" x14ac:dyDescent="0.25">
      <c r="A2942" s="1">
        <v>40802</v>
      </c>
      <c r="B2942">
        <v>653525.84</v>
      </c>
    </row>
    <row r="2943" spans="1:2" x14ac:dyDescent="0.25">
      <c r="A2943" s="1">
        <v>40809</v>
      </c>
      <c r="B2943">
        <v>681913.29</v>
      </c>
    </row>
    <row r="2944" spans="1:2" x14ac:dyDescent="0.25">
      <c r="A2944" s="1">
        <v>40816</v>
      </c>
      <c r="B2944">
        <v>651970.48</v>
      </c>
    </row>
    <row r="2945" spans="1:2" x14ac:dyDescent="0.25">
      <c r="A2945" s="1">
        <v>40823</v>
      </c>
      <c r="B2945">
        <v>663452.46</v>
      </c>
    </row>
    <row r="2946" spans="1:2" x14ac:dyDescent="0.25">
      <c r="A2946" s="1">
        <v>40830</v>
      </c>
      <c r="B2946">
        <v>671379.44</v>
      </c>
    </row>
    <row r="2947" spans="1:2" x14ac:dyDescent="0.25">
      <c r="A2947" s="1">
        <v>40837</v>
      </c>
      <c r="B2947">
        <v>729036.06</v>
      </c>
    </row>
    <row r="2948" spans="1:2" x14ac:dyDescent="0.25">
      <c r="A2948" s="1">
        <v>40844</v>
      </c>
      <c r="B2948">
        <v>738812</v>
      </c>
    </row>
    <row r="2949" spans="1:2" x14ac:dyDescent="0.25">
      <c r="A2949" s="1">
        <v>40851</v>
      </c>
      <c r="B2949">
        <v>767358.37</v>
      </c>
    </row>
    <row r="2950" spans="1:2" x14ac:dyDescent="0.25">
      <c r="A2950" s="1">
        <v>40858</v>
      </c>
      <c r="B2950">
        <v>757369.87</v>
      </c>
    </row>
    <row r="2951" spans="1:2" x14ac:dyDescent="0.25">
      <c r="A2951" s="1">
        <v>40865</v>
      </c>
      <c r="B2951">
        <v>737014.09</v>
      </c>
    </row>
    <row r="2952" spans="1:2" x14ac:dyDescent="0.25">
      <c r="A2952" s="1">
        <v>40872</v>
      </c>
      <c r="B2952">
        <v>1219263.3999999999</v>
      </c>
    </row>
    <row r="2953" spans="1:2" x14ac:dyDescent="0.25">
      <c r="A2953" s="1">
        <v>40879</v>
      </c>
      <c r="B2953">
        <v>793184.25</v>
      </c>
    </row>
    <row r="2954" spans="1:2" x14ac:dyDescent="0.25">
      <c r="A2954" s="1">
        <v>40886</v>
      </c>
      <c r="B2954">
        <v>897747.13</v>
      </c>
    </row>
    <row r="2955" spans="1:2" x14ac:dyDescent="0.25">
      <c r="A2955" s="1">
        <v>40893</v>
      </c>
      <c r="B2955">
        <v>1027584.51</v>
      </c>
    </row>
    <row r="2956" spans="1:2" x14ac:dyDescent="0.25">
      <c r="A2956" s="1">
        <v>40900</v>
      </c>
      <c r="B2956">
        <v>1384552.17</v>
      </c>
    </row>
    <row r="2957" spans="1:2" x14ac:dyDescent="0.25">
      <c r="A2957" s="1">
        <v>40907</v>
      </c>
      <c r="B2957">
        <v>804362.36</v>
      </c>
    </row>
    <row r="2958" spans="1:2" x14ac:dyDescent="0.25">
      <c r="A2958" s="1">
        <v>40914</v>
      </c>
      <c r="B2958">
        <v>640181.86</v>
      </c>
    </row>
    <row r="2959" spans="1:2" x14ac:dyDescent="0.25">
      <c r="A2959" s="1">
        <v>40921</v>
      </c>
      <c r="B2959">
        <v>631181.25</v>
      </c>
    </row>
    <row r="2960" spans="1:2" x14ac:dyDescent="0.25">
      <c r="A2960" s="1">
        <v>40928</v>
      </c>
      <c r="B2960">
        <v>651178.19999999995</v>
      </c>
    </row>
    <row r="2961" spans="1:2" x14ac:dyDescent="0.25">
      <c r="A2961" s="1">
        <v>40935</v>
      </c>
      <c r="B2961">
        <v>611258.71</v>
      </c>
    </row>
    <row r="2962" spans="1:2" x14ac:dyDescent="0.25">
      <c r="A2962" s="1">
        <v>40942</v>
      </c>
      <c r="B2962">
        <v>680725.43</v>
      </c>
    </row>
    <row r="2963" spans="1:2" x14ac:dyDescent="0.25">
      <c r="A2963" s="1">
        <v>40949</v>
      </c>
      <c r="B2963">
        <v>770652.79</v>
      </c>
    </row>
    <row r="2964" spans="1:2" x14ac:dyDescent="0.25">
      <c r="A2964" s="1">
        <v>40956</v>
      </c>
      <c r="B2964">
        <v>834663.52</v>
      </c>
    </row>
    <row r="2965" spans="1:2" x14ac:dyDescent="0.25">
      <c r="A2965" s="1">
        <v>40963</v>
      </c>
      <c r="B2965">
        <v>747099.07</v>
      </c>
    </row>
    <row r="2966" spans="1:2" x14ac:dyDescent="0.25">
      <c r="A2966" s="1">
        <v>40970</v>
      </c>
      <c r="B2966">
        <v>764385.4</v>
      </c>
    </row>
    <row r="2967" spans="1:2" x14ac:dyDescent="0.25">
      <c r="A2967" s="1">
        <v>40977</v>
      </c>
      <c r="B2967">
        <v>755084.4</v>
      </c>
    </row>
    <row r="2968" spans="1:2" x14ac:dyDescent="0.25">
      <c r="A2968" s="1">
        <v>40984</v>
      </c>
      <c r="B2968">
        <v>767338.32</v>
      </c>
    </row>
    <row r="2969" spans="1:2" x14ac:dyDescent="0.25">
      <c r="A2969" s="1">
        <v>40991</v>
      </c>
      <c r="B2969">
        <v>729759.97</v>
      </c>
    </row>
    <row r="2970" spans="1:2" x14ac:dyDescent="0.25">
      <c r="A2970" s="1">
        <v>40998</v>
      </c>
      <c r="B2970">
        <v>724798.76</v>
      </c>
    </row>
    <row r="2971" spans="1:2" x14ac:dyDescent="0.25">
      <c r="A2971" s="1">
        <v>41005</v>
      </c>
      <c r="B2971">
        <v>761956.58</v>
      </c>
    </row>
    <row r="2972" spans="1:2" x14ac:dyDescent="0.25">
      <c r="A2972" s="1">
        <v>41012</v>
      </c>
      <c r="B2972">
        <v>769319.04</v>
      </c>
    </row>
    <row r="2973" spans="1:2" x14ac:dyDescent="0.25">
      <c r="A2973" s="1">
        <v>41019</v>
      </c>
      <c r="B2973">
        <v>734858.91</v>
      </c>
    </row>
    <row r="2974" spans="1:2" x14ac:dyDescent="0.25">
      <c r="A2974" s="1">
        <v>41026</v>
      </c>
      <c r="B2974">
        <v>674829.58</v>
      </c>
    </row>
    <row r="2975" spans="1:2" x14ac:dyDescent="0.25">
      <c r="A2975" s="1">
        <v>41033</v>
      </c>
      <c r="B2975">
        <v>697645.32</v>
      </c>
    </row>
    <row r="2976" spans="1:2" x14ac:dyDescent="0.25">
      <c r="A2976" s="1">
        <v>41040</v>
      </c>
      <c r="B2976">
        <v>649945.54</v>
      </c>
    </row>
    <row r="2977" spans="1:2" x14ac:dyDescent="0.25">
      <c r="A2977" s="1">
        <v>41047</v>
      </c>
      <c r="B2977">
        <v>700554.16</v>
      </c>
    </row>
    <row r="2978" spans="1:2" x14ac:dyDescent="0.25">
      <c r="A2978" s="1">
        <v>41054</v>
      </c>
      <c r="B2978">
        <v>722891.24</v>
      </c>
    </row>
    <row r="2979" spans="1:2" x14ac:dyDescent="0.25">
      <c r="A2979" s="1">
        <v>41061</v>
      </c>
      <c r="B2979">
        <v>695439.83</v>
      </c>
    </row>
    <row r="2980" spans="1:2" x14ac:dyDescent="0.25">
      <c r="A2980" s="1">
        <v>41068</v>
      </c>
      <c r="B2980">
        <v>707895.72</v>
      </c>
    </row>
    <row r="2981" spans="1:2" x14ac:dyDescent="0.25">
      <c r="A2981" s="1">
        <v>41075</v>
      </c>
      <c r="B2981">
        <v>727049.04</v>
      </c>
    </row>
    <row r="2982" spans="1:2" x14ac:dyDescent="0.25">
      <c r="A2982" s="1">
        <v>41082</v>
      </c>
      <c r="B2982">
        <v>735870</v>
      </c>
    </row>
    <row r="2983" spans="1:2" x14ac:dyDescent="0.25">
      <c r="A2983" s="1">
        <v>41089</v>
      </c>
      <c r="B2983">
        <v>716341.39</v>
      </c>
    </row>
    <row r="2984" spans="1:2" x14ac:dyDescent="0.25">
      <c r="A2984" s="1">
        <v>41096</v>
      </c>
      <c r="B2984">
        <v>693013.59</v>
      </c>
    </row>
    <row r="2985" spans="1:2" x14ac:dyDescent="0.25">
      <c r="A2985" s="1">
        <v>41103</v>
      </c>
      <c r="B2985">
        <v>668132.36</v>
      </c>
    </row>
    <row r="2986" spans="1:2" x14ac:dyDescent="0.25">
      <c r="A2986" s="1">
        <v>41110</v>
      </c>
      <c r="B2986">
        <v>691200.33</v>
      </c>
    </row>
    <row r="2987" spans="1:2" x14ac:dyDescent="0.25">
      <c r="A2987" s="1">
        <v>41117</v>
      </c>
      <c r="B2987">
        <v>677789.14</v>
      </c>
    </row>
    <row r="2988" spans="1:2" x14ac:dyDescent="0.25">
      <c r="A2988" s="1">
        <v>41124</v>
      </c>
      <c r="B2988">
        <v>693785.85</v>
      </c>
    </row>
    <row r="2989" spans="1:2" x14ac:dyDescent="0.25">
      <c r="A2989" s="1">
        <v>41131</v>
      </c>
      <c r="B2989">
        <v>700272.01</v>
      </c>
    </row>
    <row r="2990" spans="1:2" x14ac:dyDescent="0.25">
      <c r="A2990" s="1">
        <v>41138</v>
      </c>
      <c r="B2990">
        <v>751963.81</v>
      </c>
    </row>
    <row r="2991" spans="1:2" x14ac:dyDescent="0.25">
      <c r="A2991" s="1">
        <v>41145</v>
      </c>
      <c r="B2991">
        <v>802003.61</v>
      </c>
    </row>
    <row r="2992" spans="1:2" x14ac:dyDescent="0.25">
      <c r="A2992" s="1">
        <v>41152</v>
      </c>
      <c r="B2992">
        <v>763867.59</v>
      </c>
    </row>
    <row r="2993" spans="1:2" x14ac:dyDescent="0.25">
      <c r="A2993" s="1">
        <v>41159</v>
      </c>
      <c r="B2993">
        <v>642827.29</v>
      </c>
    </row>
    <row r="2994" spans="1:2" x14ac:dyDescent="0.25">
      <c r="A2994" s="1">
        <v>41166</v>
      </c>
      <c r="B2994">
        <v>628494.63</v>
      </c>
    </row>
    <row r="2995" spans="1:2" x14ac:dyDescent="0.25">
      <c r="A2995" s="1">
        <v>41173</v>
      </c>
      <c r="B2995">
        <v>667151.46</v>
      </c>
    </row>
    <row r="2996" spans="1:2" x14ac:dyDescent="0.25">
      <c r="A2996" s="1">
        <v>41180</v>
      </c>
      <c r="B2996">
        <v>647097.65</v>
      </c>
    </row>
    <row r="2997" spans="1:2" x14ac:dyDescent="0.25">
      <c r="A2997" s="1">
        <v>41187</v>
      </c>
      <c r="B2997">
        <v>651768.91</v>
      </c>
    </row>
    <row r="2998" spans="1:2" x14ac:dyDescent="0.25">
      <c r="A2998" s="1">
        <v>41194</v>
      </c>
      <c r="B2998">
        <v>653043.43999999994</v>
      </c>
    </row>
    <row r="2999" spans="1:2" x14ac:dyDescent="0.25">
      <c r="A2999" s="1">
        <v>41201</v>
      </c>
      <c r="B2999">
        <v>641368.14</v>
      </c>
    </row>
    <row r="3000" spans="1:2" x14ac:dyDescent="0.25">
      <c r="A3000" s="1">
        <v>41208</v>
      </c>
      <c r="B3000">
        <v>675202.87</v>
      </c>
    </row>
    <row r="3001" spans="1:2" x14ac:dyDescent="0.25">
      <c r="A3001" s="1">
        <v>40214</v>
      </c>
      <c r="B3001">
        <v>1033017.37</v>
      </c>
    </row>
    <row r="3002" spans="1:2" x14ac:dyDescent="0.25">
      <c r="A3002" s="1">
        <v>40221</v>
      </c>
      <c r="B3002">
        <v>1022571.25</v>
      </c>
    </row>
    <row r="3003" spans="1:2" x14ac:dyDescent="0.25">
      <c r="A3003" s="1">
        <v>40228</v>
      </c>
      <c r="B3003">
        <v>988467.61</v>
      </c>
    </row>
    <row r="3004" spans="1:2" x14ac:dyDescent="0.25">
      <c r="A3004" s="1">
        <v>40235</v>
      </c>
      <c r="B3004">
        <v>899761.48</v>
      </c>
    </row>
    <row r="3005" spans="1:2" x14ac:dyDescent="0.25">
      <c r="A3005" s="1">
        <v>40242</v>
      </c>
      <c r="B3005">
        <v>1009201.24</v>
      </c>
    </row>
    <row r="3006" spans="1:2" x14ac:dyDescent="0.25">
      <c r="A3006" s="1">
        <v>40249</v>
      </c>
      <c r="B3006">
        <v>967187.37</v>
      </c>
    </row>
    <row r="3007" spans="1:2" x14ac:dyDescent="0.25">
      <c r="A3007" s="1">
        <v>40256</v>
      </c>
      <c r="B3007">
        <v>966145.09</v>
      </c>
    </row>
    <row r="3008" spans="1:2" x14ac:dyDescent="0.25">
      <c r="A3008" s="1">
        <v>40263</v>
      </c>
      <c r="B3008">
        <v>1012075.12</v>
      </c>
    </row>
    <row r="3009" spans="1:2" x14ac:dyDescent="0.25">
      <c r="A3009" s="1">
        <v>40270</v>
      </c>
      <c r="B3009">
        <v>1177340.99</v>
      </c>
    </row>
    <row r="3010" spans="1:2" x14ac:dyDescent="0.25">
      <c r="A3010" s="1">
        <v>40277</v>
      </c>
      <c r="B3010">
        <v>1033171.07</v>
      </c>
    </row>
    <row r="3011" spans="1:2" x14ac:dyDescent="0.25">
      <c r="A3011" s="1">
        <v>40284</v>
      </c>
      <c r="B3011">
        <v>1000968.67</v>
      </c>
    </row>
    <row r="3012" spans="1:2" x14ac:dyDescent="0.25">
      <c r="A3012" s="1">
        <v>40291</v>
      </c>
      <c r="B3012">
        <v>969594.47</v>
      </c>
    </row>
    <row r="3013" spans="1:2" x14ac:dyDescent="0.25">
      <c r="A3013" s="1">
        <v>40298</v>
      </c>
      <c r="B3013">
        <v>977683.06</v>
      </c>
    </row>
    <row r="3014" spans="1:2" x14ac:dyDescent="0.25">
      <c r="A3014" s="1">
        <v>40305</v>
      </c>
      <c r="B3014">
        <v>1052973.28</v>
      </c>
    </row>
    <row r="3015" spans="1:2" x14ac:dyDescent="0.25">
      <c r="A3015" s="1">
        <v>40312</v>
      </c>
      <c r="B3015">
        <v>973585.33</v>
      </c>
    </row>
    <row r="3016" spans="1:2" x14ac:dyDescent="0.25">
      <c r="A3016" s="1">
        <v>40319</v>
      </c>
      <c r="B3016">
        <v>979977.89</v>
      </c>
    </row>
    <row r="3017" spans="1:2" x14ac:dyDescent="0.25">
      <c r="A3017" s="1">
        <v>40326</v>
      </c>
      <c r="B3017">
        <v>1103740.3999999999</v>
      </c>
    </row>
    <row r="3018" spans="1:2" x14ac:dyDescent="0.25">
      <c r="A3018" s="1">
        <v>40333</v>
      </c>
      <c r="B3018">
        <v>1095539.1299999999</v>
      </c>
    </row>
    <row r="3019" spans="1:2" x14ac:dyDescent="0.25">
      <c r="A3019" s="1">
        <v>40340</v>
      </c>
      <c r="B3019">
        <v>1061196.47</v>
      </c>
    </row>
    <row r="3020" spans="1:2" x14ac:dyDescent="0.25">
      <c r="A3020" s="1">
        <v>40347</v>
      </c>
      <c r="B3020">
        <v>1052895.25</v>
      </c>
    </row>
    <row r="3021" spans="1:2" x14ac:dyDescent="0.25">
      <c r="A3021" s="1">
        <v>40354</v>
      </c>
      <c r="B3021">
        <v>1095020.33</v>
      </c>
    </row>
    <row r="3022" spans="1:2" x14ac:dyDescent="0.25">
      <c r="A3022" s="1">
        <v>40361</v>
      </c>
      <c r="B3022">
        <v>1120259.71</v>
      </c>
    </row>
    <row r="3023" spans="1:2" x14ac:dyDescent="0.25">
      <c r="A3023" s="1">
        <v>40368</v>
      </c>
      <c r="B3023">
        <v>1092654.26</v>
      </c>
    </row>
    <row r="3024" spans="1:2" x14ac:dyDescent="0.25">
      <c r="A3024" s="1">
        <v>40375</v>
      </c>
      <c r="B3024">
        <v>988392.99</v>
      </c>
    </row>
    <row r="3025" spans="1:2" x14ac:dyDescent="0.25">
      <c r="A3025" s="1">
        <v>40382</v>
      </c>
      <c r="B3025">
        <v>974123.2</v>
      </c>
    </row>
    <row r="3026" spans="1:2" x14ac:dyDescent="0.25">
      <c r="A3026" s="1">
        <v>40389</v>
      </c>
      <c r="B3026">
        <v>970773.64</v>
      </c>
    </row>
    <row r="3027" spans="1:2" x14ac:dyDescent="0.25">
      <c r="A3027" s="1">
        <v>40396</v>
      </c>
      <c r="B3027">
        <v>1010326.14</v>
      </c>
    </row>
    <row r="3028" spans="1:2" x14ac:dyDescent="0.25">
      <c r="A3028" s="1">
        <v>40403</v>
      </c>
      <c r="B3028">
        <v>993097.43</v>
      </c>
    </row>
    <row r="3029" spans="1:2" x14ac:dyDescent="0.25">
      <c r="A3029" s="1">
        <v>40410</v>
      </c>
      <c r="B3029">
        <v>1017045.44</v>
      </c>
    </row>
    <row r="3030" spans="1:2" x14ac:dyDescent="0.25">
      <c r="A3030" s="1">
        <v>40417</v>
      </c>
      <c r="B3030">
        <v>1081420.96</v>
      </c>
    </row>
    <row r="3031" spans="1:2" x14ac:dyDescent="0.25">
      <c r="A3031" s="1">
        <v>40424</v>
      </c>
      <c r="B3031">
        <v>1074535.8799999999</v>
      </c>
    </row>
    <row r="3032" spans="1:2" x14ac:dyDescent="0.25">
      <c r="A3032" s="1">
        <v>40431</v>
      </c>
      <c r="B3032">
        <v>924174.4</v>
      </c>
    </row>
    <row r="3033" spans="1:2" x14ac:dyDescent="0.25">
      <c r="A3033" s="1">
        <v>40438</v>
      </c>
      <c r="B3033">
        <v>918285.97</v>
      </c>
    </row>
    <row r="3034" spans="1:2" x14ac:dyDescent="0.25">
      <c r="A3034" s="1">
        <v>40445</v>
      </c>
      <c r="B3034">
        <v>902779.25</v>
      </c>
    </row>
    <row r="3035" spans="1:2" x14ac:dyDescent="0.25">
      <c r="A3035" s="1">
        <v>40452</v>
      </c>
      <c r="B3035">
        <v>905987.17</v>
      </c>
    </row>
    <row r="3036" spans="1:2" x14ac:dyDescent="0.25">
      <c r="A3036" s="1">
        <v>40459</v>
      </c>
      <c r="B3036">
        <v>1015051.62</v>
      </c>
    </row>
    <row r="3037" spans="1:2" x14ac:dyDescent="0.25">
      <c r="A3037" s="1">
        <v>40466</v>
      </c>
      <c r="B3037">
        <v>954401.46</v>
      </c>
    </row>
    <row r="3038" spans="1:2" x14ac:dyDescent="0.25">
      <c r="A3038" s="1">
        <v>40473</v>
      </c>
      <c r="B3038">
        <v>960998.52</v>
      </c>
    </row>
    <row r="3039" spans="1:2" x14ac:dyDescent="0.25">
      <c r="A3039" s="1">
        <v>40480</v>
      </c>
      <c r="B3039">
        <v>1025766.27</v>
      </c>
    </row>
    <row r="3040" spans="1:2" x14ac:dyDescent="0.25">
      <c r="A3040" s="1">
        <v>40487</v>
      </c>
      <c r="B3040">
        <v>1006888.16</v>
      </c>
    </row>
    <row r="3041" spans="1:2" x14ac:dyDescent="0.25">
      <c r="A3041" s="1">
        <v>40494</v>
      </c>
      <c r="B3041">
        <v>1043698.64</v>
      </c>
    </row>
    <row r="3042" spans="1:2" x14ac:dyDescent="0.25">
      <c r="A3042" s="1">
        <v>40501</v>
      </c>
      <c r="B3042">
        <v>985896.44</v>
      </c>
    </row>
    <row r="3043" spans="1:2" x14ac:dyDescent="0.25">
      <c r="A3043" s="1">
        <v>40508</v>
      </c>
      <c r="B3043">
        <v>1564502.26</v>
      </c>
    </row>
    <row r="3044" spans="1:2" x14ac:dyDescent="0.25">
      <c r="A3044" s="1">
        <v>40515</v>
      </c>
      <c r="B3044">
        <v>1230514.58</v>
      </c>
    </row>
    <row r="3045" spans="1:2" x14ac:dyDescent="0.25">
      <c r="A3045" s="1">
        <v>40522</v>
      </c>
      <c r="B3045">
        <v>1367202.84</v>
      </c>
    </row>
    <row r="3046" spans="1:2" x14ac:dyDescent="0.25">
      <c r="A3046" s="1">
        <v>40529</v>
      </c>
      <c r="B3046">
        <v>1527682.99</v>
      </c>
    </row>
    <row r="3047" spans="1:2" x14ac:dyDescent="0.25">
      <c r="A3047" s="1">
        <v>40536</v>
      </c>
      <c r="B3047">
        <v>1962445.04</v>
      </c>
    </row>
    <row r="3048" spans="1:2" x14ac:dyDescent="0.25">
      <c r="A3048" s="1">
        <v>40543</v>
      </c>
      <c r="B3048">
        <v>774262.28</v>
      </c>
    </row>
    <row r="3049" spans="1:2" x14ac:dyDescent="0.25">
      <c r="A3049" s="1">
        <v>40550</v>
      </c>
      <c r="B3049">
        <v>873954.7</v>
      </c>
    </row>
    <row r="3050" spans="1:2" x14ac:dyDescent="0.25">
      <c r="A3050" s="1">
        <v>40557</v>
      </c>
      <c r="B3050">
        <v>807535.52</v>
      </c>
    </row>
    <row r="3051" spans="1:2" x14ac:dyDescent="0.25">
      <c r="A3051" s="1">
        <v>40564</v>
      </c>
      <c r="B3051">
        <v>855001.02</v>
      </c>
    </row>
    <row r="3052" spans="1:2" x14ac:dyDescent="0.25">
      <c r="A3052" s="1">
        <v>40571</v>
      </c>
      <c r="B3052">
        <v>799369.15</v>
      </c>
    </row>
    <row r="3053" spans="1:2" x14ac:dyDescent="0.25">
      <c r="A3053" s="1">
        <v>40578</v>
      </c>
      <c r="B3053">
        <v>946060.98</v>
      </c>
    </row>
    <row r="3054" spans="1:2" x14ac:dyDescent="0.25">
      <c r="A3054" s="1">
        <v>40585</v>
      </c>
      <c r="B3054">
        <v>1009206.33</v>
      </c>
    </row>
    <row r="3055" spans="1:2" x14ac:dyDescent="0.25">
      <c r="A3055" s="1">
        <v>40592</v>
      </c>
      <c r="B3055">
        <v>975964.86</v>
      </c>
    </row>
    <row r="3056" spans="1:2" x14ac:dyDescent="0.25">
      <c r="A3056" s="1">
        <v>40599</v>
      </c>
      <c r="B3056">
        <v>911245.43</v>
      </c>
    </row>
    <row r="3057" spans="1:2" x14ac:dyDescent="0.25">
      <c r="A3057" s="1">
        <v>40606</v>
      </c>
      <c r="B3057">
        <v>997353.15</v>
      </c>
    </row>
    <row r="3058" spans="1:2" x14ac:dyDescent="0.25">
      <c r="A3058" s="1">
        <v>40613</v>
      </c>
      <c r="B3058">
        <v>944587.23</v>
      </c>
    </row>
    <row r="3059" spans="1:2" x14ac:dyDescent="0.25">
      <c r="A3059" s="1">
        <v>40620</v>
      </c>
      <c r="B3059">
        <v>926427.12</v>
      </c>
    </row>
    <row r="3060" spans="1:2" x14ac:dyDescent="0.25">
      <c r="A3060" s="1">
        <v>40627</v>
      </c>
      <c r="B3060">
        <v>933528.39</v>
      </c>
    </row>
    <row r="3061" spans="1:2" x14ac:dyDescent="0.25">
      <c r="A3061" s="1">
        <v>40634</v>
      </c>
      <c r="B3061">
        <v>951588.37</v>
      </c>
    </row>
    <row r="3062" spans="1:2" x14ac:dyDescent="0.25">
      <c r="A3062" s="1">
        <v>40641</v>
      </c>
      <c r="B3062">
        <v>969046.69</v>
      </c>
    </row>
    <row r="3063" spans="1:2" x14ac:dyDescent="0.25">
      <c r="A3063" s="1">
        <v>40648</v>
      </c>
      <c r="B3063">
        <v>1008557.04</v>
      </c>
    </row>
    <row r="3064" spans="1:2" x14ac:dyDescent="0.25">
      <c r="A3064" s="1">
        <v>40655</v>
      </c>
      <c r="B3064">
        <v>1152781.8999999999</v>
      </c>
    </row>
    <row r="3065" spans="1:2" x14ac:dyDescent="0.25">
      <c r="A3065" s="1">
        <v>40662</v>
      </c>
      <c r="B3065">
        <v>926133.8</v>
      </c>
    </row>
    <row r="3066" spans="1:2" x14ac:dyDescent="0.25">
      <c r="A3066" s="1">
        <v>40669</v>
      </c>
      <c r="B3066">
        <v>1032076.06</v>
      </c>
    </row>
    <row r="3067" spans="1:2" x14ac:dyDescent="0.25">
      <c r="A3067" s="1">
        <v>40676</v>
      </c>
      <c r="B3067">
        <v>1001558.74</v>
      </c>
    </row>
    <row r="3068" spans="1:2" x14ac:dyDescent="0.25">
      <c r="A3068" s="1">
        <v>40683</v>
      </c>
      <c r="B3068">
        <v>970307.83</v>
      </c>
    </row>
    <row r="3069" spans="1:2" x14ac:dyDescent="0.25">
      <c r="A3069" s="1">
        <v>40690</v>
      </c>
      <c r="B3069">
        <v>1021568.34</v>
      </c>
    </row>
    <row r="3070" spans="1:2" x14ac:dyDescent="0.25">
      <c r="A3070" s="1">
        <v>40697</v>
      </c>
      <c r="B3070">
        <v>1125169.92</v>
      </c>
    </row>
    <row r="3071" spans="1:2" x14ac:dyDescent="0.25">
      <c r="A3071" s="1">
        <v>40704</v>
      </c>
      <c r="B3071">
        <v>1060868.49</v>
      </c>
    </row>
    <row r="3072" spans="1:2" x14ac:dyDescent="0.25">
      <c r="A3072" s="1">
        <v>40711</v>
      </c>
      <c r="B3072">
        <v>1042454.61</v>
      </c>
    </row>
    <row r="3073" spans="1:2" x14ac:dyDescent="0.25">
      <c r="A3073" s="1">
        <v>40718</v>
      </c>
      <c r="B3073">
        <v>1012584.2</v>
      </c>
    </row>
    <row r="3074" spans="1:2" x14ac:dyDescent="0.25">
      <c r="A3074" s="1">
        <v>40725</v>
      </c>
      <c r="B3074">
        <v>1077491.68</v>
      </c>
    </row>
    <row r="3075" spans="1:2" x14ac:dyDescent="0.25">
      <c r="A3075" s="1">
        <v>40732</v>
      </c>
      <c r="B3075">
        <v>1017050.65</v>
      </c>
    </row>
    <row r="3076" spans="1:2" x14ac:dyDescent="0.25">
      <c r="A3076" s="1">
        <v>40739</v>
      </c>
      <c r="B3076">
        <v>961953.57</v>
      </c>
    </row>
    <row r="3077" spans="1:2" x14ac:dyDescent="0.25">
      <c r="A3077" s="1">
        <v>40746</v>
      </c>
      <c r="B3077">
        <v>964683.8</v>
      </c>
    </row>
    <row r="3078" spans="1:2" x14ac:dyDescent="0.25">
      <c r="A3078" s="1">
        <v>40753</v>
      </c>
      <c r="B3078">
        <v>0</v>
      </c>
    </row>
    <row r="3079" spans="1:2" x14ac:dyDescent="0.25">
      <c r="A3079" s="1">
        <v>40760</v>
      </c>
      <c r="B3079">
        <v>983232.96</v>
      </c>
    </row>
    <row r="3080" spans="1:2" x14ac:dyDescent="0.25">
      <c r="A3080" s="1">
        <v>40767</v>
      </c>
      <c r="B3080">
        <v>991779.2</v>
      </c>
    </row>
    <row r="3081" spans="1:2" x14ac:dyDescent="0.25">
      <c r="A3081" s="1">
        <v>40774</v>
      </c>
      <c r="B3081">
        <v>973004.91</v>
      </c>
    </row>
    <row r="3082" spans="1:2" x14ac:dyDescent="0.25">
      <c r="A3082" s="1">
        <v>40781</v>
      </c>
      <c r="B3082">
        <v>1181815.31</v>
      </c>
    </row>
    <row r="3083" spans="1:2" x14ac:dyDescent="0.25">
      <c r="A3083" s="1">
        <v>40788</v>
      </c>
      <c r="B3083">
        <v>912762.76</v>
      </c>
    </row>
    <row r="3084" spans="1:2" x14ac:dyDescent="0.25">
      <c r="A3084" s="1">
        <v>40795</v>
      </c>
      <c r="B3084">
        <v>1004434.54</v>
      </c>
    </row>
    <row r="3085" spans="1:2" x14ac:dyDescent="0.25">
      <c r="A3085" s="1">
        <v>40802</v>
      </c>
      <c r="B3085">
        <v>937420.65</v>
      </c>
    </row>
    <row r="3086" spans="1:2" x14ac:dyDescent="0.25">
      <c r="A3086" s="1">
        <v>40809</v>
      </c>
      <c r="B3086">
        <v>899834.75</v>
      </c>
    </row>
    <row r="3087" spans="1:2" x14ac:dyDescent="0.25">
      <c r="A3087" s="1">
        <v>40816</v>
      </c>
      <c r="B3087">
        <v>953314.16</v>
      </c>
    </row>
    <row r="3088" spans="1:2" x14ac:dyDescent="0.25">
      <c r="A3088" s="1">
        <v>40823</v>
      </c>
      <c r="B3088">
        <v>993436.67</v>
      </c>
    </row>
    <row r="3089" spans="1:2" x14ac:dyDescent="0.25">
      <c r="A3089" s="1">
        <v>40830</v>
      </c>
      <c r="B3089">
        <v>944337.32</v>
      </c>
    </row>
    <row r="3090" spans="1:2" x14ac:dyDescent="0.25">
      <c r="A3090" s="1">
        <v>40837</v>
      </c>
      <c r="B3090">
        <v>981567.22</v>
      </c>
    </row>
    <row r="3091" spans="1:2" x14ac:dyDescent="0.25">
      <c r="A3091" s="1">
        <v>40844</v>
      </c>
      <c r="B3091">
        <v>1099351.68</v>
      </c>
    </row>
    <row r="3092" spans="1:2" x14ac:dyDescent="0.25">
      <c r="A3092" s="1">
        <v>40851</v>
      </c>
      <c r="B3092">
        <v>1106575.5900000001</v>
      </c>
    </row>
    <row r="3093" spans="1:2" x14ac:dyDescent="0.25">
      <c r="A3093" s="1">
        <v>40858</v>
      </c>
      <c r="B3093">
        <v>1051740.29</v>
      </c>
    </row>
    <row r="3094" spans="1:2" x14ac:dyDescent="0.25">
      <c r="A3094" s="1">
        <v>40865</v>
      </c>
      <c r="B3094">
        <v>1007579.44</v>
      </c>
    </row>
    <row r="3095" spans="1:2" x14ac:dyDescent="0.25">
      <c r="A3095" s="1">
        <v>40872</v>
      </c>
      <c r="B3095">
        <v>1535857.49</v>
      </c>
    </row>
    <row r="3096" spans="1:2" x14ac:dyDescent="0.25">
      <c r="A3096" s="1">
        <v>40879</v>
      </c>
      <c r="B3096">
        <v>1167621.1399999999</v>
      </c>
    </row>
    <row r="3097" spans="1:2" x14ac:dyDescent="0.25">
      <c r="A3097" s="1">
        <v>40886</v>
      </c>
      <c r="B3097">
        <v>1308967.44</v>
      </c>
    </row>
    <row r="3098" spans="1:2" x14ac:dyDescent="0.25">
      <c r="A3098" s="1">
        <v>40893</v>
      </c>
      <c r="B3098">
        <v>1453153.33</v>
      </c>
    </row>
    <row r="3099" spans="1:2" x14ac:dyDescent="0.25">
      <c r="A3099" s="1">
        <v>40900</v>
      </c>
      <c r="B3099">
        <v>1863195.68</v>
      </c>
    </row>
    <row r="3100" spans="1:2" x14ac:dyDescent="0.25">
      <c r="A3100" s="1">
        <v>40907</v>
      </c>
      <c r="B3100">
        <v>982661.14</v>
      </c>
    </row>
    <row r="3101" spans="1:2" x14ac:dyDescent="0.25">
      <c r="A3101" s="1">
        <v>40914</v>
      </c>
      <c r="B3101">
        <v>895358.2</v>
      </c>
    </row>
    <row r="3102" spans="1:2" x14ac:dyDescent="0.25">
      <c r="A3102" s="1">
        <v>40921</v>
      </c>
      <c r="B3102">
        <v>855437.57</v>
      </c>
    </row>
    <row r="3103" spans="1:2" x14ac:dyDescent="0.25">
      <c r="A3103" s="1">
        <v>40928</v>
      </c>
      <c r="B3103">
        <v>897027.44</v>
      </c>
    </row>
    <row r="3104" spans="1:2" x14ac:dyDescent="0.25">
      <c r="A3104" s="1">
        <v>40935</v>
      </c>
      <c r="B3104">
        <v>786459.23</v>
      </c>
    </row>
    <row r="3105" spans="1:2" x14ac:dyDescent="0.25">
      <c r="A3105" s="1">
        <v>40942</v>
      </c>
      <c r="B3105">
        <v>958487.75</v>
      </c>
    </row>
    <row r="3106" spans="1:2" x14ac:dyDescent="0.25">
      <c r="A3106" s="1">
        <v>40949</v>
      </c>
      <c r="B3106">
        <v>1034448.07</v>
      </c>
    </row>
    <row r="3107" spans="1:2" x14ac:dyDescent="0.25">
      <c r="A3107" s="1">
        <v>40956</v>
      </c>
      <c r="B3107">
        <v>1004749.41</v>
      </c>
    </row>
    <row r="3108" spans="1:2" x14ac:dyDescent="0.25">
      <c r="A3108" s="1">
        <v>40963</v>
      </c>
      <c r="B3108">
        <v>912958.95</v>
      </c>
    </row>
    <row r="3109" spans="1:2" x14ac:dyDescent="0.25">
      <c r="A3109" s="1">
        <v>40970</v>
      </c>
      <c r="B3109">
        <v>974866.65</v>
      </c>
    </row>
    <row r="3110" spans="1:2" x14ac:dyDescent="0.25">
      <c r="A3110" s="1">
        <v>40977</v>
      </c>
      <c r="B3110">
        <v>991127.01</v>
      </c>
    </row>
    <row r="3111" spans="1:2" x14ac:dyDescent="0.25">
      <c r="A3111" s="1">
        <v>40984</v>
      </c>
      <c r="B3111">
        <v>966780.01</v>
      </c>
    </row>
    <row r="3112" spans="1:2" x14ac:dyDescent="0.25">
      <c r="A3112" s="1">
        <v>40991</v>
      </c>
      <c r="B3112">
        <v>992774.4</v>
      </c>
    </row>
    <row r="3113" spans="1:2" x14ac:dyDescent="0.25">
      <c r="A3113" s="1">
        <v>40998</v>
      </c>
      <c r="B3113">
        <v>965769.93</v>
      </c>
    </row>
    <row r="3114" spans="1:2" x14ac:dyDescent="0.25">
      <c r="A3114" s="1">
        <v>41005</v>
      </c>
      <c r="B3114">
        <v>1197489.6599999999</v>
      </c>
    </row>
    <row r="3115" spans="1:2" x14ac:dyDescent="0.25">
      <c r="A3115" s="1">
        <v>41012</v>
      </c>
      <c r="B3115">
        <v>939118.24</v>
      </c>
    </row>
    <row r="3116" spans="1:2" x14ac:dyDescent="0.25">
      <c r="A3116" s="1">
        <v>41019</v>
      </c>
      <c r="B3116">
        <v>1000342.87</v>
      </c>
    </row>
    <row r="3117" spans="1:2" x14ac:dyDescent="0.25">
      <c r="A3117" s="1">
        <v>41026</v>
      </c>
      <c r="B3117">
        <v>922539.94</v>
      </c>
    </row>
    <row r="3118" spans="1:2" x14ac:dyDescent="0.25">
      <c r="A3118" s="1">
        <v>41033</v>
      </c>
      <c r="B3118">
        <v>1005083.31</v>
      </c>
    </row>
    <row r="3119" spans="1:2" x14ac:dyDescent="0.25">
      <c r="A3119" s="1">
        <v>41040</v>
      </c>
      <c r="B3119">
        <v>997868.63</v>
      </c>
    </row>
    <row r="3120" spans="1:2" x14ac:dyDescent="0.25">
      <c r="A3120" s="1">
        <v>41047</v>
      </c>
      <c r="B3120">
        <v>986612.02</v>
      </c>
    </row>
    <row r="3121" spans="1:2" x14ac:dyDescent="0.25">
      <c r="A3121" s="1">
        <v>41054</v>
      </c>
      <c r="B3121">
        <v>1047297.38</v>
      </c>
    </row>
    <row r="3122" spans="1:2" x14ac:dyDescent="0.25">
      <c r="A3122" s="1">
        <v>41061</v>
      </c>
      <c r="B3122">
        <v>1102857.3700000001</v>
      </c>
    </row>
    <row r="3123" spans="1:2" x14ac:dyDescent="0.25">
      <c r="A3123" s="1">
        <v>41068</v>
      </c>
      <c r="B3123">
        <v>1061134.3700000001</v>
      </c>
    </row>
    <row r="3124" spans="1:2" x14ac:dyDescent="0.25">
      <c r="A3124" s="1">
        <v>41075</v>
      </c>
      <c r="B3124">
        <v>1061219.19</v>
      </c>
    </row>
    <row r="3125" spans="1:2" x14ac:dyDescent="0.25">
      <c r="A3125" s="1">
        <v>41082</v>
      </c>
      <c r="B3125">
        <v>1112449.3</v>
      </c>
    </row>
    <row r="3126" spans="1:2" x14ac:dyDescent="0.25">
      <c r="A3126" s="1">
        <v>41089</v>
      </c>
      <c r="B3126">
        <v>1053881.78</v>
      </c>
    </row>
    <row r="3127" spans="1:2" x14ac:dyDescent="0.25">
      <c r="A3127" s="1">
        <v>41096</v>
      </c>
      <c r="B3127">
        <v>1097786.1399999999</v>
      </c>
    </row>
    <row r="3128" spans="1:2" x14ac:dyDescent="0.25">
      <c r="A3128" s="1">
        <v>41103</v>
      </c>
      <c r="B3128">
        <v>971361.38</v>
      </c>
    </row>
    <row r="3129" spans="1:2" x14ac:dyDescent="0.25">
      <c r="A3129" s="1">
        <v>41110</v>
      </c>
      <c r="B3129">
        <v>991969.37</v>
      </c>
    </row>
    <row r="3130" spans="1:2" x14ac:dyDescent="0.25">
      <c r="A3130" s="1">
        <v>41117</v>
      </c>
      <c r="B3130">
        <v>925731.21</v>
      </c>
    </row>
    <row r="3131" spans="1:2" x14ac:dyDescent="0.25">
      <c r="A3131" s="1">
        <v>41124</v>
      </c>
      <c r="B3131">
        <v>1007257.83</v>
      </c>
    </row>
    <row r="3132" spans="1:2" x14ac:dyDescent="0.25">
      <c r="A3132" s="1">
        <v>41131</v>
      </c>
      <c r="B3132">
        <v>973812.79</v>
      </c>
    </row>
    <row r="3133" spans="1:2" x14ac:dyDescent="0.25">
      <c r="A3133" s="1">
        <v>41138</v>
      </c>
      <c r="B3133">
        <v>981273.26</v>
      </c>
    </row>
    <row r="3134" spans="1:2" x14ac:dyDescent="0.25">
      <c r="A3134" s="1">
        <v>41145</v>
      </c>
      <c r="B3134">
        <v>1060906.75</v>
      </c>
    </row>
    <row r="3135" spans="1:2" x14ac:dyDescent="0.25">
      <c r="A3135" s="1">
        <v>41152</v>
      </c>
      <c r="B3135">
        <v>1022270.86</v>
      </c>
    </row>
    <row r="3136" spans="1:2" x14ac:dyDescent="0.25">
      <c r="A3136" s="1">
        <v>41159</v>
      </c>
      <c r="B3136">
        <v>996628.8</v>
      </c>
    </row>
    <row r="3137" spans="1:2" x14ac:dyDescent="0.25">
      <c r="A3137" s="1">
        <v>41166</v>
      </c>
      <c r="B3137">
        <v>918049.28000000003</v>
      </c>
    </row>
    <row r="3138" spans="1:2" x14ac:dyDescent="0.25">
      <c r="A3138" s="1">
        <v>41173</v>
      </c>
      <c r="B3138">
        <v>921612.53</v>
      </c>
    </row>
    <row r="3139" spans="1:2" x14ac:dyDescent="0.25">
      <c r="A3139" s="1">
        <v>41180</v>
      </c>
      <c r="B3139">
        <v>976479.51</v>
      </c>
    </row>
    <row r="3140" spans="1:2" x14ac:dyDescent="0.25">
      <c r="A3140" s="1">
        <v>41187</v>
      </c>
      <c r="B3140">
        <v>1009887.36</v>
      </c>
    </row>
    <row r="3141" spans="1:2" x14ac:dyDescent="0.25">
      <c r="A3141" s="1">
        <v>41194</v>
      </c>
      <c r="B3141">
        <v>1004039.84</v>
      </c>
    </row>
    <row r="3142" spans="1:2" x14ac:dyDescent="0.25">
      <c r="A3142" s="1">
        <v>41201</v>
      </c>
      <c r="B3142">
        <v>978027.95</v>
      </c>
    </row>
    <row r="3143" spans="1:2" x14ac:dyDescent="0.25">
      <c r="A3143" s="1">
        <v>41208</v>
      </c>
      <c r="B3143">
        <v>1094422.69</v>
      </c>
    </row>
    <row r="3144" spans="1:2" x14ac:dyDescent="0.25">
      <c r="A3144" s="1">
        <v>40214</v>
      </c>
      <c r="B3144">
        <v>1364721.58</v>
      </c>
    </row>
    <row r="3145" spans="1:2" x14ac:dyDescent="0.25">
      <c r="A3145" s="1">
        <v>40221</v>
      </c>
      <c r="B3145">
        <v>1380892.08</v>
      </c>
    </row>
    <row r="3146" spans="1:2" x14ac:dyDescent="0.25">
      <c r="A3146" s="1">
        <v>40228</v>
      </c>
      <c r="B3146">
        <v>1319588.04</v>
      </c>
    </row>
    <row r="3147" spans="1:2" x14ac:dyDescent="0.25">
      <c r="A3147" s="1">
        <v>40235</v>
      </c>
      <c r="B3147">
        <v>1198709.6499999999</v>
      </c>
    </row>
    <row r="3148" spans="1:2" x14ac:dyDescent="0.25">
      <c r="A3148" s="1">
        <v>40242</v>
      </c>
      <c r="B3148">
        <v>1311175.93</v>
      </c>
    </row>
    <row r="3149" spans="1:2" x14ac:dyDescent="0.25">
      <c r="A3149" s="1">
        <v>40249</v>
      </c>
      <c r="B3149">
        <v>1408082.96</v>
      </c>
    </row>
    <row r="3150" spans="1:2" x14ac:dyDescent="0.25">
      <c r="A3150" s="1">
        <v>40256</v>
      </c>
      <c r="B3150">
        <v>1229008.32</v>
      </c>
    </row>
    <row r="3151" spans="1:2" x14ac:dyDescent="0.25">
      <c r="A3151" s="1">
        <v>40263</v>
      </c>
      <c r="B3151">
        <v>1310701.8</v>
      </c>
    </row>
    <row r="3152" spans="1:2" x14ac:dyDescent="0.25">
      <c r="A3152" s="1">
        <v>40270</v>
      </c>
      <c r="B3152">
        <v>1556627.62</v>
      </c>
    </row>
    <row r="3153" spans="1:2" x14ac:dyDescent="0.25">
      <c r="A3153" s="1">
        <v>40277</v>
      </c>
      <c r="B3153">
        <v>1264434.7</v>
      </c>
    </row>
    <row r="3154" spans="1:2" x14ac:dyDescent="0.25">
      <c r="A3154" s="1">
        <v>40284</v>
      </c>
      <c r="B3154">
        <v>1288823.72</v>
      </c>
    </row>
    <row r="3155" spans="1:2" x14ac:dyDescent="0.25">
      <c r="A3155" s="1">
        <v>40291</v>
      </c>
      <c r="B3155">
        <v>1315023.08</v>
      </c>
    </row>
    <row r="3156" spans="1:2" x14ac:dyDescent="0.25">
      <c r="A3156" s="1">
        <v>40298</v>
      </c>
      <c r="B3156">
        <v>1259414.52</v>
      </c>
    </row>
    <row r="3157" spans="1:2" x14ac:dyDescent="0.25">
      <c r="A3157" s="1">
        <v>40305</v>
      </c>
      <c r="B3157">
        <v>1365552.28</v>
      </c>
    </row>
    <row r="3158" spans="1:2" x14ac:dyDescent="0.25">
      <c r="A3158" s="1">
        <v>40312</v>
      </c>
      <c r="B3158">
        <v>1303055.0900000001</v>
      </c>
    </row>
    <row r="3159" spans="1:2" x14ac:dyDescent="0.25">
      <c r="A3159" s="1">
        <v>40319</v>
      </c>
      <c r="B3159">
        <v>1327424.28</v>
      </c>
    </row>
    <row r="3160" spans="1:2" x14ac:dyDescent="0.25">
      <c r="A3160" s="1">
        <v>40326</v>
      </c>
      <c r="B3160">
        <v>1571158.56</v>
      </c>
    </row>
    <row r="3161" spans="1:2" x14ac:dyDescent="0.25">
      <c r="A3161" s="1">
        <v>40333</v>
      </c>
      <c r="B3161">
        <v>1514435.51</v>
      </c>
    </row>
    <row r="3162" spans="1:2" x14ac:dyDescent="0.25">
      <c r="A3162" s="1">
        <v>40340</v>
      </c>
      <c r="B3162">
        <v>1439432.06</v>
      </c>
    </row>
    <row r="3163" spans="1:2" x14ac:dyDescent="0.25">
      <c r="A3163" s="1">
        <v>40347</v>
      </c>
      <c r="B3163">
        <v>1507708.93</v>
      </c>
    </row>
    <row r="3164" spans="1:2" x14ac:dyDescent="0.25">
      <c r="A3164" s="1">
        <v>40354</v>
      </c>
      <c r="B3164">
        <v>1415204.88</v>
      </c>
    </row>
    <row r="3165" spans="1:2" x14ac:dyDescent="0.25">
      <c r="A3165" s="1">
        <v>40361</v>
      </c>
      <c r="B3165">
        <v>1549113.18</v>
      </c>
    </row>
    <row r="3166" spans="1:2" x14ac:dyDescent="0.25">
      <c r="A3166" s="1">
        <v>40368</v>
      </c>
      <c r="B3166">
        <v>1417535.78</v>
      </c>
    </row>
    <row r="3167" spans="1:2" x14ac:dyDescent="0.25">
      <c r="A3167" s="1">
        <v>40375</v>
      </c>
      <c r="B3167">
        <v>1413124.11</v>
      </c>
    </row>
    <row r="3168" spans="1:2" x14ac:dyDescent="0.25">
      <c r="A3168" s="1">
        <v>40382</v>
      </c>
      <c r="B3168">
        <v>1333634.45</v>
      </c>
    </row>
    <row r="3169" spans="1:2" x14ac:dyDescent="0.25">
      <c r="A3169" s="1">
        <v>40389</v>
      </c>
      <c r="B3169">
        <v>1319773.55</v>
      </c>
    </row>
    <row r="3170" spans="1:2" x14ac:dyDescent="0.25">
      <c r="A3170" s="1">
        <v>40396</v>
      </c>
      <c r="B3170">
        <v>1417013.07</v>
      </c>
    </row>
    <row r="3171" spans="1:2" x14ac:dyDescent="0.25">
      <c r="A3171" s="1">
        <v>40403</v>
      </c>
      <c r="B3171">
        <v>1346345.97</v>
      </c>
    </row>
    <row r="3172" spans="1:2" x14ac:dyDescent="0.25">
      <c r="A3172" s="1">
        <v>40410</v>
      </c>
      <c r="B3172">
        <v>1439901.05</v>
      </c>
    </row>
    <row r="3173" spans="1:2" x14ac:dyDescent="0.25">
      <c r="A3173" s="1">
        <v>40417</v>
      </c>
      <c r="B3173">
        <v>1584623.36</v>
      </c>
    </row>
    <row r="3174" spans="1:2" x14ac:dyDescent="0.25">
      <c r="A3174" s="1">
        <v>40424</v>
      </c>
      <c r="B3174">
        <v>1405119.23</v>
      </c>
    </row>
    <row r="3175" spans="1:2" x14ac:dyDescent="0.25">
      <c r="A3175" s="1">
        <v>40431</v>
      </c>
      <c r="B3175">
        <v>1272842.8500000001</v>
      </c>
    </row>
    <row r="3176" spans="1:2" x14ac:dyDescent="0.25">
      <c r="A3176" s="1">
        <v>40438</v>
      </c>
      <c r="B3176">
        <v>1159132.58</v>
      </c>
    </row>
    <row r="3177" spans="1:2" x14ac:dyDescent="0.25">
      <c r="A3177" s="1">
        <v>40445</v>
      </c>
      <c r="B3177">
        <v>1099055.6499999999</v>
      </c>
    </row>
    <row r="3178" spans="1:2" x14ac:dyDescent="0.25">
      <c r="A3178" s="1">
        <v>40452</v>
      </c>
      <c r="B3178">
        <v>1129909.44</v>
      </c>
    </row>
    <row r="3179" spans="1:2" x14ac:dyDescent="0.25">
      <c r="A3179" s="1">
        <v>40459</v>
      </c>
      <c r="B3179">
        <v>1179851.68</v>
      </c>
    </row>
    <row r="3180" spans="1:2" x14ac:dyDescent="0.25">
      <c r="A3180" s="1">
        <v>40466</v>
      </c>
      <c r="B3180">
        <v>1119809.71</v>
      </c>
    </row>
    <row r="3181" spans="1:2" x14ac:dyDescent="0.25">
      <c r="A3181" s="1">
        <v>40473</v>
      </c>
      <c r="B3181">
        <v>1147503.92</v>
      </c>
    </row>
    <row r="3182" spans="1:2" x14ac:dyDescent="0.25">
      <c r="A3182" s="1">
        <v>40480</v>
      </c>
      <c r="B3182">
        <v>1112871.23</v>
      </c>
    </row>
    <row r="3183" spans="1:2" x14ac:dyDescent="0.25">
      <c r="A3183" s="1">
        <v>40487</v>
      </c>
      <c r="B3183">
        <v>1203119.96</v>
      </c>
    </row>
    <row r="3184" spans="1:2" x14ac:dyDescent="0.25">
      <c r="A3184" s="1">
        <v>40494</v>
      </c>
      <c r="B3184">
        <v>1387953.75</v>
      </c>
    </row>
    <row r="3185" spans="1:2" x14ac:dyDescent="0.25">
      <c r="A3185" s="1">
        <v>40501</v>
      </c>
      <c r="B3185">
        <v>1314994.32</v>
      </c>
    </row>
    <row r="3186" spans="1:2" x14ac:dyDescent="0.25">
      <c r="A3186" s="1">
        <v>40508</v>
      </c>
      <c r="B3186">
        <v>2072685.05</v>
      </c>
    </row>
    <row r="3187" spans="1:2" x14ac:dyDescent="0.25">
      <c r="A3187" s="1">
        <v>40515</v>
      </c>
      <c r="B3187">
        <v>1617025.41</v>
      </c>
    </row>
    <row r="3188" spans="1:2" x14ac:dyDescent="0.25">
      <c r="A3188" s="1">
        <v>40522</v>
      </c>
      <c r="B3188">
        <v>1872365.99</v>
      </c>
    </row>
    <row r="3189" spans="1:2" x14ac:dyDescent="0.25">
      <c r="A3189" s="1">
        <v>40529</v>
      </c>
      <c r="B3189">
        <v>2238573.48</v>
      </c>
    </row>
    <row r="3190" spans="1:2" x14ac:dyDescent="0.25">
      <c r="A3190" s="1">
        <v>40536</v>
      </c>
      <c r="B3190">
        <v>2734277.1</v>
      </c>
    </row>
    <row r="3191" spans="1:2" x14ac:dyDescent="0.25">
      <c r="A3191" s="1">
        <v>40543</v>
      </c>
      <c r="B3191">
        <v>1169773.8500000001</v>
      </c>
    </row>
    <row r="3192" spans="1:2" x14ac:dyDescent="0.25">
      <c r="A3192" s="1">
        <v>40550</v>
      </c>
      <c r="B3192">
        <v>1122034.48</v>
      </c>
    </row>
    <row r="3193" spans="1:2" x14ac:dyDescent="0.25">
      <c r="A3193" s="1">
        <v>40557</v>
      </c>
      <c r="B3193">
        <v>1016756.1</v>
      </c>
    </row>
    <row r="3194" spans="1:2" x14ac:dyDescent="0.25">
      <c r="A3194" s="1">
        <v>40564</v>
      </c>
      <c r="B3194">
        <v>1110706.06</v>
      </c>
    </row>
    <row r="3195" spans="1:2" x14ac:dyDescent="0.25">
      <c r="A3195" s="1">
        <v>40571</v>
      </c>
      <c r="B3195">
        <v>1083657.6100000001</v>
      </c>
    </row>
    <row r="3196" spans="1:2" x14ac:dyDescent="0.25">
      <c r="A3196" s="1">
        <v>40578</v>
      </c>
      <c r="B3196">
        <v>1159438.53</v>
      </c>
    </row>
    <row r="3197" spans="1:2" x14ac:dyDescent="0.25">
      <c r="A3197" s="1">
        <v>40585</v>
      </c>
      <c r="B3197">
        <v>1249786.3999999999</v>
      </c>
    </row>
    <row r="3198" spans="1:2" x14ac:dyDescent="0.25">
      <c r="A3198" s="1">
        <v>40592</v>
      </c>
      <c r="B3198">
        <v>1369971.57</v>
      </c>
    </row>
    <row r="3199" spans="1:2" x14ac:dyDescent="0.25">
      <c r="A3199" s="1">
        <v>40599</v>
      </c>
      <c r="B3199">
        <v>1206917.2</v>
      </c>
    </row>
    <row r="3200" spans="1:2" x14ac:dyDescent="0.25">
      <c r="A3200" s="1">
        <v>40606</v>
      </c>
      <c r="B3200">
        <v>1301185.28</v>
      </c>
    </row>
    <row r="3201" spans="1:2" x14ac:dyDescent="0.25">
      <c r="A3201" s="1">
        <v>40613</v>
      </c>
      <c r="B3201">
        <v>1042043.55</v>
      </c>
    </row>
    <row r="3202" spans="1:2" x14ac:dyDescent="0.25">
      <c r="A3202" s="1">
        <v>40620</v>
      </c>
      <c r="B3202">
        <v>1203682.6200000001</v>
      </c>
    </row>
    <row r="3203" spans="1:2" x14ac:dyDescent="0.25">
      <c r="A3203" s="1">
        <v>40627</v>
      </c>
      <c r="B3203">
        <v>1148624.83</v>
      </c>
    </row>
    <row r="3204" spans="1:2" x14ac:dyDescent="0.25">
      <c r="A3204" s="1">
        <v>40634</v>
      </c>
      <c r="B3204">
        <v>1182694.95</v>
      </c>
    </row>
    <row r="3205" spans="1:2" x14ac:dyDescent="0.25">
      <c r="A3205" s="1">
        <v>40641</v>
      </c>
      <c r="B3205">
        <v>1248901.98</v>
      </c>
    </row>
    <row r="3206" spans="1:2" x14ac:dyDescent="0.25">
      <c r="A3206" s="1">
        <v>40648</v>
      </c>
      <c r="B3206">
        <v>1263680.51</v>
      </c>
    </row>
    <row r="3207" spans="1:2" x14ac:dyDescent="0.25">
      <c r="A3207" s="1">
        <v>40655</v>
      </c>
      <c r="B3207">
        <v>1447301.24</v>
      </c>
    </row>
    <row r="3208" spans="1:2" x14ac:dyDescent="0.25">
      <c r="A3208" s="1">
        <v>40662</v>
      </c>
      <c r="B3208">
        <v>1173307.3999999999</v>
      </c>
    </row>
    <row r="3209" spans="1:2" x14ac:dyDescent="0.25">
      <c r="A3209" s="1">
        <v>40669</v>
      </c>
      <c r="B3209">
        <v>1359921.13</v>
      </c>
    </row>
    <row r="3210" spans="1:2" x14ac:dyDescent="0.25">
      <c r="A3210" s="1">
        <v>40676</v>
      </c>
      <c r="B3210">
        <v>1254914.8700000001</v>
      </c>
    </row>
    <row r="3211" spans="1:2" x14ac:dyDescent="0.25">
      <c r="A3211" s="1">
        <v>40683</v>
      </c>
      <c r="B3211">
        <v>1337617.55</v>
      </c>
    </row>
    <row r="3212" spans="1:2" x14ac:dyDescent="0.25">
      <c r="A3212" s="1">
        <v>40690</v>
      </c>
      <c r="B3212">
        <v>1361945.18</v>
      </c>
    </row>
    <row r="3213" spans="1:2" x14ac:dyDescent="0.25">
      <c r="A3213" s="1">
        <v>40697</v>
      </c>
      <c r="B3213">
        <v>1562161.97</v>
      </c>
    </row>
    <row r="3214" spans="1:2" x14ac:dyDescent="0.25">
      <c r="A3214" s="1">
        <v>40704</v>
      </c>
      <c r="B3214">
        <v>1447028.06</v>
      </c>
    </row>
    <row r="3215" spans="1:2" x14ac:dyDescent="0.25">
      <c r="A3215" s="1">
        <v>40711</v>
      </c>
      <c r="B3215">
        <v>1470520.83</v>
      </c>
    </row>
    <row r="3216" spans="1:2" x14ac:dyDescent="0.25">
      <c r="A3216" s="1">
        <v>40718</v>
      </c>
      <c r="B3216">
        <v>1434036.18</v>
      </c>
    </row>
    <row r="3217" spans="1:2" x14ac:dyDescent="0.25">
      <c r="A3217" s="1">
        <v>40725</v>
      </c>
      <c r="B3217">
        <v>1492507.44</v>
      </c>
    </row>
    <row r="3218" spans="1:2" x14ac:dyDescent="0.25">
      <c r="A3218" s="1">
        <v>40732</v>
      </c>
      <c r="B3218">
        <v>1379488.05</v>
      </c>
    </row>
    <row r="3219" spans="1:2" x14ac:dyDescent="0.25">
      <c r="A3219" s="1">
        <v>40739</v>
      </c>
      <c r="B3219">
        <v>1360520.56</v>
      </c>
    </row>
    <row r="3220" spans="1:2" x14ac:dyDescent="0.25">
      <c r="A3220" s="1">
        <v>40746</v>
      </c>
      <c r="B3220">
        <v>1362144</v>
      </c>
    </row>
    <row r="3221" spans="1:2" x14ac:dyDescent="0.25">
      <c r="A3221" s="1">
        <v>40753</v>
      </c>
      <c r="B3221">
        <v>1319767.55</v>
      </c>
    </row>
    <row r="3222" spans="1:2" x14ac:dyDescent="0.25">
      <c r="A3222" s="1">
        <v>40760</v>
      </c>
      <c r="B3222">
        <v>1416344.68</v>
      </c>
    </row>
    <row r="3223" spans="1:2" x14ac:dyDescent="0.25">
      <c r="A3223" s="1">
        <v>40767</v>
      </c>
      <c r="B3223">
        <v>1380952.05</v>
      </c>
    </row>
    <row r="3224" spans="1:2" x14ac:dyDescent="0.25">
      <c r="A3224" s="1">
        <v>40774</v>
      </c>
      <c r="B3224">
        <v>1453416.53</v>
      </c>
    </row>
    <row r="3225" spans="1:2" x14ac:dyDescent="0.25">
      <c r="A3225" s="1">
        <v>40781</v>
      </c>
      <c r="B3225">
        <v>1637266.29</v>
      </c>
    </row>
    <row r="3226" spans="1:2" x14ac:dyDescent="0.25">
      <c r="A3226" s="1">
        <v>40788</v>
      </c>
      <c r="B3226">
        <v>1464295.69</v>
      </c>
    </row>
    <row r="3227" spans="1:2" x14ac:dyDescent="0.25">
      <c r="A3227" s="1">
        <v>40795</v>
      </c>
      <c r="B3227">
        <v>1423289.9</v>
      </c>
    </row>
    <row r="3228" spans="1:2" x14ac:dyDescent="0.25">
      <c r="A3228" s="1">
        <v>40802</v>
      </c>
      <c r="B3228">
        <v>1253329.17</v>
      </c>
    </row>
    <row r="3229" spans="1:2" x14ac:dyDescent="0.25">
      <c r="A3229" s="1">
        <v>40809</v>
      </c>
      <c r="B3229">
        <v>1289082.81</v>
      </c>
    </row>
    <row r="3230" spans="1:2" x14ac:dyDescent="0.25">
      <c r="A3230" s="1">
        <v>40816</v>
      </c>
      <c r="B3230">
        <v>1275597.8500000001</v>
      </c>
    </row>
    <row r="3231" spans="1:2" x14ac:dyDescent="0.25">
      <c r="A3231" s="1">
        <v>40823</v>
      </c>
      <c r="B3231">
        <v>1463501.99</v>
      </c>
    </row>
    <row r="3232" spans="1:2" x14ac:dyDescent="0.25">
      <c r="A3232" s="1">
        <v>40830</v>
      </c>
      <c r="B3232">
        <v>1257778.3400000001</v>
      </c>
    </row>
    <row r="3233" spans="1:2" x14ac:dyDescent="0.25">
      <c r="A3233" s="1">
        <v>40837</v>
      </c>
      <c r="B3233">
        <v>1441032.59</v>
      </c>
    </row>
    <row r="3234" spans="1:2" x14ac:dyDescent="0.25">
      <c r="A3234" s="1">
        <v>40844</v>
      </c>
      <c r="B3234">
        <v>1407191.96</v>
      </c>
    </row>
    <row r="3235" spans="1:2" x14ac:dyDescent="0.25">
      <c r="A3235" s="1">
        <v>40851</v>
      </c>
      <c r="B3235">
        <v>1428436.33</v>
      </c>
    </row>
    <row r="3236" spans="1:2" x14ac:dyDescent="0.25">
      <c r="A3236" s="1">
        <v>40858</v>
      </c>
      <c r="B3236">
        <v>1436940.78</v>
      </c>
    </row>
    <row r="3237" spans="1:2" x14ac:dyDescent="0.25">
      <c r="A3237" s="1">
        <v>40865</v>
      </c>
      <c r="B3237">
        <v>1345631.96</v>
      </c>
    </row>
    <row r="3238" spans="1:2" x14ac:dyDescent="0.25">
      <c r="A3238" s="1">
        <v>40872</v>
      </c>
      <c r="B3238">
        <v>2057059.53</v>
      </c>
    </row>
    <row r="3239" spans="1:2" x14ac:dyDescent="0.25">
      <c r="A3239" s="1">
        <v>40879</v>
      </c>
      <c r="B3239">
        <v>1552886.59</v>
      </c>
    </row>
    <row r="3240" spans="1:2" x14ac:dyDescent="0.25">
      <c r="A3240" s="1">
        <v>40886</v>
      </c>
      <c r="B3240">
        <v>1841173.6</v>
      </c>
    </row>
    <row r="3241" spans="1:2" x14ac:dyDescent="0.25">
      <c r="A3241" s="1">
        <v>40893</v>
      </c>
      <c r="B3241">
        <v>2173621.2000000002</v>
      </c>
    </row>
    <row r="3242" spans="1:2" x14ac:dyDescent="0.25">
      <c r="A3242" s="1">
        <v>40900</v>
      </c>
      <c r="B3242">
        <v>2587953.3199999998</v>
      </c>
    </row>
    <row r="3243" spans="1:2" x14ac:dyDescent="0.25">
      <c r="A3243" s="1">
        <v>40907</v>
      </c>
      <c r="B3243">
        <v>1213486.95</v>
      </c>
    </row>
    <row r="3244" spans="1:2" x14ac:dyDescent="0.25">
      <c r="A3244" s="1">
        <v>40914</v>
      </c>
      <c r="B3244">
        <v>1150662.55</v>
      </c>
    </row>
    <row r="3245" spans="1:2" x14ac:dyDescent="0.25">
      <c r="A3245" s="1">
        <v>40921</v>
      </c>
      <c r="B3245">
        <v>1031451.35</v>
      </c>
    </row>
    <row r="3246" spans="1:2" x14ac:dyDescent="0.25">
      <c r="A3246" s="1">
        <v>40928</v>
      </c>
      <c r="B3246">
        <v>1146992.1299999999</v>
      </c>
    </row>
    <row r="3247" spans="1:2" x14ac:dyDescent="0.25">
      <c r="A3247" s="1">
        <v>40935</v>
      </c>
      <c r="B3247">
        <v>1037476.38</v>
      </c>
    </row>
    <row r="3248" spans="1:2" x14ac:dyDescent="0.25">
      <c r="A3248" s="1">
        <v>40942</v>
      </c>
      <c r="B3248">
        <v>1261872.67</v>
      </c>
    </row>
    <row r="3249" spans="1:2" x14ac:dyDescent="0.25">
      <c r="A3249" s="1">
        <v>40949</v>
      </c>
      <c r="B3249">
        <v>1358444.07</v>
      </c>
    </row>
    <row r="3250" spans="1:2" x14ac:dyDescent="0.25">
      <c r="A3250" s="1">
        <v>40956</v>
      </c>
      <c r="B3250">
        <v>1365546.69</v>
      </c>
    </row>
    <row r="3251" spans="1:2" x14ac:dyDescent="0.25">
      <c r="A3251" s="1">
        <v>40963</v>
      </c>
      <c r="B3251">
        <v>1272948.27</v>
      </c>
    </row>
    <row r="3252" spans="1:2" x14ac:dyDescent="0.25">
      <c r="A3252" s="1">
        <v>40970</v>
      </c>
      <c r="B3252">
        <v>1322852.2</v>
      </c>
    </row>
    <row r="3253" spans="1:2" x14ac:dyDescent="0.25">
      <c r="A3253" s="1">
        <v>40977</v>
      </c>
      <c r="B3253">
        <v>1292724.8999999999</v>
      </c>
    </row>
    <row r="3254" spans="1:2" x14ac:dyDescent="0.25">
      <c r="A3254" s="1">
        <v>40984</v>
      </c>
      <c r="B3254">
        <v>1258364.31</v>
      </c>
    </row>
    <row r="3255" spans="1:2" x14ac:dyDescent="0.25">
      <c r="A3255" s="1">
        <v>40991</v>
      </c>
      <c r="B3255">
        <v>1288154.1000000001</v>
      </c>
    </row>
    <row r="3256" spans="1:2" x14ac:dyDescent="0.25">
      <c r="A3256" s="1">
        <v>40998</v>
      </c>
      <c r="B3256">
        <v>1261964.96</v>
      </c>
    </row>
    <row r="3257" spans="1:2" x14ac:dyDescent="0.25">
      <c r="A3257" s="1">
        <v>41005</v>
      </c>
      <c r="B3257">
        <v>1604605.69</v>
      </c>
    </row>
    <row r="3258" spans="1:2" x14ac:dyDescent="0.25">
      <c r="A3258" s="1">
        <v>41012</v>
      </c>
      <c r="B3258">
        <v>1231752.54</v>
      </c>
    </row>
    <row r="3259" spans="1:2" x14ac:dyDescent="0.25">
      <c r="A3259" s="1">
        <v>41019</v>
      </c>
      <c r="B3259">
        <v>1287899.4099999999</v>
      </c>
    </row>
    <row r="3260" spans="1:2" x14ac:dyDescent="0.25">
      <c r="A3260" s="1">
        <v>41026</v>
      </c>
      <c r="B3260">
        <v>1277758.76</v>
      </c>
    </row>
    <row r="3261" spans="1:2" x14ac:dyDescent="0.25">
      <c r="A3261" s="1">
        <v>41033</v>
      </c>
      <c r="B3261">
        <v>1317379.68</v>
      </c>
    </row>
    <row r="3262" spans="1:2" x14ac:dyDescent="0.25">
      <c r="A3262" s="1">
        <v>41040</v>
      </c>
      <c r="B3262">
        <v>1321914.3400000001</v>
      </c>
    </row>
    <row r="3263" spans="1:2" x14ac:dyDescent="0.25">
      <c r="A3263" s="1">
        <v>41047</v>
      </c>
      <c r="B3263">
        <v>1332952.47</v>
      </c>
    </row>
    <row r="3264" spans="1:2" x14ac:dyDescent="0.25">
      <c r="A3264" s="1">
        <v>41054</v>
      </c>
      <c r="B3264">
        <v>1552934.64</v>
      </c>
    </row>
    <row r="3265" spans="1:2" x14ac:dyDescent="0.25">
      <c r="A3265" s="1">
        <v>41061</v>
      </c>
      <c r="B3265">
        <v>1476144.34</v>
      </c>
    </row>
    <row r="3266" spans="1:2" x14ac:dyDescent="0.25">
      <c r="A3266" s="1">
        <v>41068</v>
      </c>
      <c r="B3266">
        <v>1568048.54</v>
      </c>
    </row>
    <row r="3267" spans="1:2" x14ac:dyDescent="0.25">
      <c r="A3267" s="1">
        <v>41075</v>
      </c>
      <c r="B3267">
        <v>1543667.68</v>
      </c>
    </row>
    <row r="3268" spans="1:2" x14ac:dyDescent="0.25">
      <c r="A3268" s="1">
        <v>41082</v>
      </c>
      <c r="B3268">
        <v>1522042.57</v>
      </c>
    </row>
    <row r="3269" spans="1:2" x14ac:dyDescent="0.25">
      <c r="A3269" s="1">
        <v>41089</v>
      </c>
      <c r="B3269">
        <v>1451782.16</v>
      </c>
    </row>
    <row r="3270" spans="1:2" x14ac:dyDescent="0.25">
      <c r="A3270" s="1">
        <v>41096</v>
      </c>
      <c r="B3270">
        <v>1545370.16</v>
      </c>
    </row>
    <row r="3271" spans="1:2" x14ac:dyDescent="0.25">
      <c r="A3271" s="1">
        <v>41103</v>
      </c>
      <c r="B3271">
        <v>1384921.63</v>
      </c>
    </row>
    <row r="3272" spans="1:2" x14ac:dyDescent="0.25">
      <c r="A3272" s="1">
        <v>41110</v>
      </c>
      <c r="B3272">
        <v>1381339.23</v>
      </c>
    </row>
    <row r="3273" spans="1:2" x14ac:dyDescent="0.25">
      <c r="A3273" s="1">
        <v>41117</v>
      </c>
      <c r="B3273">
        <v>1322932.3600000001</v>
      </c>
    </row>
    <row r="3274" spans="1:2" x14ac:dyDescent="0.25">
      <c r="A3274" s="1">
        <v>41124</v>
      </c>
      <c r="B3274">
        <v>1416926.31</v>
      </c>
    </row>
    <row r="3275" spans="1:2" x14ac:dyDescent="0.25">
      <c r="A3275" s="1">
        <v>41131</v>
      </c>
      <c r="B3275">
        <v>1436311.76</v>
      </c>
    </row>
    <row r="3276" spans="1:2" x14ac:dyDescent="0.25">
      <c r="A3276" s="1">
        <v>41138</v>
      </c>
      <c r="B3276">
        <v>1510131.45</v>
      </c>
    </row>
    <row r="3277" spans="1:2" x14ac:dyDescent="0.25">
      <c r="A3277" s="1">
        <v>41145</v>
      </c>
      <c r="B3277">
        <v>1702220.96</v>
      </c>
    </row>
    <row r="3278" spans="1:2" x14ac:dyDescent="0.25">
      <c r="A3278" s="1">
        <v>41152</v>
      </c>
      <c r="B3278">
        <v>1577468.78</v>
      </c>
    </row>
    <row r="3279" spans="1:2" x14ac:dyDescent="0.25">
      <c r="A3279" s="1">
        <v>41159</v>
      </c>
      <c r="B3279">
        <v>1427162.26</v>
      </c>
    </row>
    <row r="3280" spans="1:2" x14ac:dyDescent="0.25">
      <c r="A3280" s="1">
        <v>41166</v>
      </c>
      <c r="B3280">
        <v>1279041.6399999999</v>
      </c>
    </row>
    <row r="3281" spans="1:2" x14ac:dyDescent="0.25">
      <c r="A3281" s="1">
        <v>41173</v>
      </c>
      <c r="B3281">
        <v>1338627.55</v>
      </c>
    </row>
    <row r="3282" spans="1:2" x14ac:dyDescent="0.25">
      <c r="A3282" s="1">
        <v>41180</v>
      </c>
      <c r="B3282">
        <v>1319035.06</v>
      </c>
    </row>
    <row r="3283" spans="1:2" x14ac:dyDescent="0.25">
      <c r="A3283" s="1">
        <v>41187</v>
      </c>
      <c r="B3283">
        <v>1464616.59</v>
      </c>
    </row>
    <row r="3284" spans="1:2" x14ac:dyDescent="0.25">
      <c r="A3284" s="1">
        <v>41194</v>
      </c>
      <c r="B3284">
        <v>1412925.25</v>
      </c>
    </row>
    <row r="3285" spans="1:2" x14ac:dyDescent="0.25">
      <c r="A3285" s="1">
        <v>41201</v>
      </c>
      <c r="B3285">
        <v>1363155.77</v>
      </c>
    </row>
    <row r="3286" spans="1:2" x14ac:dyDescent="0.25">
      <c r="A3286" s="1">
        <v>41208</v>
      </c>
      <c r="B3286">
        <v>1347454.59</v>
      </c>
    </row>
    <row r="3287" spans="1:2" x14ac:dyDescent="0.25">
      <c r="A3287" s="1">
        <v>40214</v>
      </c>
      <c r="B3287">
        <v>1388725.63</v>
      </c>
    </row>
    <row r="3288" spans="1:2" x14ac:dyDescent="0.25">
      <c r="A3288" s="1">
        <v>40221</v>
      </c>
      <c r="B3288">
        <v>1414107.1</v>
      </c>
    </row>
    <row r="3289" spans="1:2" x14ac:dyDescent="0.25">
      <c r="A3289" s="1">
        <v>40228</v>
      </c>
      <c r="B3289">
        <v>1385362.49</v>
      </c>
    </row>
    <row r="3290" spans="1:2" x14ac:dyDescent="0.25">
      <c r="A3290" s="1">
        <v>40235</v>
      </c>
      <c r="B3290">
        <v>1158722.74</v>
      </c>
    </row>
    <row r="3291" spans="1:2" x14ac:dyDescent="0.25">
      <c r="A3291" s="1">
        <v>40242</v>
      </c>
      <c r="B3291">
        <v>1412387.37</v>
      </c>
    </row>
    <row r="3292" spans="1:2" x14ac:dyDescent="0.25">
      <c r="A3292" s="1">
        <v>40249</v>
      </c>
      <c r="B3292">
        <v>1309340.1599999999</v>
      </c>
    </row>
    <row r="3293" spans="1:2" x14ac:dyDescent="0.25">
      <c r="A3293" s="1">
        <v>40256</v>
      </c>
      <c r="B3293">
        <v>1222511.29</v>
      </c>
    </row>
    <row r="3294" spans="1:2" x14ac:dyDescent="0.25">
      <c r="A3294" s="1">
        <v>40263</v>
      </c>
      <c r="B3294">
        <v>1258311.56</v>
      </c>
    </row>
    <row r="3295" spans="1:2" x14ac:dyDescent="0.25">
      <c r="A3295" s="1">
        <v>40270</v>
      </c>
      <c r="B3295">
        <v>1478321.26</v>
      </c>
    </row>
    <row r="3296" spans="1:2" x14ac:dyDescent="0.25">
      <c r="A3296" s="1">
        <v>40277</v>
      </c>
      <c r="B3296">
        <v>1379579.63</v>
      </c>
    </row>
    <row r="3297" spans="1:2" x14ac:dyDescent="0.25">
      <c r="A3297" s="1">
        <v>40284</v>
      </c>
      <c r="B3297">
        <v>1268266.72</v>
      </c>
    </row>
    <row r="3298" spans="1:2" x14ac:dyDescent="0.25">
      <c r="A3298" s="1">
        <v>40291</v>
      </c>
      <c r="B3298">
        <v>1264117.01</v>
      </c>
    </row>
    <row r="3299" spans="1:2" x14ac:dyDescent="0.25">
      <c r="A3299" s="1">
        <v>40298</v>
      </c>
      <c r="B3299">
        <v>1259877.19</v>
      </c>
    </row>
    <row r="3300" spans="1:2" x14ac:dyDescent="0.25">
      <c r="A3300" s="1">
        <v>40305</v>
      </c>
      <c r="B3300">
        <v>1409705.03</v>
      </c>
    </row>
    <row r="3301" spans="1:2" x14ac:dyDescent="0.25">
      <c r="A3301" s="1">
        <v>40312</v>
      </c>
      <c r="B3301">
        <v>1346783.35</v>
      </c>
    </row>
    <row r="3302" spans="1:2" x14ac:dyDescent="0.25">
      <c r="A3302" s="1">
        <v>40319</v>
      </c>
      <c r="B3302">
        <v>1283482.8500000001</v>
      </c>
    </row>
    <row r="3303" spans="1:2" x14ac:dyDescent="0.25">
      <c r="A3303" s="1">
        <v>40326</v>
      </c>
      <c r="B3303">
        <v>1473868.15</v>
      </c>
    </row>
    <row r="3304" spans="1:2" x14ac:dyDescent="0.25">
      <c r="A3304" s="1">
        <v>40333</v>
      </c>
      <c r="B3304">
        <v>1566668.91</v>
      </c>
    </row>
    <row r="3305" spans="1:2" x14ac:dyDescent="0.25">
      <c r="A3305" s="1">
        <v>40340</v>
      </c>
      <c r="B3305">
        <v>1375458.21</v>
      </c>
    </row>
    <row r="3306" spans="1:2" x14ac:dyDescent="0.25">
      <c r="A3306" s="1">
        <v>40347</v>
      </c>
      <c r="B3306">
        <v>1354168.18</v>
      </c>
    </row>
    <row r="3307" spans="1:2" x14ac:dyDescent="0.25">
      <c r="A3307" s="1">
        <v>40354</v>
      </c>
      <c r="B3307">
        <v>1399073.75</v>
      </c>
    </row>
    <row r="3308" spans="1:2" x14ac:dyDescent="0.25">
      <c r="A3308" s="1">
        <v>40361</v>
      </c>
      <c r="B3308">
        <v>1563387.94</v>
      </c>
    </row>
    <row r="3309" spans="1:2" x14ac:dyDescent="0.25">
      <c r="A3309" s="1">
        <v>40368</v>
      </c>
      <c r="B3309">
        <v>1665502.55</v>
      </c>
    </row>
    <row r="3310" spans="1:2" x14ac:dyDescent="0.25">
      <c r="A3310" s="1">
        <v>40375</v>
      </c>
      <c r="B3310">
        <v>1418697.05</v>
      </c>
    </row>
    <row r="3311" spans="1:2" x14ac:dyDescent="0.25">
      <c r="A3311" s="1">
        <v>40382</v>
      </c>
      <c r="B3311">
        <v>1333740.3500000001</v>
      </c>
    </row>
    <row r="3312" spans="1:2" x14ac:dyDescent="0.25">
      <c r="A3312" s="1">
        <v>40389</v>
      </c>
      <c r="B3312">
        <v>1387517.63</v>
      </c>
    </row>
    <row r="3313" spans="1:2" x14ac:dyDescent="0.25">
      <c r="A3313" s="1">
        <v>40396</v>
      </c>
      <c r="B3313">
        <v>1442819.28</v>
      </c>
    </row>
    <row r="3314" spans="1:2" x14ac:dyDescent="0.25">
      <c r="A3314" s="1">
        <v>40403</v>
      </c>
      <c r="B3314">
        <v>1384243.75</v>
      </c>
    </row>
    <row r="3315" spans="1:2" x14ac:dyDescent="0.25">
      <c r="A3315" s="1">
        <v>40410</v>
      </c>
      <c r="B3315">
        <v>1375307.54</v>
      </c>
    </row>
    <row r="3316" spans="1:2" x14ac:dyDescent="0.25">
      <c r="A3316" s="1">
        <v>40417</v>
      </c>
      <c r="B3316">
        <v>1350059.35</v>
      </c>
    </row>
    <row r="3317" spans="1:2" x14ac:dyDescent="0.25">
      <c r="A3317" s="1">
        <v>40424</v>
      </c>
      <c r="B3317">
        <v>1366381.6</v>
      </c>
    </row>
    <row r="3318" spans="1:2" x14ac:dyDescent="0.25">
      <c r="A3318" s="1">
        <v>40431</v>
      </c>
      <c r="B3318">
        <v>1474498.59</v>
      </c>
    </row>
    <row r="3319" spans="1:2" x14ac:dyDescent="0.25">
      <c r="A3319" s="1">
        <v>40438</v>
      </c>
      <c r="B3319">
        <v>1273295.46</v>
      </c>
    </row>
    <row r="3320" spans="1:2" x14ac:dyDescent="0.25">
      <c r="A3320" s="1">
        <v>40445</v>
      </c>
      <c r="B3320">
        <v>1169413.27</v>
      </c>
    </row>
    <row r="3321" spans="1:2" x14ac:dyDescent="0.25">
      <c r="A3321" s="1">
        <v>40452</v>
      </c>
      <c r="B3321">
        <v>1215273.2</v>
      </c>
    </row>
    <row r="3322" spans="1:2" x14ac:dyDescent="0.25">
      <c r="A3322" s="1">
        <v>40459</v>
      </c>
      <c r="B3322">
        <v>1361944.94</v>
      </c>
    </row>
    <row r="3323" spans="1:2" x14ac:dyDescent="0.25">
      <c r="A3323" s="1">
        <v>40466</v>
      </c>
      <c r="B3323">
        <v>1300806.74</v>
      </c>
    </row>
    <row r="3324" spans="1:2" x14ac:dyDescent="0.25">
      <c r="A3324" s="1">
        <v>40473</v>
      </c>
      <c r="B3324">
        <v>1234875.33</v>
      </c>
    </row>
    <row r="3325" spans="1:2" x14ac:dyDescent="0.25">
      <c r="A3325" s="1">
        <v>40480</v>
      </c>
      <c r="B3325">
        <v>1244925.94</v>
      </c>
    </row>
    <row r="3326" spans="1:2" x14ac:dyDescent="0.25">
      <c r="A3326" s="1">
        <v>40487</v>
      </c>
      <c r="B3326">
        <v>1285358.01</v>
      </c>
    </row>
    <row r="3327" spans="1:2" x14ac:dyDescent="0.25">
      <c r="A3327" s="1">
        <v>40494</v>
      </c>
      <c r="B3327">
        <v>1312877.01</v>
      </c>
    </row>
    <row r="3328" spans="1:2" x14ac:dyDescent="0.25">
      <c r="A3328" s="1">
        <v>40501</v>
      </c>
      <c r="B3328">
        <v>1277150.6000000001</v>
      </c>
    </row>
    <row r="3329" spans="1:2" x14ac:dyDescent="0.25">
      <c r="A3329" s="1">
        <v>40508</v>
      </c>
      <c r="B3329">
        <v>1779276.51</v>
      </c>
    </row>
    <row r="3330" spans="1:2" x14ac:dyDescent="0.25">
      <c r="A3330" s="1">
        <v>40515</v>
      </c>
      <c r="B3330">
        <v>1413302.7</v>
      </c>
    </row>
    <row r="3331" spans="1:2" x14ac:dyDescent="0.25">
      <c r="A3331" s="1">
        <v>40522</v>
      </c>
      <c r="B3331">
        <v>1593012.75</v>
      </c>
    </row>
    <row r="3332" spans="1:2" x14ac:dyDescent="0.25">
      <c r="A3332" s="1">
        <v>40529</v>
      </c>
      <c r="B3332">
        <v>1663525.77</v>
      </c>
    </row>
    <row r="3333" spans="1:2" x14ac:dyDescent="0.25">
      <c r="A3333" s="1">
        <v>40536</v>
      </c>
      <c r="B3333">
        <v>2386015.75</v>
      </c>
    </row>
    <row r="3334" spans="1:2" x14ac:dyDescent="0.25">
      <c r="A3334" s="1">
        <v>40543</v>
      </c>
      <c r="B3334">
        <v>1208600.05</v>
      </c>
    </row>
    <row r="3335" spans="1:2" x14ac:dyDescent="0.25">
      <c r="A3335" s="1">
        <v>40550</v>
      </c>
      <c r="B3335">
        <v>1178641.71</v>
      </c>
    </row>
    <row r="3336" spans="1:2" x14ac:dyDescent="0.25">
      <c r="A3336" s="1">
        <v>40557</v>
      </c>
      <c r="B3336">
        <v>1167740.2</v>
      </c>
    </row>
    <row r="3337" spans="1:2" x14ac:dyDescent="0.25">
      <c r="A3337" s="1">
        <v>40564</v>
      </c>
      <c r="B3337">
        <v>1107170.3899999999</v>
      </c>
    </row>
    <row r="3338" spans="1:2" x14ac:dyDescent="0.25">
      <c r="A3338" s="1">
        <v>40571</v>
      </c>
      <c r="B3338">
        <v>1126921.3400000001</v>
      </c>
    </row>
    <row r="3339" spans="1:2" x14ac:dyDescent="0.25">
      <c r="A3339" s="1">
        <v>40578</v>
      </c>
      <c r="B3339">
        <v>1225182.04</v>
      </c>
    </row>
    <row r="3340" spans="1:2" x14ac:dyDescent="0.25">
      <c r="A3340" s="1">
        <v>40585</v>
      </c>
      <c r="B3340">
        <v>1341240.6200000001</v>
      </c>
    </row>
    <row r="3341" spans="1:2" x14ac:dyDescent="0.25">
      <c r="A3341" s="1">
        <v>40592</v>
      </c>
      <c r="B3341">
        <v>1360150.12</v>
      </c>
    </row>
    <row r="3342" spans="1:2" x14ac:dyDescent="0.25">
      <c r="A3342" s="1">
        <v>40599</v>
      </c>
      <c r="B3342">
        <v>1235121.33</v>
      </c>
    </row>
    <row r="3343" spans="1:2" x14ac:dyDescent="0.25">
      <c r="A3343" s="1">
        <v>40606</v>
      </c>
      <c r="B3343">
        <v>1346994.53</v>
      </c>
    </row>
    <row r="3344" spans="1:2" x14ac:dyDescent="0.25">
      <c r="A3344" s="1">
        <v>40613</v>
      </c>
      <c r="B3344">
        <v>1253218.7</v>
      </c>
    </row>
    <row r="3345" spans="1:2" x14ac:dyDescent="0.25">
      <c r="A3345" s="1">
        <v>40620</v>
      </c>
      <c r="B3345">
        <v>1168397.26</v>
      </c>
    </row>
    <row r="3346" spans="1:2" x14ac:dyDescent="0.25">
      <c r="A3346" s="1">
        <v>40627</v>
      </c>
      <c r="B3346">
        <v>1158693.1200000001</v>
      </c>
    </row>
    <row r="3347" spans="1:2" x14ac:dyDescent="0.25">
      <c r="A3347" s="1">
        <v>40634</v>
      </c>
      <c r="B3347">
        <v>1163803.3</v>
      </c>
    </row>
    <row r="3348" spans="1:2" x14ac:dyDescent="0.25">
      <c r="A3348" s="1">
        <v>40641</v>
      </c>
      <c r="B3348">
        <v>1273670.32</v>
      </c>
    </row>
    <row r="3349" spans="1:2" x14ac:dyDescent="0.25">
      <c r="A3349" s="1">
        <v>40648</v>
      </c>
      <c r="B3349">
        <v>1245576.6499999999</v>
      </c>
    </row>
    <row r="3350" spans="1:2" x14ac:dyDescent="0.25">
      <c r="A3350" s="1">
        <v>40655</v>
      </c>
      <c r="B3350">
        <v>1372484.9</v>
      </c>
    </row>
    <row r="3351" spans="1:2" x14ac:dyDescent="0.25">
      <c r="A3351" s="1">
        <v>40662</v>
      </c>
      <c r="B3351">
        <v>1197761.17</v>
      </c>
    </row>
    <row r="3352" spans="1:2" x14ac:dyDescent="0.25">
      <c r="A3352" s="1">
        <v>40669</v>
      </c>
      <c r="B3352">
        <v>1339630.3500000001</v>
      </c>
    </row>
    <row r="3353" spans="1:2" x14ac:dyDescent="0.25">
      <c r="A3353" s="1">
        <v>40676</v>
      </c>
      <c r="B3353">
        <v>1311950.1599999999</v>
      </c>
    </row>
    <row r="3354" spans="1:2" x14ac:dyDescent="0.25">
      <c r="A3354" s="1">
        <v>40683</v>
      </c>
      <c r="B3354">
        <v>1234281.7</v>
      </c>
    </row>
    <row r="3355" spans="1:2" x14ac:dyDescent="0.25">
      <c r="A3355" s="1">
        <v>40690</v>
      </c>
      <c r="B3355">
        <v>1311153.72</v>
      </c>
    </row>
    <row r="3356" spans="1:2" x14ac:dyDescent="0.25">
      <c r="A3356" s="1">
        <v>40697</v>
      </c>
      <c r="B3356">
        <v>1554837.62</v>
      </c>
    </row>
    <row r="3357" spans="1:2" x14ac:dyDescent="0.25">
      <c r="A3357" s="1">
        <v>40704</v>
      </c>
      <c r="B3357">
        <v>1373841.91</v>
      </c>
    </row>
    <row r="3358" spans="1:2" x14ac:dyDescent="0.25">
      <c r="A3358" s="1">
        <v>40711</v>
      </c>
      <c r="B3358">
        <v>1320359.23</v>
      </c>
    </row>
    <row r="3359" spans="1:2" x14ac:dyDescent="0.25">
      <c r="A3359" s="1">
        <v>40718</v>
      </c>
      <c r="B3359">
        <v>1304850.67</v>
      </c>
    </row>
    <row r="3360" spans="1:2" x14ac:dyDescent="0.25">
      <c r="A3360" s="1">
        <v>40725</v>
      </c>
      <c r="B3360">
        <v>1445596.61</v>
      </c>
    </row>
    <row r="3361" spans="1:2" x14ac:dyDescent="0.25">
      <c r="A3361" s="1">
        <v>40732</v>
      </c>
      <c r="B3361">
        <v>1567340.07</v>
      </c>
    </row>
    <row r="3362" spans="1:2" x14ac:dyDescent="0.25">
      <c r="A3362" s="1">
        <v>40739</v>
      </c>
      <c r="B3362">
        <v>1356938.95</v>
      </c>
    </row>
    <row r="3363" spans="1:2" x14ac:dyDescent="0.25">
      <c r="A3363" s="1">
        <v>40746</v>
      </c>
      <c r="B3363">
        <v>1357672.24</v>
      </c>
    </row>
    <row r="3364" spans="1:2" x14ac:dyDescent="0.25">
      <c r="A3364" s="1">
        <v>40753</v>
      </c>
      <c r="B3364">
        <v>1310973.06</v>
      </c>
    </row>
    <row r="3365" spans="1:2" x14ac:dyDescent="0.25">
      <c r="A3365" s="1">
        <v>40760</v>
      </c>
      <c r="B3365">
        <v>1417616.81</v>
      </c>
    </row>
    <row r="3366" spans="1:2" x14ac:dyDescent="0.25">
      <c r="A3366" s="1">
        <v>40767</v>
      </c>
      <c r="B3366">
        <v>1402818.01</v>
      </c>
    </row>
    <row r="3367" spans="1:2" x14ac:dyDescent="0.25">
      <c r="A3367" s="1">
        <v>40774</v>
      </c>
      <c r="B3367">
        <v>1352039.88</v>
      </c>
    </row>
    <row r="3368" spans="1:2" x14ac:dyDescent="0.25">
      <c r="A3368" s="1">
        <v>40781</v>
      </c>
      <c r="B3368">
        <v>1402372.09</v>
      </c>
    </row>
    <row r="3369" spans="1:2" x14ac:dyDescent="0.25">
      <c r="A3369" s="1">
        <v>40788</v>
      </c>
      <c r="B3369">
        <v>1196105.44</v>
      </c>
    </row>
    <row r="3370" spans="1:2" x14ac:dyDescent="0.25">
      <c r="A3370" s="1">
        <v>40795</v>
      </c>
      <c r="B3370">
        <v>1527455.19</v>
      </c>
    </row>
    <row r="3371" spans="1:2" x14ac:dyDescent="0.25">
      <c r="A3371" s="1">
        <v>40802</v>
      </c>
      <c r="B3371">
        <v>1227535.97</v>
      </c>
    </row>
    <row r="3372" spans="1:2" x14ac:dyDescent="0.25">
      <c r="A3372" s="1">
        <v>40809</v>
      </c>
      <c r="B3372">
        <v>1232376.49</v>
      </c>
    </row>
    <row r="3373" spans="1:2" x14ac:dyDescent="0.25">
      <c r="A3373" s="1">
        <v>40816</v>
      </c>
      <c r="B3373">
        <v>1246242.6100000001</v>
      </c>
    </row>
    <row r="3374" spans="1:2" x14ac:dyDescent="0.25">
      <c r="A3374" s="1">
        <v>40823</v>
      </c>
      <c r="B3374">
        <v>1405914.39</v>
      </c>
    </row>
    <row r="3375" spans="1:2" x14ac:dyDescent="0.25">
      <c r="A3375" s="1">
        <v>40830</v>
      </c>
      <c r="B3375">
        <v>1333315.03</v>
      </c>
    </row>
    <row r="3376" spans="1:2" x14ac:dyDescent="0.25">
      <c r="A3376" s="1">
        <v>40837</v>
      </c>
      <c r="B3376">
        <v>1283563.43</v>
      </c>
    </row>
    <row r="3377" spans="1:2" x14ac:dyDescent="0.25">
      <c r="A3377" s="1">
        <v>40844</v>
      </c>
      <c r="B3377">
        <v>1307142.75</v>
      </c>
    </row>
    <row r="3378" spans="1:2" x14ac:dyDescent="0.25">
      <c r="A3378" s="1">
        <v>40851</v>
      </c>
      <c r="B3378">
        <v>1385860.38</v>
      </c>
    </row>
    <row r="3379" spans="1:2" x14ac:dyDescent="0.25">
      <c r="A3379" s="1">
        <v>40858</v>
      </c>
      <c r="B3379">
        <v>1425078.59</v>
      </c>
    </row>
    <row r="3380" spans="1:2" x14ac:dyDescent="0.25">
      <c r="A3380" s="1">
        <v>40865</v>
      </c>
      <c r="B3380">
        <v>1297535.69</v>
      </c>
    </row>
    <row r="3381" spans="1:2" x14ac:dyDescent="0.25">
      <c r="A3381" s="1">
        <v>40872</v>
      </c>
      <c r="B3381">
        <v>1761235.67</v>
      </c>
    </row>
    <row r="3382" spans="1:2" x14ac:dyDescent="0.25">
      <c r="A3382" s="1">
        <v>40879</v>
      </c>
      <c r="B3382">
        <v>1335647.1000000001</v>
      </c>
    </row>
    <row r="3383" spans="1:2" x14ac:dyDescent="0.25">
      <c r="A3383" s="1">
        <v>40886</v>
      </c>
      <c r="B3383">
        <v>1529615.54</v>
      </c>
    </row>
    <row r="3384" spans="1:2" x14ac:dyDescent="0.25">
      <c r="A3384" s="1">
        <v>40893</v>
      </c>
      <c r="B3384">
        <v>1624994.43</v>
      </c>
    </row>
    <row r="3385" spans="1:2" x14ac:dyDescent="0.25">
      <c r="A3385" s="1">
        <v>40900</v>
      </c>
      <c r="B3385">
        <v>2168344.23</v>
      </c>
    </row>
    <row r="3386" spans="1:2" x14ac:dyDescent="0.25">
      <c r="A3386" s="1">
        <v>40907</v>
      </c>
      <c r="B3386">
        <v>1363973.16</v>
      </c>
    </row>
    <row r="3387" spans="1:2" x14ac:dyDescent="0.25">
      <c r="A3387" s="1">
        <v>40914</v>
      </c>
      <c r="B3387">
        <v>1251581.8899999999</v>
      </c>
    </row>
    <row r="3388" spans="1:2" x14ac:dyDescent="0.25">
      <c r="A3388" s="1">
        <v>40921</v>
      </c>
      <c r="B3388">
        <v>1155594.2</v>
      </c>
    </row>
    <row r="3389" spans="1:2" x14ac:dyDescent="0.25">
      <c r="A3389" s="1">
        <v>40928</v>
      </c>
      <c r="B3389">
        <v>1151993.8500000001</v>
      </c>
    </row>
    <row r="3390" spans="1:2" x14ac:dyDescent="0.25">
      <c r="A3390" s="1">
        <v>40935</v>
      </c>
      <c r="B3390">
        <v>1057290.4099999999</v>
      </c>
    </row>
    <row r="3391" spans="1:2" x14ac:dyDescent="0.25">
      <c r="A3391" s="1">
        <v>40942</v>
      </c>
      <c r="B3391">
        <v>1249696.97</v>
      </c>
    </row>
    <row r="3392" spans="1:2" x14ac:dyDescent="0.25">
      <c r="A3392" s="1">
        <v>40949</v>
      </c>
      <c r="B3392">
        <v>1403460.87</v>
      </c>
    </row>
    <row r="3393" spans="1:2" x14ac:dyDescent="0.25">
      <c r="A3393" s="1">
        <v>40956</v>
      </c>
      <c r="B3393">
        <v>1326370.08</v>
      </c>
    </row>
    <row r="3394" spans="1:2" x14ac:dyDescent="0.25">
      <c r="A3394" s="1">
        <v>40963</v>
      </c>
      <c r="B3394">
        <v>1303233.1499999999</v>
      </c>
    </row>
    <row r="3395" spans="1:2" x14ac:dyDescent="0.25">
      <c r="A3395" s="1">
        <v>40970</v>
      </c>
      <c r="B3395">
        <v>1213994.3899999999</v>
      </c>
    </row>
    <row r="3396" spans="1:2" x14ac:dyDescent="0.25">
      <c r="A3396" s="1">
        <v>40977</v>
      </c>
      <c r="B3396">
        <v>1325835.7</v>
      </c>
    </row>
    <row r="3397" spans="1:2" x14ac:dyDescent="0.25">
      <c r="A3397" s="1">
        <v>40984</v>
      </c>
      <c r="B3397">
        <v>1239299.1200000001</v>
      </c>
    </row>
    <row r="3398" spans="1:2" x14ac:dyDescent="0.25">
      <c r="A3398" s="1">
        <v>40991</v>
      </c>
      <c r="B3398">
        <v>1221723.94</v>
      </c>
    </row>
    <row r="3399" spans="1:2" x14ac:dyDescent="0.25">
      <c r="A3399" s="1">
        <v>40998</v>
      </c>
      <c r="B3399">
        <v>1230106.1299999999</v>
      </c>
    </row>
    <row r="3400" spans="1:2" x14ac:dyDescent="0.25">
      <c r="A3400" s="1">
        <v>41005</v>
      </c>
      <c r="B3400">
        <v>1524734.29</v>
      </c>
    </row>
    <row r="3401" spans="1:2" x14ac:dyDescent="0.25">
      <c r="A3401" s="1">
        <v>41012</v>
      </c>
      <c r="B3401">
        <v>1285783.8700000001</v>
      </c>
    </row>
    <row r="3402" spans="1:2" x14ac:dyDescent="0.25">
      <c r="A3402" s="1">
        <v>41019</v>
      </c>
      <c r="B3402">
        <v>1208654.3999999999</v>
      </c>
    </row>
    <row r="3403" spans="1:2" x14ac:dyDescent="0.25">
      <c r="A3403" s="1">
        <v>41026</v>
      </c>
      <c r="B3403">
        <v>1194334.6499999999</v>
      </c>
    </row>
    <row r="3404" spans="1:2" x14ac:dyDescent="0.25">
      <c r="A3404" s="1">
        <v>41033</v>
      </c>
      <c r="B3404">
        <v>1306551.71</v>
      </c>
    </row>
    <row r="3405" spans="1:2" x14ac:dyDescent="0.25">
      <c r="A3405" s="1">
        <v>41040</v>
      </c>
      <c r="B3405">
        <v>1355391.79</v>
      </c>
    </row>
    <row r="3406" spans="1:2" x14ac:dyDescent="0.25">
      <c r="A3406" s="1">
        <v>41047</v>
      </c>
      <c r="B3406">
        <v>1298809.8</v>
      </c>
    </row>
    <row r="3407" spans="1:2" x14ac:dyDescent="0.25">
      <c r="A3407" s="1">
        <v>41054</v>
      </c>
      <c r="B3407">
        <v>1407897.57</v>
      </c>
    </row>
    <row r="3408" spans="1:2" x14ac:dyDescent="0.25">
      <c r="A3408" s="1">
        <v>41061</v>
      </c>
      <c r="B3408">
        <v>1467722.19</v>
      </c>
    </row>
    <row r="3409" spans="1:2" x14ac:dyDescent="0.25">
      <c r="A3409" s="1">
        <v>41068</v>
      </c>
      <c r="B3409">
        <v>1406313.13</v>
      </c>
    </row>
    <row r="3410" spans="1:2" x14ac:dyDescent="0.25">
      <c r="A3410" s="1">
        <v>41075</v>
      </c>
      <c r="B3410">
        <v>1364445.98</v>
      </c>
    </row>
    <row r="3411" spans="1:2" x14ac:dyDescent="0.25">
      <c r="A3411" s="1">
        <v>41082</v>
      </c>
      <c r="B3411">
        <v>1434709.63</v>
      </c>
    </row>
    <row r="3412" spans="1:2" x14ac:dyDescent="0.25">
      <c r="A3412" s="1">
        <v>41089</v>
      </c>
      <c r="B3412">
        <v>1428869.9</v>
      </c>
    </row>
    <row r="3413" spans="1:2" x14ac:dyDescent="0.25">
      <c r="A3413" s="1">
        <v>41096</v>
      </c>
      <c r="B3413">
        <v>1645097.75</v>
      </c>
    </row>
    <row r="3414" spans="1:2" x14ac:dyDescent="0.25">
      <c r="A3414" s="1">
        <v>41103</v>
      </c>
      <c r="B3414">
        <v>1405475.78</v>
      </c>
    </row>
    <row r="3415" spans="1:2" x14ac:dyDescent="0.25">
      <c r="A3415" s="1">
        <v>41110</v>
      </c>
      <c r="B3415">
        <v>1394299</v>
      </c>
    </row>
    <row r="3416" spans="1:2" x14ac:dyDescent="0.25">
      <c r="A3416" s="1">
        <v>41117</v>
      </c>
      <c r="B3416">
        <v>1307339.1399999999</v>
      </c>
    </row>
    <row r="3417" spans="1:2" x14ac:dyDescent="0.25">
      <c r="A3417" s="1">
        <v>41124</v>
      </c>
      <c r="B3417">
        <v>1440374.13</v>
      </c>
    </row>
    <row r="3418" spans="1:2" x14ac:dyDescent="0.25">
      <c r="A3418" s="1">
        <v>41131</v>
      </c>
      <c r="B3418">
        <v>1497054.81</v>
      </c>
    </row>
    <row r="3419" spans="1:2" x14ac:dyDescent="0.25">
      <c r="A3419" s="1">
        <v>41138</v>
      </c>
      <c r="B3419">
        <v>1397970.54</v>
      </c>
    </row>
    <row r="3420" spans="1:2" x14ac:dyDescent="0.25">
      <c r="A3420" s="1">
        <v>41145</v>
      </c>
      <c r="B3420">
        <v>1303726.54</v>
      </c>
    </row>
    <row r="3421" spans="1:2" x14ac:dyDescent="0.25">
      <c r="A3421" s="1">
        <v>41152</v>
      </c>
      <c r="B3421">
        <v>1344558.92</v>
      </c>
    </row>
    <row r="3422" spans="1:2" x14ac:dyDescent="0.25">
      <c r="A3422" s="1">
        <v>41159</v>
      </c>
      <c r="B3422">
        <v>1477134.75</v>
      </c>
    </row>
    <row r="3423" spans="1:2" x14ac:dyDescent="0.25">
      <c r="A3423" s="1">
        <v>41166</v>
      </c>
      <c r="B3423">
        <v>1242909.53</v>
      </c>
    </row>
    <row r="3424" spans="1:2" x14ac:dyDescent="0.25">
      <c r="A3424" s="1">
        <v>41173</v>
      </c>
      <c r="B3424">
        <v>1261158.47</v>
      </c>
    </row>
    <row r="3425" spans="1:2" x14ac:dyDescent="0.25">
      <c r="A3425" s="1">
        <v>41180</v>
      </c>
      <c r="B3425">
        <v>1259278.3600000001</v>
      </c>
    </row>
    <row r="3426" spans="1:2" x14ac:dyDescent="0.25">
      <c r="A3426" s="1">
        <v>41187</v>
      </c>
      <c r="B3426">
        <v>1416720.54</v>
      </c>
    </row>
    <row r="3427" spans="1:2" x14ac:dyDescent="0.25">
      <c r="A3427" s="1">
        <v>41194</v>
      </c>
      <c r="B3427">
        <v>1416301.17</v>
      </c>
    </row>
    <row r="3428" spans="1:2" x14ac:dyDescent="0.25">
      <c r="A3428" s="1">
        <v>41201</v>
      </c>
      <c r="B3428">
        <v>1255414.8400000001</v>
      </c>
    </row>
    <row r="3429" spans="1:2" x14ac:dyDescent="0.25">
      <c r="A3429" s="1">
        <v>41208</v>
      </c>
      <c r="B3429">
        <v>1307182.29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2E782-D224-45C4-BEB6-8EB798732D2A}">
  <dimension ref="A1:E180"/>
  <sheetViews>
    <sheetView tabSelected="1" topLeftCell="A143" workbookViewId="0">
      <selection activeCell="C153" sqref="C153"/>
    </sheetView>
  </sheetViews>
  <sheetFormatPr baseColWidth="10" defaultRowHeight="15" x14ac:dyDescent="0.25"/>
  <cols>
    <col min="1" max="1" width="14.28515625" customWidth="1"/>
    <col min="2" max="2" width="20.28515625" customWidth="1"/>
    <col min="3" max="3" width="30" customWidth="1"/>
    <col min="4" max="4" width="46" customWidth="1"/>
    <col min="5" max="5" width="46.7109375" customWidth="1"/>
  </cols>
  <sheetData>
    <row r="1" spans="1:5" x14ac:dyDescent="0.25">
      <c r="A1" t="s">
        <v>1</v>
      </c>
      <c r="B1" t="s">
        <v>6</v>
      </c>
      <c r="C1" t="s">
        <v>12</v>
      </c>
      <c r="D1" t="s">
        <v>13</v>
      </c>
      <c r="E1" t="s">
        <v>14</v>
      </c>
    </row>
    <row r="2" spans="1:5" x14ac:dyDescent="0.25">
      <c r="A2" s="1">
        <v>40214</v>
      </c>
      <c r="B2">
        <v>1309474.3054166669</v>
      </c>
    </row>
    <row r="3" spans="1:5" x14ac:dyDescent="0.25">
      <c r="A3" s="1">
        <v>40221</v>
      </c>
      <c r="B3">
        <v>1268295.7745833334</v>
      </c>
    </row>
    <row r="4" spans="1:5" x14ac:dyDescent="0.25">
      <c r="A4" s="1">
        <v>40228</v>
      </c>
      <c r="B4">
        <v>1261160.542083333</v>
      </c>
    </row>
    <row r="5" spans="1:5" x14ac:dyDescent="0.25">
      <c r="A5" s="1">
        <v>40235</v>
      </c>
      <c r="B5">
        <v>1147407.0099999998</v>
      </c>
    </row>
    <row r="6" spans="1:5" x14ac:dyDescent="0.25">
      <c r="A6" s="1">
        <v>40242</v>
      </c>
      <c r="B6">
        <v>1228273.9320833331</v>
      </c>
    </row>
    <row r="7" spans="1:5" x14ac:dyDescent="0.25">
      <c r="A7" s="1">
        <v>40249</v>
      </c>
      <c r="B7">
        <v>1186794.2320833334</v>
      </c>
    </row>
    <row r="8" spans="1:5" x14ac:dyDescent="0.25">
      <c r="A8" s="1">
        <v>40256</v>
      </c>
      <c r="B8">
        <v>1173436.8274999999</v>
      </c>
    </row>
    <row r="9" spans="1:5" x14ac:dyDescent="0.25">
      <c r="A9" s="1">
        <v>40263</v>
      </c>
      <c r="B9">
        <v>1141598.2312500002</v>
      </c>
    </row>
    <row r="10" spans="1:5" x14ac:dyDescent="0.25">
      <c r="A10" s="1">
        <v>40270</v>
      </c>
      <c r="B10">
        <v>1322792.0775000004</v>
      </c>
    </row>
    <row r="11" spans="1:5" x14ac:dyDescent="0.25">
      <c r="A11" s="1">
        <v>40277</v>
      </c>
      <c r="B11">
        <v>1220757.3087500001</v>
      </c>
    </row>
    <row r="12" spans="1:5" x14ac:dyDescent="0.25">
      <c r="A12" s="1">
        <v>40284</v>
      </c>
      <c r="B12">
        <v>1162047.3970833339</v>
      </c>
    </row>
    <row r="13" spans="1:5" x14ac:dyDescent="0.25">
      <c r="A13" s="1">
        <v>40291</v>
      </c>
      <c r="B13">
        <v>1158765.571666667</v>
      </c>
    </row>
    <row r="14" spans="1:5" x14ac:dyDescent="0.25">
      <c r="A14" s="1">
        <v>40298</v>
      </c>
      <c r="B14">
        <v>1125998.9875</v>
      </c>
    </row>
    <row r="15" spans="1:5" x14ac:dyDescent="0.25">
      <c r="A15" s="1">
        <v>40305</v>
      </c>
      <c r="B15">
        <v>1245759.2683333333</v>
      </c>
    </row>
    <row r="16" spans="1:5" x14ac:dyDescent="0.25">
      <c r="A16" s="1">
        <v>40312</v>
      </c>
      <c r="B16">
        <v>1165645.4991666663</v>
      </c>
    </row>
    <row r="17" spans="1:2" x14ac:dyDescent="0.25">
      <c r="A17" s="1">
        <v>40319</v>
      </c>
      <c r="B17">
        <v>1155533.2670833336</v>
      </c>
    </row>
    <row r="18" spans="1:2" x14ac:dyDescent="0.25">
      <c r="A18" s="1">
        <v>40326</v>
      </c>
      <c r="B18">
        <v>1234217.3033333332</v>
      </c>
    </row>
    <row r="19" spans="1:2" x14ac:dyDescent="0.25">
      <c r="A19" s="1">
        <v>40333</v>
      </c>
      <c r="B19">
        <v>1295557.6841666668</v>
      </c>
    </row>
    <row r="20" spans="1:2" x14ac:dyDescent="0.25">
      <c r="A20" s="1">
        <v>40340</v>
      </c>
      <c r="B20">
        <v>1230333.7816666667</v>
      </c>
    </row>
    <row r="21" spans="1:2" x14ac:dyDescent="0.25">
      <c r="A21" s="1">
        <v>40347</v>
      </c>
      <c r="B21">
        <v>1230798.5866666667</v>
      </c>
    </row>
    <row r="22" spans="1:2" x14ac:dyDescent="0.25">
      <c r="A22" s="1">
        <v>40354</v>
      </c>
      <c r="B22">
        <v>1209234.0541666667</v>
      </c>
    </row>
    <row r="23" spans="1:2" x14ac:dyDescent="0.25">
      <c r="A23" s="1">
        <v>40361</v>
      </c>
      <c r="B23">
        <v>1267025.7945833334</v>
      </c>
    </row>
    <row r="24" spans="1:2" x14ac:dyDescent="0.25">
      <c r="A24" s="1">
        <v>40368</v>
      </c>
      <c r="B24">
        <v>1228517.9958333331</v>
      </c>
    </row>
    <row r="25" spans="1:2" x14ac:dyDescent="0.25">
      <c r="A25" s="1">
        <v>40375</v>
      </c>
      <c r="B25">
        <v>1191475.9712499999</v>
      </c>
    </row>
    <row r="26" spans="1:2" x14ac:dyDescent="0.25">
      <c r="A26" s="1">
        <v>40382</v>
      </c>
      <c r="B26">
        <v>1157486.2266666668</v>
      </c>
    </row>
    <row r="27" spans="1:2" x14ac:dyDescent="0.25">
      <c r="A27" s="1">
        <v>40389</v>
      </c>
      <c r="B27">
        <v>1152536.1887500002</v>
      </c>
    </row>
    <row r="28" spans="1:2" x14ac:dyDescent="0.25">
      <c r="A28" s="1">
        <v>40396</v>
      </c>
      <c r="B28">
        <v>1232462.3195833333</v>
      </c>
    </row>
    <row r="29" spans="1:2" x14ac:dyDescent="0.25">
      <c r="A29" s="1">
        <v>40403</v>
      </c>
      <c r="B29">
        <v>1198168.2620833337</v>
      </c>
    </row>
    <row r="30" spans="1:2" x14ac:dyDescent="0.25">
      <c r="A30" s="1">
        <v>40410</v>
      </c>
      <c r="B30">
        <v>1215936.0387500001</v>
      </c>
    </row>
    <row r="31" spans="1:2" x14ac:dyDescent="0.25">
      <c r="A31" s="1">
        <v>40417</v>
      </c>
      <c r="B31">
        <v>1200358.7729166667</v>
      </c>
    </row>
    <row r="32" spans="1:2" x14ac:dyDescent="0.25">
      <c r="A32" s="1">
        <v>40424</v>
      </c>
      <c r="B32">
        <v>1220269.0308333335</v>
      </c>
    </row>
    <row r="33" spans="1:2" x14ac:dyDescent="0.25">
      <c r="A33" s="1">
        <v>40431</v>
      </c>
      <c r="B33">
        <v>1179583.415</v>
      </c>
    </row>
    <row r="34" spans="1:2" x14ac:dyDescent="0.25">
      <c r="A34" s="1">
        <v>40438</v>
      </c>
      <c r="B34">
        <v>1114242.8745833335</v>
      </c>
    </row>
    <row r="35" spans="1:2" x14ac:dyDescent="0.25">
      <c r="A35" s="1">
        <v>40445</v>
      </c>
      <c r="B35">
        <v>1066800.3070833331</v>
      </c>
    </row>
    <row r="36" spans="1:2" x14ac:dyDescent="0.25">
      <c r="A36" s="1">
        <v>40452</v>
      </c>
      <c r="B36">
        <v>1091418.26125</v>
      </c>
    </row>
    <row r="37" spans="1:2" x14ac:dyDescent="0.25">
      <c r="A37" s="1">
        <v>40459</v>
      </c>
      <c r="B37">
        <v>1160636.2466666664</v>
      </c>
    </row>
    <row r="38" spans="1:2" x14ac:dyDescent="0.25">
      <c r="A38" s="1">
        <v>40466</v>
      </c>
      <c r="B38">
        <v>1110292.9458333335</v>
      </c>
    </row>
    <row r="39" spans="1:2" x14ac:dyDescent="0.25">
      <c r="A39" s="1">
        <v>40473</v>
      </c>
      <c r="B39">
        <v>1107012.8254166667</v>
      </c>
    </row>
    <row r="40" spans="1:2" x14ac:dyDescent="0.25">
      <c r="A40" s="1">
        <v>40480</v>
      </c>
      <c r="B40">
        <v>1129464.7141666666</v>
      </c>
    </row>
    <row r="41" spans="1:2" x14ac:dyDescent="0.25">
      <c r="A41" s="1">
        <v>40487</v>
      </c>
      <c r="B41">
        <v>1188094.5433333332</v>
      </c>
    </row>
    <row r="42" spans="1:2" x14ac:dyDescent="0.25">
      <c r="A42" s="1">
        <v>40494</v>
      </c>
      <c r="B42">
        <v>1202318.4545833331</v>
      </c>
    </row>
    <row r="43" spans="1:2" x14ac:dyDescent="0.25">
      <c r="A43" s="1">
        <v>40501</v>
      </c>
      <c r="B43">
        <v>1181530.4420833334</v>
      </c>
    </row>
    <row r="44" spans="1:2" x14ac:dyDescent="0.25">
      <c r="A44" s="1">
        <v>40508</v>
      </c>
      <c r="B44">
        <v>1728124.5758333334</v>
      </c>
    </row>
    <row r="45" spans="1:2" x14ac:dyDescent="0.25">
      <c r="A45" s="1">
        <v>40515</v>
      </c>
      <c r="B45">
        <v>1325720.3116666665</v>
      </c>
    </row>
    <row r="46" spans="1:2" x14ac:dyDescent="0.25">
      <c r="A46" s="1">
        <v>40522</v>
      </c>
      <c r="B46">
        <v>1482911.9675</v>
      </c>
    </row>
    <row r="47" spans="1:2" x14ac:dyDescent="0.25">
      <c r="A47" s="1">
        <v>40529</v>
      </c>
      <c r="B47">
        <v>1661800.4754166671</v>
      </c>
    </row>
    <row r="48" spans="1:2" x14ac:dyDescent="0.25">
      <c r="A48" s="1">
        <v>40536</v>
      </c>
      <c r="B48">
        <v>2193466.4808333335</v>
      </c>
    </row>
    <row r="49" spans="1:2" x14ac:dyDescent="0.25">
      <c r="A49" s="1">
        <v>40543</v>
      </c>
      <c r="B49">
        <v>1068073.8558333335</v>
      </c>
    </row>
    <row r="50" spans="1:2" x14ac:dyDescent="0.25">
      <c r="A50" s="1">
        <v>40550</v>
      </c>
      <c r="B50">
        <v>1103721.8625</v>
      </c>
    </row>
    <row r="51" spans="1:2" x14ac:dyDescent="0.25">
      <c r="A51" s="1">
        <v>40557</v>
      </c>
      <c r="B51">
        <v>1044010.1629166667</v>
      </c>
    </row>
    <row r="52" spans="1:2" x14ac:dyDescent="0.25">
      <c r="A52" s="1">
        <v>40564</v>
      </c>
      <c r="B52">
        <v>1048350.2395833335</v>
      </c>
    </row>
    <row r="53" spans="1:2" x14ac:dyDescent="0.25">
      <c r="A53" s="1">
        <v>40571</v>
      </c>
      <c r="B53">
        <v>1028095.2695833333</v>
      </c>
    </row>
    <row r="54" spans="1:2" x14ac:dyDescent="0.25">
      <c r="A54" s="1">
        <v>40578</v>
      </c>
      <c r="B54">
        <v>1200959.4758333333</v>
      </c>
    </row>
    <row r="55" spans="1:2" x14ac:dyDescent="0.25">
      <c r="A55" s="1">
        <v>40585</v>
      </c>
      <c r="B55">
        <v>1245462.4329166666</v>
      </c>
    </row>
    <row r="56" spans="1:2" x14ac:dyDescent="0.25">
      <c r="A56" s="1">
        <v>40592</v>
      </c>
      <c r="B56">
        <v>1287948.990833333</v>
      </c>
    </row>
    <row r="57" spans="1:2" x14ac:dyDescent="0.25">
      <c r="A57" s="1">
        <v>40599</v>
      </c>
      <c r="B57">
        <v>1152446.0562499999</v>
      </c>
    </row>
    <row r="58" spans="1:2" x14ac:dyDescent="0.25">
      <c r="A58" s="1">
        <v>40606</v>
      </c>
      <c r="B58">
        <v>1223086.0841666667</v>
      </c>
    </row>
    <row r="59" spans="1:2" x14ac:dyDescent="0.25">
      <c r="A59" s="1">
        <v>40613</v>
      </c>
      <c r="B59">
        <v>1158058.5795833331</v>
      </c>
    </row>
    <row r="60" spans="1:2" x14ac:dyDescent="0.25">
      <c r="A60" s="1">
        <v>40620</v>
      </c>
      <c r="B60">
        <v>1173333.3245833335</v>
      </c>
    </row>
    <row r="61" spans="1:2" x14ac:dyDescent="0.25">
      <c r="A61" s="1">
        <v>40627</v>
      </c>
      <c r="B61">
        <v>1114200.12375</v>
      </c>
    </row>
    <row r="62" spans="1:2" x14ac:dyDescent="0.25">
      <c r="A62" s="1">
        <v>40634</v>
      </c>
      <c r="B62">
        <v>1128430.2887499998</v>
      </c>
    </row>
    <row r="63" spans="1:2" x14ac:dyDescent="0.25">
      <c r="A63" s="1">
        <v>40641</v>
      </c>
      <c r="B63">
        <v>1184872.2720833335</v>
      </c>
    </row>
    <row r="64" spans="1:2" x14ac:dyDescent="0.25">
      <c r="A64" s="1">
        <v>40648</v>
      </c>
      <c r="B64">
        <v>1164844.0045833334</v>
      </c>
    </row>
    <row r="65" spans="1:2" x14ac:dyDescent="0.25">
      <c r="A65" s="1">
        <v>40655</v>
      </c>
      <c r="B65">
        <v>1273636.6954166666</v>
      </c>
    </row>
    <row r="66" spans="1:2" x14ac:dyDescent="0.25">
      <c r="A66" s="1">
        <v>40662</v>
      </c>
      <c r="B66">
        <v>1127594.2220833334</v>
      </c>
    </row>
    <row r="67" spans="1:2" x14ac:dyDescent="0.25">
      <c r="A67" s="1">
        <v>40669</v>
      </c>
      <c r="B67">
        <v>1205679.2054166668</v>
      </c>
    </row>
    <row r="68" spans="1:2" x14ac:dyDescent="0.25">
      <c r="A68" s="1">
        <v>40676</v>
      </c>
      <c r="B68">
        <v>1168726.8929166666</v>
      </c>
    </row>
    <row r="69" spans="1:2" x14ac:dyDescent="0.25">
      <c r="A69" s="1">
        <v>40683</v>
      </c>
      <c r="B69">
        <v>1130314.2024999999</v>
      </c>
    </row>
    <row r="70" spans="1:2" x14ac:dyDescent="0.25">
      <c r="A70" s="1">
        <v>40690</v>
      </c>
      <c r="B70">
        <v>1166306.1045833335</v>
      </c>
    </row>
    <row r="71" spans="1:2" x14ac:dyDescent="0.25">
      <c r="A71" s="1">
        <v>40697</v>
      </c>
      <c r="B71">
        <v>1258282.4191666667</v>
      </c>
    </row>
    <row r="72" spans="1:2" x14ac:dyDescent="0.25">
      <c r="A72" s="1">
        <v>40704</v>
      </c>
      <c r="B72">
        <v>1232719.5587499999</v>
      </c>
    </row>
    <row r="73" spans="1:2" x14ac:dyDescent="0.25">
      <c r="A73" s="1">
        <v>40711</v>
      </c>
      <c r="B73">
        <v>1201632.2633333334</v>
      </c>
    </row>
    <row r="74" spans="1:2" x14ac:dyDescent="0.25">
      <c r="A74" s="1">
        <v>40718</v>
      </c>
      <c r="B74">
        <v>1194716.3016666665</v>
      </c>
    </row>
    <row r="75" spans="1:2" x14ac:dyDescent="0.25">
      <c r="A75" s="1">
        <v>40725</v>
      </c>
      <c r="B75">
        <v>1236779.0650000002</v>
      </c>
    </row>
    <row r="76" spans="1:2" x14ac:dyDescent="0.25">
      <c r="A76" s="1">
        <v>40732</v>
      </c>
      <c r="B76">
        <v>1233902.0966666667</v>
      </c>
    </row>
    <row r="77" spans="1:2" x14ac:dyDescent="0.25">
      <c r="A77" s="1">
        <v>40739</v>
      </c>
      <c r="B77">
        <v>1178921.7420833332</v>
      </c>
    </row>
    <row r="78" spans="1:2" x14ac:dyDescent="0.25">
      <c r="A78" s="1">
        <v>40746</v>
      </c>
      <c r="B78">
        <v>1170787.5329166667</v>
      </c>
    </row>
    <row r="79" spans="1:2" x14ac:dyDescent="0.25">
      <c r="A79" s="1">
        <v>40753</v>
      </c>
      <c r="B79">
        <v>1090633.7841666667</v>
      </c>
    </row>
    <row r="80" spans="1:2" x14ac:dyDescent="0.25">
      <c r="A80" s="1">
        <v>40760</v>
      </c>
      <c r="B80">
        <v>1242610.2233333334</v>
      </c>
    </row>
    <row r="81" spans="1:2" x14ac:dyDescent="0.25">
      <c r="A81" s="1">
        <v>40767</v>
      </c>
      <c r="B81">
        <v>1192621.6129166668</v>
      </c>
    </row>
    <row r="82" spans="1:2" x14ac:dyDescent="0.25">
      <c r="A82" s="1">
        <v>40774</v>
      </c>
      <c r="B82">
        <v>1214953.6399999999</v>
      </c>
    </row>
    <row r="83" spans="1:2" x14ac:dyDescent="0.25">
      <c r="A83" s="1">
        <v>40781</v>
      </c>
      <c r="B83">
        <v>1228665.0029166667</v>
      </c>
    </row>
    <row r="84" spans="1:2" x14ac:dyDescent="0.25">
      <c r="A84" s="1">
        <v>40788</v>
      </c>
      <c r="B84">
        <v>1170877.7545833334</v>
      </c>
    </row>
    <row r="85" spans="1:2" x14ac:dyDescent="0.25">
      <c r="A85" s="1">
        <v>40795</v>
      </c>
      <c r="B85">
        <v>1208106.0920833333</v>
      </c>
    </row>
    <row r="86" spans="1:2" x14ac:dyDescent="0.25">
      <c r="A86" s="1">
        <v>40802</v>
      </c>
      <c r="B86">
        <v>1133889.7316666669</v>
      </c>
    </row>
    <row r="87" spans="1:2" x14ac:dyDescent="0.25">
      <c r="A87" s="1">
        <v>40809</v>
      </c>
      <c r="B87">
        <v>1105228.4224999996</v>
      </c>
    </row>
    <row r="88" spans="1:2" x14ac:dyDescent="0.25">
      <c r="A88" s="1">
        <v>40816</v>
      </c>
      <c r="B88">
        <v>1090423.4875</v>
      </c>
    </row>
    <row r="89" spans="1:2" x14ac:dyDescent="0.25">
      <c r="A89" s="1">
        <v>40823</v>
      </c>
      <c r="B89">
        <v>1175127.8243478262</v>
      </c>
    </row>
    <row r="90" spans="1:2" x14ac:dyDescent="0.25">
      <c r="A90" s="1">
        <v>40830</v>
      </c>
      <c r="B90">
        <v>1141489.7954166667</v>
      </c>
    </row>
    <row r="91" spans="1:2" x14ac:dyDescent="0.25">
      <c r="A91" s="1">
        <v>40837</v>
      </c>
      <c r="B91">
        <v>1195050.58</v>
      </c>
    </row>
    <row r="92" spans="1:2" x14ac:dyDescent="0.25">
      <c r="A92" s="1">
        <v>40844</v>
      </c>
      <c r="B92">
        <v>1194468.0295833333</v>
      </c>
    </row>
    <row r="93" spans="1:2" x14ac:dyDescent="0.25">
      <c r="A93" s="1">
        <v>40851</v>
      </c>
      <c r="B93">
        <v>1275708.8787500001</v>
      </c>
    </row>
    <row r="94" spans="1:2" x14ac:dyDescent="0.25">
      <c r="A94" s="1">
        <v>40858</v>
      </c>
      <c r="B94">
        <v>1264294.4895833333</v>
      </c>
    </row>
    <row r="95" spans="1:2" x14ac:dyDescent="0.25">
      <c r="A95" s="1">
        <v>40865</v>
      </c>
      <c r="B95">
        <v>1209150.0616666665</v>
      </c>
    </row>
    <row r="96" spans="1:2" x14ac:dyDescent="0.25">
      <c r="A96" s="1">
        <v>40872</v>
      </c>
      <c r="B96">
        <v>1749563.2575000003</v>
      </c>
    </row>
    <row r="97" spans="1:2" x14ac:dyDescent="0.25">
      <c r="A97" s="1">
        <v>40879</v>
      </c>
      <c r="B97">
        <v>1299074.5025000002</v>
      </c>
    </row>
    <row r="98" spans="1:2" x14ac:dyDescent="0.25">
      <c r="A98" s="1">
        <v>40886</v>
      </c>
      <c r="B98">
        <v>1474816.7954166664</v>
      </c>
    </row>
    <row r="99" spans="1:2" x14ac:dyDescent="0.25">
      <c r="A99" s="1">
        <v>40893</v>
      </c>
      <c r="B99">
        <v>1607092.8379166666</v>
      </c>
    </row>
    <row r="100" spans="1:2" x14ac:dyDescent="0.25">
      <c r="A100" s="1">
        <v>40900</v>
      </c>
      <c r="B100">
        <v>2076755.0295833328</v>
      </c>
    </row>
    <row r="101" spans="1:2" x14ac:dyDescent="0.25">
      <c r="A101" s="1">
        <v>40907</v>
      </c>
      <c r="B101">
        <v>1212872.385</v>
      </c>
    </row>
    <row r="102" spans="1:2" x14ac:dyDescent="0.25">
      <c r="A102" s="1">
        <v>40914</v>
      </c>
      <c r="B102">
        <v>1152964.6204166668</v>
      </c>
    </row>
    <row r="103" spans="1:2" x14ac:dyDescent="0.25">
      <c r="A103" s="1">
        <v>40921</v>
      </c>
      <c r="B103">
        <v>1077600.1629166666</v>
      </c>
    </row>
    <row r="104" spans="1:2" x14ac:dyDescent="0.25">
      <c r="A104" s="1">
        <v>40928</v>
      </c>
      <c r="B104">
        <v>1083059.7674999998</v>
      </c>
    </row>
    <row r="105" spans="1:2" x14ac:dyDescent="0.25">
      <c r="A105" s="1">
        <v>40935</v>
      </c>
      <c r="B105">
        <v>1030525.4045833334</v>
      </c>
    </row>
    <row r="106" spans="1:2" x14ac:dyDescent="0.25">
      <c r="A106" s="1">
        <v>40942</v>
      </c>
      <c r="B106">
        <v>1199180.5574999999</v>
      </c>
    </row>
    <row r="107" spans="1:2" x14ac:dyDescent="0.25">
      <c r="A107" s="1">
        <v>40949</v>
      </c>
      <c r="B107">
        <v>1322091.5291666666</v>
      </c>
    </row>
    <row r="108" spans="1:2" x14ac:dyDescent="0.25">
      <c r="A108" s="1">
        <v>40956</v>
      </c>
      <c r="B108">
        <v>1329127.1837499999</v>
      </c>
    </row>
    <row r="109" spans="1:2" x14ac:dyDescent="0.25">
      <c r="A109" s="1">
        <v>40963</v>
      </c>
      <c r="B109">
        <v>1201175.2283333333</v>
      </c>
    </row>
    <row r="110" spans="1:2" x14ac:dyDescent="0.25">
      <c r="A110" s="1">
        <v>40970</v>
      </c>
      <c r="B110">
        <v>1227680.7829166667</v>
      </c>
    </row>
    <row r="111" spans="1:2" x14ac:dyDescent="0.25">
      <c r="A111" s="1">
        <v>40977</v>
      </c>
      <c r="B111">
        <v>1232996.4720833332</v>
      </c>
    </row>
    <row r="112" spans="1:2" x14ac:dyDescent="0.25">
      <c r="A112" s="1">
        <v>40984</v>
      </c>
      <c r="B112">
        <v>1268396.7873913047</v>
      </c>
    </row>
    <row r="113" spans="1:2" x14ac:dyDescent="0.25">
      <c r="A113" s="1">
        <v>40991</v>
      </c>
      <c r="B113">
        <v>1159115.2504347826</v>
      </c>
    </row>
    <row r="114" spans="1:2" x14ac:dyDescent="0.25">
      <c r="A114" s="1">
        <v>40998</v>
      </c>
      <c r="B114">
        <v>1183851.9612500002</v>
      </c>
    </row>
    <row r="115" spans="1:2" x14ac:dyDescent="0.25">
      <c r="A115" s="1">
        <v>41005</v>
      </c>
      <c r="B115">
        <v>1327665.1958333335</v>
      </c>
    </row>
    <row r="116" spans="1:2" x14ac:dyDescent="0.25">
      <c r="A116" s="1">
        <v>41012</v>
      </c>
      <c r="B116">
        <v>1131016.8324999998</v>
      </c>
    </row>
    <row r="117" spans="1:2" x14ac:dyDescent="0.25">
      <c r="A117" s="1">
        <v>41019</v>
      </c>
      <c r="B117">
        <v>1167713.2304166667</v>
      </c>
    </row>
    <row r="118" spans="1:2" x14ac:dyDescent="0.25">
      <c r="A118" s="1">
        <v>41026</v>
      </c>
      <c r="B118">
        <v>1130539.1516666666</v>
      </c>
    </row>
    <row r="119" spans="1:2" x14ac:dyDescent="0.25">
      <c r="A119" s="1">
        <v>41033</v>
      </c>
      <c r="B119">
        <v>1217876.0983333336</v>
      </c>
    </row>
    <row r="120" spans="1:2" x14ac:dyDescent="0.25">
      <c r="A120" s="1">
        <v>41040</v>
      </c>
      <c r="B120">
        <v>1213129.5895833333</v>
      </c>
    </row>
    <row r="121" spans="1:2" x14ac:dyDescent="0.25">
      <c r="A121" s="1">
        <v>41047</v>
      </c>
      <c r="B121">
        <v>1212205.4433333334</v>
      </c>
    </row>
    <row r="122" spans="1:2" x14ac:dyDescent="0.25">
      <c r="A122" s="1">
        <v>41054</v>
      </c>
      <c r="B122">
        <v>1240320.7375000003</v>
      </c>
    </row>
    <row r="123" spans="1:2" x14ac:dyDescent="0.25">
      <c r="A123" s="1">
        <v>41061</v>
      </c>
      <c r="B123">
        <v>1253139.8783333332</v>
      </c>
    </row>
    <row r="124" spans="1:2" x14ac:dyDescent="0.25">
      <c r="A124" s="1">
        <v>41068</v>
      </c>
      <c r="B124">
        <v>1287239.6100000001</v>
      </c>
    </row>
    <row r="125" spans="1:2" x14ac:dyDescent="0.25">
      <c r="A125" s="1">
        <v>41075</v>
      </c>
      <c r="B125">
        <v>1259376.4929166669</v>
      </c>
    </row>
    <row r="126" spans="1:2" x14ac:dyDescent="0.25">
      <c r="A126" s="1">
        <v>41082</v>
      </c>
      <c r="B126">
        <v>1234836.2891666663</v>
      </c>
    </row>
    <row r="127" spans="1:2" x14ac:dyDescent="0.25">
      <c r="A127" s="1">
        <v>41089</v>
      </c>
      <c r="B127">
        <v>1208996.9379166665</v>
      </c>
    </row>
    <row r="128" spans="1:2" x14ac:dyDescent="0.25">
      <c r="A128" s="1">
        <v>41096</v>
      </c>
      <c r="B128">
        <v>1322319.9554166666</v>
      </c>
    </row>
    <row r="129" spans="1:5" x14ac:dyDescent="0.25">
      <c r="A129" s="1">
        <v>41103</v>
      </c>
      <c r="B129">
        <v>1188552.4570833335</v>
      </c>
    </row>
    <row r="130" spans="1:5" x14ac:dyDescent="0.25">
      <c r="A130" s="1">
        <v>41110</v>
      </c>
      <c r="B130">
        <v>1189802.0416666667</v>
      </c>
    </row>
    <row r="131" spans="1:5" x14ac:dyDescent="0.25">
      <c r="A131" s="1">
        <v>41117</v>
      </c>
      <c r="B131">
        <v>1133891.4979166666</v>
      </c>
    </row>
    <row r="132" spans="1:5" x14ac:dyDescent="0.25">
      <c r="A132" s="1">
        <v>41124</v>
      </c>
      <c r="B132">
        <v>1222217.54</v>
      </c>
    </row>
    <row r="133" spans="1:5" x14ac:dyDescent="0.25">
      <c r="A133" s="1">
        <v>41131</v>
      </c>
      <c r="B133">
        <v>1214583.2825</v>
      </c>
    </row>
    <row r="134" spans="1:5" x14ac:dyDescent="0.25">
      <c r="A134" s="1">
        <v>41138</v>
      </c>
      <c r="B134">
        <v>1216755.5374999999</v>
      </c>
    </row>
    <row r="135" spans="1:5" x14ac:dyDescent="0.25">
      <c r="A135" s="1">
        <v>41145</v>
      </c>
      <c r="B135">
        <v>1224964.4437499999</v>
      </c>
    </row>
    <row r="136" spans="1:5" x14ac:dyDescent="0.25">
      <c r="A136" s="1">
        <v>41152</v>
      </c>
      <c r="B136">
        <v>1221310.9695833335</v>
      </c>
    </row>
    <row r="137" spans="1:5" x14ac:dyDescent="0.25">
      <c r="A137" s="1">
        <v>41159</v>
      </c>
      <c r="B137">
        <v>1240486.8858333335</v>
      </c>
    </row>
    <row r="138" spans="1:5" x14ac:dyDescent="0.25">
      <c r="A138" s="1">
        <v>41166</v>
      </c>
      <c r="B138">
        <v>1138410.8787499999</v>
      </c>
    </row>
    <row r="139" spans="1:5" x14ac:dyDescent="0.25">
      <c r="A139" s="1">
        <v>41173</v>
      </c>
      <c r="B139">
        <v>1144068.3354166665</v>
      </c>
    </row>
    <row r="140" spans="1:5" x14ac:dyDescent="0.25">
      <c r="A140" s="1">
        <v>41180</v>
      </c>
      <c r="B140">
        <v>1125307.2866666669</v>
      </c>
    </row>
    <row r="141" spans="1:5" x14ac:dyDescent="0.25">
      <c r="A141" s="1">
        <v>41187</v>
      </c>
      <c r="B141">
        <v>1227119.4208333332</v>
      </c>
    </row>
    <row r="142" spans="1:5" x14ac:dyDescent="0.25">
      <c r="A142" s="1">
        <v>41194</v>
      </c>
      <c r="B142">
        <v>1184621.3670833332</v>
      </c>
    </row>
    <row r="143" spans="1:5" x14ac:dyDescent="0.25">
      <c r="A143" s="1">
        <v>41201</v>
      </c>
      <c r="B143">
        <v>1118393.2439130433</v>
      </c>
    </row>
    <row r="144" spans="1:5" x14ac:dyDescent="0.25">
      <c r="A144" s="1">
        <v>41208</v>
      </c>
      <c r="B144">
        <v>1171402.0075000001</v>
      </c>
      <c r="C144">
        <v>1171402.0075000001</v>
      </c>
      <c r="D144" s="5">
        <v>1171402.0075000001</v>
      </c>
      <c r="E144" s="5">
        <v>1171402.0075000001</v>
      </c>
    </row>
    <row r="145" spans="1:5" x14ac:dyDescent="0.25">
      <c r="A145" s="1">
        <v>41215</v>
      </c>
      <c r="C145">
        <f>_xlfn.FORECAST.ETS(A145,$B$2:$B$144,$A$2:$A$144,1,1)</f>
        <v>1245734.3543708408</v>
      </c>
      <c r="D145" s="5">
        <f>C145-_xlfn.FORECAST.ETS.CONFINT(A145,$B$2:$B$144,$A$2:$A$144,0.95,1,1)</f>
        <v>936527.49184802035</v>
      </c>
      <c r="E145" s="5">
        <f>C145+_xlfn.FORECAST.ETS.CONFINT(A145,$B$2:$B$144,$A$2:$A$144,0.95,1,1)</f>
        <v>1554941.2168936613</v>
      </c>
    </row>
    <row r="146" spans="1:5" x14ac:dyDescent="0.25">
      <c r="A146" s="1">
        <v>41222</v>
      </c>
      <c r="C146">
        <f>_xlfn.FORECAST.ETS(A146,$B$2:$B$144,$A$2:$A$144,1,1)</f>
        <v>1217703.35729499</v>
      </c>
      <c r="D146" s="5">
        <f>C146-_xlfn.FORECAST.ETS.CONFINT(A146,$B$2:$B$144,$A$2:$A$144,0.95,1,1)</f>
        <v>898829.66695660015</v>
      </c>
      <c r="E146" s="5">
        <f>C146+_xlfn.FORECAST.ETS.CONFINT(A146,$B$2:$B$144,$A$2:$A$144,0.95,1,1)</f>
        <v>1536577.0476333797</v>
      </c>
    </row>
    <row r="147" spans="1:5" x14ac:dyDescent="0.25">
      <c r="A147" s="1">
        <v>41229</v>
      </c>
      <c r="C147">
        <f>_xlfn.FORECAST.ETS(A147,$B$2:$B$144,$A$2:$A$144,1,1)</f>
        <v>1215412.9941762756</v>
      </c>
      <c r="D147" s="5">
        <f>C147-_xlfn.FORECAST.ETS.CONFINT(A147,$B$2:$B$144,$A$2:$A$144,0.95,1,1)</f>
        <v>887083.49590483634</v>
      </c>
      <c r="E147" s="5">
        <f>C147+_xlfn.FORECAST.ETS.CONFINT(A147,$B$2:$B$144,$A$2:$A$144,0.95,1,1)</f>
        <v>1543742.4924477148</v>
      </c>
    </row>
    <row r="148" spans="1:5" x14ac:dyDescent="0.25">
      <c r="A148" s="1">
        <v>41236</v>
      </c>
      <c r="C148">
        <f>_xlfn.FORECAST.ETS(A148,$B$2:$B$144,$A$2:$A$144,1,1)</f>
        <v>1419175.5725506507</v>
      </c>
      <c r="D148" s="5">
        <f>C148-_xlfn.FORECAST.ETS.CONFINT(A148,$B$2:$B$144,$A$2:$A$144,0.95,1,1)</f>
        <v>1081583.2708249907</v>
      </c>
      <c r="E148" s="5">
        <f>C148+_xlfn.FORECAST.ETS.CONFINT(A148,$B$2:$B$144,$A$2:$A$144,0.95,1,1)</f>
        <v>1756767.8742763107</v>
      </c>
    </row>
    <row r="149" spans="1:5" x14ac:dyDescent="0.25">
      <c r="A149" s="1">
        <v>41243</v>
      </c>
      <c r="C149">
        <f>_xlfn.FORECAST.ETS(A149,$B$2:$B$144,$A$2:$A$144,1,1)</f>
        <v>1313100.0918995165</v>
      </c>
      <c r="D149" s="5">
        <f>C149-_xlfn.FORECAST.ETS.CONFINT(A149,$B$2:$B$144,$A$2:$A$144,0.95,1,1)</f>
        <v>966422.24453174288</v>
      </c>
      <c r="E149" s="5">
        <f>C149+_xlfn.FORECAST.ETS.CONFINT(A149,$B$2:$B$144,$A$2:$A$144,0.95,1,1)</f>
        <v>1659777.9392672903</v>
      </c>
    </row>
    <row r="150" spans="1:5" x14ac:dyDescent="0.25">
      <c r="A150" s="1">
        <v>41250</v>
      </c>
      <c r="C150">
        <f>_xlfn.FORECAST.ETS(A150,$B$2:$B$144,$A$2:$A$144,1,1)</f>
        <v>1249794.2380616199</v>
      </c>
      <c r="D150" s="5">
        <f>C150-_xlfn.FORECAST.ETS.CONFINT(A150,$B$2:$B$144,$A$2:$A$144,0.95,1,1)</f>
        <v>894194.24696725095</v>
      </c>
      <c r="E150" s="5">
        <f>C150+_xlfn.FORECAST.ETS.CONFINT(A150,$B$2:$B$144,$A$2:$A$144,0.95,1,1)</f>
        <v>1605394.2291559889</v>
      </c>
    </row>
    <row r="151" spans="1:5" x14ac:dyDescent="0.25">
      <c r="A151" s="1">
        <v>41257</v>
      </c>
      <c r="C151">
        <f>_xlfn.FORECAST.ETS(A151,$B$2:$B$144,$A$2:$A$144,1,1)</f>
        <v>1226105.1920690185</v>
      </c>
      <c r="D151" s="5">
        <f>C151-_xlfn.FORECAST.ETS.CONFINT(A151,$B$2:$B$144,$A$2:$A$144,0.95,1,1)</f>
        <v>861734.19317574403</v>
      </c>
      <c r="E151" s="5">
        <f>C151+_xlfn.FORECAST.ETS.CONFINT(A151,$B$2:$B$144,$A$2:$A$144,0.95,1,1)</f>
        <v>1590476.190962293</v>
      </c>
    </row>
    <row r="152" spans="1:5" x14ac:dyDescent="0.25">
      <c r="A152" s="1">
        <v>41264</v>
      </c>
      <c r="C152">
        <f>_xlfn.FORECAST.ETS(A152,$B$2:$B$144,$A$2:$A$144,1,1)</f>
        <v>1193268.4587986206</v>
      </c>
      <c r="D152" s="5">
        <f>C152-_xlfn.FORECAST.ETS.CONFINT(A152,$B$2:$B$144,$A$2:$A$144,0.95,1,1)</f>
        <v>820266.66982459568</v>
      </c>
      <c r="E152" s="5">
        <f>C152+_xlfn.FORECAST.ETS.CONFINT(A152,$B$2:$B$144,$A$2:$A$144,0.95,1,1)</f>
        <v>1566270.2477726457</v>
      </c>
    </row>
    <row r="153" spans="1:5" x14ac:dyDescent="0.25">
      <c r="A153" s="1">
        <v>41271</v>
      </c>
      <c r="C153">
        <f>_xlfn.FORECAST.ETS(A153,$B$2:$B$144,$A$2:$A$144,1,1)</f>
        <v>1277509.1517362935</v>
      </c>
      <c r="D153" s="5">
        <f>C153-_xlfn.FORECAST.ETS.CONFINT(A153,$B$2:$B$144,$A$2:$A$144,0.95,1,1)</f>
        <v>896007.02315231785</v>
      </c>
      <c r="E153" s="5">
        <f>C153+_xlfn.FORECAST.ETS.CONFINT(A153,$B$2:$B$144,$A$2:$A$144,0.95,1,1)</f>
        <v>1659011.2803202691</v>
      </c>
    </row>
    <row r="154" spans="1:5" x14ac:dyDescent="0.25">
      <c r="A154" s="1">
        <v>41278</v>
      </c>
      <c r="C154">
        <f>_xlfn.FORECAST.ETS(A154,$B$2:$B$144,$A$2:$A$144,1,1)</f>
        <v>1248536.5399479817</v>
      </c>
      <c r="D154" s="5">
        <f>C154-_xlfn.FORECAST.ETS.CONFINT(A154,$B$2:$B$144,$A$2:$A$144,0.95,1,1)</f>
        <v>858655.74449750851</v>
      </c>
      <c r="E154" s="5">
        <f>C154+_xlfn.FORECAST.ETS.CONFINT(A154,$B$2:$B$144,$A$2:$A$144,0.95,1,1)</f>
        <v>1638417.3353984549</v>
      </c>
    </row>
    <row r="155" spans="1:5" x14ac:dyDescent="0.25">
      <c r="A155" s="1">
        <v>41285</v>
      </c>
      <c r="C155">
        <f>_xlfn.FORECAST.ETS(A155,$B$2:$B$144,$A$2:$A$144,1,1)</f>
        <v>1199491.2992893939</v>
      </c>
      <c r="D155" s="5">
        <f>C155-_xlfn.FORECAST.ETS.CONFINT(A155,$B$2:$B$144,$A$2:$A$144,0.95,1,1)</f>
        <v>801345.58797686535</v>
      </c>
      <c r="E155" s="5">
        <f>C155+_xlfn.FORECAST.ETS.CONFINT(A155,$B$2:$B$144,$A$2:$A$144,0.95,1,1)</f>
        <v>1597637.0106019224</v>
      </c>
    </row>
    <row r="156" spans="1:5" x14ac:dyDescent="0.25">
      <c r="A156" s="1">
        <v>41292</v>
      </c>
      <c r="C156">
        <f>_xlfn.FORECAST.ETS(A156,$B$2:$B$144,$A$2:$A$144,1,1)</f>
        <v>1183610.9008225701</v>
      </c>
      <c r="D156" s="5">
        <f>C156-_xlfn.FORECAST.ETS.CONFINT(A156,$B$2:$B$144,$A$2:$A$144,0.95,1,1)</f>
        <v>777306.84760839317</v>
      </c>
      <c r="E156" s="5">
        <f>C156+_xlfn.FORECAST.ETS.CONFINT(A156,$B$2:$B$144,$A$2:$A$144,0.95,1,1)</f>
        <v>1589914.9540367471</v>
      </c>
    </row>
    <row r="157" spans="1:5" x14ac:dyDescent="0.25">
      <c r="A157" s="1">
        <v>41299</v>
      </c>
      <c r="C157">
        <f>_xlfn.FORECAST.ETS(A157,$B$2:$B$144,$A$2:$A$144,1,1)</f>
        <v>1172896.3929309708</v>
      </c>
      <c r="D157" s="5">
        <f>C157-_xlfn.FORECAST.ETS.CONFINT(A157,$B$2:$B$144,$A$2:$A$144,0.95,1,1)</f>
        <v>758534.04601225106</v>
      </c>
      <c r="E157" s="5">
        <f>C157+_xlfn.FORECAST.ETS.CONFINT(A157,$B$2:$B$144,$A$2:$A$144,0.95,1,1)</f>
        <v>1587258.7398496903</v>
      </c>
    </row>
    <row r="158" spans="1:5" x14ac:dyDescent="0.25">
      <c r="A158" s="1">
        <v>41306</v>
      </c>
      <c r="C158">
        <f>_xlfn.FORECAST.ETS(A158,$B$2:$B$144,$A$2:$A$144,1,1)</f>
        <v>1247228.7398018118</v>
      </c>
      <c r="D158" s="5">
        <f>C158-_xlfn.FORECAST.ETS.CONFINT(A158,$B$2:$B$144,$A$2:$A$144,0.95,1,1)</f>
        <v>824842.31907899084</v>
      </c>
      <c r="E158" s="5">
        <f>C158+_xlfn.FORECAST.ETS.CONFINT(A158,$B$2:$B$144,$A$2:$A$144,0.95,1,1)</f>
        <v>1669615.1605246328</v>
      </c>
    </row>
    <row r="159" spans="1:5" x14ac:dyDescent="0.25">
      <c r="A159" s="1">
        <v>41313</v>
      </c>
      <c r="C159">
        <f>_xlfn.FORECAST.ETS(A159,$B$2:$B$144,$A$2:$A$144,1,1)</f>
        <v>1219197.7427259609</v>
      </c>
      <c r="D159" s="5">
        <f>C159-_xlfn.FORECAST.ETS.CONFINT(A159,$B$2:$B$144,$A$2:$A$144,0.95,1,1)</f>
        <v>788936.86572448141</v>
      </c>
      <c r="E159" s="5">
        <f>C159+_xlfn.FORECAST.ETS.CONFINT(A159,$B$2:$B$144,$A$2:$A$144,0.95,1,1)</f>
        <v>1649458.6197274404</v>
      </c>
    </row>
    <row r="160" spans="1:5" x14ac:dyDescent="0.25">
      <c r="A160" s="1">
        <v>41320</v>
      </c>
      <c r="C160">
        <f>_xlfn.FORECAST.ETS(A160,$B$2:$B$144,$A$2:$A$144,1,1)</f>
        <v>1216907.3796072467</v>
      </c>
      <c r="D160" s="5">
        <f>C160-_xlfn.FORECAST.ETS.CONFINT(A160,$B$2:$B$144,$A$2:$A$144,0.95,1,1)</f>
        <v>778855.64240895282</v>
      </c>
      <c r="E160" s="5">
        <f>C160+_xlfn.FORECAST.ETS.CONFINT(A160,$B$2:$B$144,$A$2:$A$144,0.95,1,1)</f>
        <v>1654959.1168055406</v>
      </c>
    </row>
    <row r="161" spans="1:5" x14ac:dyDescent="0.25">
      <c r="A161" s="1">
        <v>41327</v>
      </c>
      <c r="C161">
        <f>_xlfn.FORECAST.ETS(A161,$B$2:$B$144,$A$2:$A$144,1,1)</f>
        <v>1420669.9579816218</v>
      </c>
      <c r="D161" s="5">
        <f>C161-_xlfn.FORECAST.ETS.CONFINT(A161,$B$2:$B$144,$A$2:$A$144,0.95,1,1)</f>
        <v>974906.35899457347</v>
      </c>
      <c r="E161" s="5">
        <f>C161+_xlfn.FORECAST.ETS.CONFINT(A161,$B$2:$B$144,$A$2:$A$144,0.95,1,1)</f>
        <v>1866433.5569686703</v>
      </c>
    </row>
    <row r="162" spans="1:5" x14ac:dyDescent="0.25">
      <c r="A162" s="1">
        <v>41334</v>
      </c>
      <c r="C162">
        <f>_xlfn.FORECAST.ETS(A162,$B$2:$B$144,$A$2:$A$144,1,1)</f>
        <v>1314594.4773304875</v>
      </c>
      <c r="D162" s="5">
        <f>C162-_xlfn.FORECAST.ETS.CONFINT(A162,$B$2:$B$144,$A$2:$A$144,0.95,1,1)</f>
        <v>861193.77303661616</v>
      </c>
      <c r="E162" s="5">
        <f>C162+_xlfn.FORECAST.ETS.CONFINT(A162,$B$2:$B$144,$A$2:$A$144,0.95,1,1)</f>
        <v>1767995.1816243588</v>
      </c>
    </row>
    <row r="163" spans="1:5" x14ac:dyDescent="0.25">
      <c r="A163" s="1">
        <v>41341</v>
      </c>
      <c r="C163">
        <f>_xlfn.FORECAST.ETS(A163,$B$2:$B$144,$A$2:$A$144,1,1)</f>
        <v>1251288.6234925909</v>
      </c>
      <c r="D163" s="5">
        <f>C163-_xlfn.FORECAST.ETS.CONFINT(A163,$B$2:$B$144,$A$2:$A$144,0.95,1,1)</f>
        <v>790321.64734669751</v>
      </c>
      <c r="E163" s="5">
        <f>C163+_xlfn.FORECAST.ETS.CONFINT(A163,$B$2:$B$144,$A$2:$A$144,0.95,1,1)</f>
        <v>1712255.5996384842</v>
      </c>
    </row>
    <row r="164" spans="1:5" x14ac:dyDescent="0.25">
      <c r="A164" s="1">
        <v>41348</v>
      </c>
      <c r="C164">
        <f>_xlfn.FORECAST.ETS(A164,$B$2:$B$144,$A$2:$A$144,1,1)</f>
        <v>1227599.5774999894</v>
      </c>
      <c r="D164" s="5">
        <f>C164-_xlfn.FORECAST.ETS.CONFINT(A164,$B$2:$B$144,$A$2:$A$144,0.95,1,1)</f>
        <v>759133.52672535367</v>
      </c>
      <c r="E164" s="5">
        <f>C164+_xlfn.FORECAST.ETS.CONFINT(A164,$B$2:$B$144,$A$2:$A$144,0.95,1,1)</f>
        <v>1696065.6282746252</v>
      </c>
    </row>
    <row r="165" spans="1:5" x14ac:dyDescent="0.25">
      <c r="A165" s="1">
        <v>41355</v>
      </c>
      <c r="C165">
        <f>_xlfn.FORECAST.ETS(A165,$B$2:$B$144,$A$2:$A$144,1,1)</f>
        <v>1194762.8442295918</v>
      </c>
      <c r="D165" s="5">
        <f>C165-_xlfn.FORECAST.ETS.CONFINT(A165,$B$2:$B$144,$A$2:$A$144,0.95,1,1)</f>
        <v>718861.53853078291</v>
      </c>
      <c r="E165" s="5">
        <f>C165+_xlfn.FORECAST.ETS.CONFINT(A165,$B$2:$B$144,$A$2:$A$144,0.95,1,1)</f>
        <v>1670664.1499284008</v>
      </c>
    </row>
    <row r="166" spans="1:5" x14ac:dyDescent="0.25">
      <c r="A166" s="1">
        <v>41362</v>
      </c>
      <c r="C166">
        <f>_xlfn.FORECAST.ETS(A166,$B$2:$B$144,$A$2:$A$144,1,1)</f>
        <v>1279003.5371672646</v>
      </c>
      <c r="D166" s="5">
        <f>C166-_xlfn.FORECAST.ETS.CONFINT(A166,$B$2:$B$144,$A$2:$A$144,0.95,1,1)</f>
        <v>795727.65278320073</v>
      </c>
      <c r="E166" s="5">
        <f>C166+_xlfn.FORECAST.ETS.CONFINT(A166,$B$2:$B$144,$A$2:$A$144,0.95,1,1)</f>
        <v>1762279.4215513286</v>
      </c>
    </row>
    <row r="167" spans="1:5" x14ac:dyDescent="0.25">
      <c r="A167" s="1">
        <v>41369</v>
      </c>
      <c r="C167">
        <f>_xlfn.FORECAST.ETS(A167,$B$2:$B$144,$A$2:$A$144,1,1)</f>
        <v>1250030.9253789526</v>
      </c>
      <c r="D167" s="5">
        <f>C167-_xlfn.FORECAST.ETS.CONFINT(A167,$B$2:$B$144,$A$2:$A$144,0.95,1,1)</f>
        <v>759438.20740379253</v>
      </c>
      <c r="E167" s="5">
        <f>C167+_xlfn.FORECAST.ETS.CONFINT(A167,$B$2:$B$144,$A$2:$A$144,0.95,1,1)</f>
        <v>1740623.6433541127</v>
      </c>
    </row>
    <row r="168" spans="1:5" x14ac:dyDescent="0.25">
      <c r="A168" s="1">
        <v>41376</v>
      </c>
      <c r="C168">
        <f>_xlfn.FORECAST.ETS(A168,$B$2:$B$144,$A$2:$A$144,1,1)</f>
        <v>1200985.6847203649</v>
      </c>
      <c r="D168" s="5">
        <f>C168-_xlfn.FORECAST.ETS.CONFINT(A168,$B$2:$B$144,$A$2:$A$144,0.95,1,1)</f>
        <v>703131.14020684268</v>
      </c>
      <c r="E168" s="5">
        <f>C168+_xlfn.FORECAST.ETS.CONFINT(A168,$B$2:$B$144,$A$2:$A$144,0.95,1,1)</f>
        <v>1698840.229233887</v>
      </c>
    </row>
    <row r="169" spans="1:5" x14ac:dyDescent="0.25">
      <c r="A169" s="1">
        <v>41383</v>
      </c>
      <c r="C169">
        <f>_xlfn.FORECAST.ETS(A169,$B$2:$B$144,$A$2:$A$144,1,1)</f>
        <v>1185105.286253541</v>
      </c>
      <c r="D169" s="5">
        <f>C169-_xlfn.FORECAST.ETS.CONFINT(A169,$B$2:$B$144,$A$2:$A$144,0.95,1,1)</f>
        <v>680041.36026743217</v>
      </c>
      <c r="E169" s="5">
        <f>C169+_xlfn.FORECAST.ETS.CONFINT(A169,$B$2:$B$144,$A$2:$A$144,0.95,1,1)</f>
        <v>1690169.2122396498</v>
      </c>
    </row>
    <row r="170" spans="1:5" x14ac:dyDescent="0.25">
      <c r="A170" s="1">
        <v>41390</v>
      </c>
      <c r="C170">
        <f>_xlfn.FORECAST.ETS(A170,$B$2:$B$144,$A$2:$A$144,1,1)</f>
        <v>1174390.7783619419</v>
      </c>
      <c r="D170" s="5">
        <f>C170-_xlfn.FORECAST.ETS.CONFINT(A170,$B$2:$B$144,$A$2:$A$144,0.95,1,1)</f>
        <v>662167.51486522448</v>
      </c>
      <c r="E170" s="5">
        <f>C170+_xlfn.FORECAST.ETS.CONFINT(A170,$B$2:$B$144,$A$2:$A$144,0.95,1,1)</f>
        <v>1686614.0418586594</v>
      </c>
    </row>
    <row r="171" spans="1:5" x14ac:dyDescent="0.25">
      <c r="A171" s="1">
        <v>41397</v>
      </c>
      <c r="C171">
        <f>_xlfn.FORECAST.ETS(A171,$B$2:$B$144,$A$2:$A$144,1,1)</f>
        <v>1248723.1252327829</v>
      </c>
      <c r="D171" s="5">
        <f>C171-_xlfn.FORECAST.ETS.CONFINT(A171,$B$2:$B$144,$A$2:$A$144,0.95,1,1)</f>
        <v>729337.22953937983</v>
      </c>
      <c r="E171" s="5">
        <f>C171+_xlfn.FORECAST.ETS.CONFINT(A171,$B$2:$B$144,$A$2:$A$144,0.95,1,1)</f>
        <v>1768109.0209261859</v>
      </c>
    </row>
    <row r="172" spans="1:5" x14ac:dyDescent="0.25">
      <c r="A172" s="1">
        <v>41404</v>
      </c>
      <c r="C172">
        <f>_xlfn.FORECAST.ETS(A172,$B$2:$B$144,$A$2:$A$144,1,1)</f>
        <v>1220692.1281569321</v>
      </c>
      <c r="D172" s="5">
        <f>C172-_xlfn.FORECAST.ETS.CONFINT(A172,$B$2:$B$144,$A$2:$A$144,0.95,1,1)</f>
        <v>694241.04246781545</v>
      </c>
      <c r="E172" s="5">
        <f>C172+_xlfn.FORECAST.ETS.CONFINT(A172,$B$2:$B$144,$A$2:$A$144,0.95,1,1)</f>
        <v>1747143.2138460488</v>
      </c>
    </row>
    <row r="173" spans="1:5" x14ac:dyDescent="0.25">
      <c r="A173" s="1">
        <v>41411</v>
      </c>
      <c r="C173">
        <f>_xlfn.FORECAST.ETS(A173,$B$2:$B$144,$A$2:$A$144,1,1)</f>
        <v>1218401.7650382177</v>
      </c>
      <c r="D173" s="5">
        <f>C173-_xlfn.FORECAST.ETS.CONFINT(A173,$B$2:$B$144,$A$2:$A$144,0.95,1,1)</f>
        <v>684929.14460718317</v>
      </c>
      <c r="E173" s="5">
        <f>C173+_xlfn.FORECAST.ETS.CONFINT(A173,$B$2:$B$144,$A$2:$A$144,0.95,1,1)</f>
        <v>1751874.3854692522</v>
      </c>
    </row>
    <row r="174" spans="1:5" x14ac:dyDescent="0.25">
      <c r="A174" s="1">
        <v>41418</v>
      </c>
      <c r="C174">
        <f>_xlfn.FORECAST.ETS(A174,$B$2:$B$144,$A$2:$A$144,1,1)</f>
        <v>1422164.3434125928</v>
      </c>
      <c r="D174" s="5">
        <f>C174-_xlfn.FORECAST.ETS.CONFINT(A174,$B$2:$B$144,$A$2:$A$144,0.95,1,1)</f>
        <v>881711.96508317778</v>
      </c>
      <c r="E174" s="5">
        <f>C174+_xlfn.FORECAST.ETS.CONFINT(A174,$B$2:$B$144,$A$2:$A$144,0.95,1,1)</f>
        <v>1962616.7217420079</v>
      </c>
    </row>
    <row r="175" spans="1:5" x14ac:dyDescent="0.25">
      <c r="A175" s="1">
        <v>41425</v>
      </c>
      <c r="C175">
        <f>_xlfn.FORECAST.ETS(A175,$B$2:$B$144,$A$2:$A$144,1,1)</f>
        <v>1316088.8627614586</v>
      </c>
      <c r="D175" s="5">
        <f>C175-_xlfn.FORECAST.ETS.CONFINT(A175,$B$2:$B$144,$A$2:$A$144,0.95,1,1)</f>
        <v>768696.73063119408</v>
      </c>
      <c r="E175" s="5">
        <f>C175+_xlfn.FORECAST.ETS.CONFINT(A175,$B$2:$B$144,$A$2:$A$144,0.95,1,1)</f>
        <v>1863480.9948917232</v>
      </c>
    </row>
    <row r="176" spans="1:5" x14ac:dyDescent="0.25">
      <c r="A176" s="1">
        <v>41432</v>
      </c>
      <c r="C176">
        <f>_xlfn.FORECAST.ETS(A176,$B$2:$B$144,$A$2:$A$144,1,1)</f>
        <v>1252783.008923562</v>
      </c>
      <c r="D176" s="5">
        <f>C176-_xlfn.FORECAST.ETS.CONFINT(A176,$B$2:$B$144,$A$2:$A$144,0.95,1,1)</f>
        <v>698489.45204606233</v>
      </c>
      <c r="E176" s="5">
        <f>C176+_xlfn.FORECAST.ETS.CONFINT(A176,$B$2:$B$144,$A$2:$A$144,0.95,1,1)</f>
        <v>1807076.5658010617</v>
      </c>
    </row>
    <row r="177" spans="1:5" x14ac:dyDescent="0.25">
      <c r="A177" s="1">
        <v>41439</v>
      </c>
      <c r="C177">
        <f>_xlfn.FORECAST.ETS(A177,$B$2:$B$144,$A$2:$A$144,1,1)</f>
        <v>1229093.9629309606</v>
      </c>
      <c r="D177" s="5">
        <f>C177-_xlfn.FORECAST.ETS.CONFINT(A177,$B$2:$B$144,$A$2:$A$144,0.95,1,1)</f>
        <v>667935.7258061124</v>
      </c>
      <c r="E177" s="5">
        <f>C177+_xlfn.FORECAST.ETS.CONFINT(A177,$B$2:$B$144,$A$2:$A$144,0.95,1,1)</f>
        <v>1790252.2000558088</v>
      </c>
    </row>
    <row r="178" spans="1:5" x14ac:dyDescent="0.25">
      <c r="A178" s="1">
        <v>41446</v>
      </c>
      <c r="C178">
        <f>_xlfn.FORECAST.ETS(A178,$B$2:$B$144,$A$2:$A$144,1,1)</f>
        <v>1196257.2296605627</v>
      </c>
      <c r="D178" s="5">
        <f>C178-_xlfn.FORECAST.ETS.CONFINT(A178,$B$2:$B$144,$A$2:$A$144,0.95,1,1)</f>
        <v>628269.55617868411</v>
      </c>
      <c r="E178" s="5">
        <f>C178+_xlfn.FORECAST.ETS.CONFINT(A178,$B$2:$B$144,$A$2:$A$144,0.95,1,1)</f>
        <v>1764244.9031424413</v>
      </c>
    </row>
    <row r="179" spans="1:5" x14ac:dyDescent="0.25">
      <c r="A179" s="1">
        <v>41453</v>
      </c>
      <c r="C179">
        <f>_xlfn.FORECAST.ETS(A179,$B$2:$B$144,$A$2:$A$144,1,1)</f>
        <v>1280497.9225982355</v>
      </c>
      <c r="D179" s="5">
        <f>C179-_xlfn.FORECAST.ETS.CONFINT(A179,$B$2:$B$144,$A$2:$A$144,0.95,1,1)</f>
        <v>705714.63403066865</v>
      </c>
      <c r="E179" s="5">
        <f>C179+_xlfn.FORECAST.ETS.CONFINT(A179,$B$2:$B$144,$A$2:$A$144,0.95,1,1)</f>
        <v>1855281.2111658026</v>
      </c>
    </row>
    <row r="180" spans="1:5" x14ac:dyDescent="0.25">
      <c r="A180" s="1">
        <v>41460</v>
      </c>
      <c r="C180">
        <f>_xlfn.FORECAST.ETS(A180,$B$2:$B$144,$A$2:$A$144,1,1)</f>
        <v>1251525.3108099238</v>
      </c>
      <c r="D180" s="5">
        <f>C180-_xlfn.FORECAST.ETS.CONFINT(A180,$B$2:$B$144,$A$2:$A$144,0.95,1,1)</f>
        <v>669978.8783744697</v>
      </c>
      <c r="E180" s="5">
        <f>C180+_xlfn.FORECAST.ETS.CONFINT(A180,$B$2:$B$144,$A$2:$A$144,0.95,1,1)</f>
        <v>1833071.7432453779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D6E235-0101-4902-BED9-E486DCB1D3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Ventas</vt:lpstr>
      <vt:lpstr>PRONOSTICO</vt:lpstr>
      <vt:lpstr>PRONOSTICO.ETS</vt:lpstr>
      <vt:lpstr>PRONOSTICO.ETS.FIN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MARELLY</dc:creator>
  <cp:lastModifiedBy>MARELLY</cp:lastModifiedBy>
  <dcterms:created xsi:type="dcterms:W3CDTF">2021-12-08T22:11:16Z</dcterms:created>
  <dcterms:modified xsi:type="dcterms:W3CDTF">2021-12-08T22:37:38Z</dcterms:modified>
</cp:coreProperties>
</file>